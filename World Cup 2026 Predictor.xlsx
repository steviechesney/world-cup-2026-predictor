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tevi\Desktop\Projects\World Cup 2026\2026 Files\"/>
    </mc:Choice>
  </mc:AlternateContent>
  <xr:revisionPtr revIDLastSave="0" documentId="13_ncr:1_{B0F3D920-224D-43D1-9BB2-244F0D37E517}" xr6:coauthVersionLast="47" xr6:coauthVersionMax="47" xr10:uidLastSave="{00000000-0000-0000-0000-000000000000}"/>
  <bookViews>
    <workbookView xWindow="-108" yWindow="-108" windowWidth="23256" windowHeight="12456" xr2:uid="{205C67C8-500F-48C6-A714-1A383BEC153A}"/>
  </bookViews>
  <sheets>
    <sheet name="Leaderboard" sheetId="15" r:id="rId1"/>
    <sheet name="RESULTS" sheetId="2" r:id="rId2"/>
    <sheet name="Scores &amp; Fixtures" sheetId="14" r:id="rId3"/>
    <sheet name="Template" sheetId="1" r:id="rId4"/>
  </sheets>
  <definedNames>
    <definedName name="ExternalData_1" localSheetId="2" hidden="1">'Scores &amp; Fixtures'!$A$1:$F$73</definedName>
    <definedName name="tabMain">RESULTS!$A$1:$JA$76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 a="1"/>
  <c r="D4" i="2" s="1"/>
  <c r="D5" i="2" a="1"/>
  <c r="D5" i="2" s="1"/>
  <c r="D6" i="2" a="1"/>
  <c r="D6" i="2"/>
  <c r="D7" i="2" a="1"/>
  <c r="D7" i="2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42" i="2" a="1"/>
  <c r="D42" i="2" s="1"/>
  <c r="D43" i="2" a="1"/>
  <c r="D43" i="2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49" i="2" a="1"/>
  <c r="D49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 s="1"/>
  <c r="D58" i="2" a="1"/>
  <c r="D58" i="2"/>
  <c r="D59" i="2" a="1"/>
  <c r="D59" i="2" s="1"/>
  <c r="D60" i="2" a="1"/>
  <c r="D60" i="2" s="1"/>
  <c r="D61" i="2" a="1"/>
  <c r="D61" i="2" s="1"/>
  <c r="D62" i="2" a="1"/>
  <c r="D62" i="2" s="1"/>
  <c r="D63" i="2" a="1"/>
  <c r="D63" i="2" s="1"/>
  <c r="D64" i="2" a="1"/>
  <c r="D64" i="2" s="1"/>
  <c r="D65" i="2" a="1"/>
  <c r="D65" i="2"/>
  <c r="D66" i="2" a="1"/>
  <c r="D66" i="2" s="1"/>
  <c r="D67" i="2" a="1"/>
  <c r="D67" i="2" s="1"/>
  <c r="D68" i="2" a="1"/>
  <c r="D68" i="2" s="1"/>
  <c r="D69" i="2" a="1"/>
  <c r="D69" i="2"/>
  <c r="D70" i="2" a="1"/>
  <c r="D70" i="2"/>
  <c r="D71" i="2" a="1"/>
  <c r="D71" i="2" s="1"/>
  <c r="D72" i="2" a="1"/>
  <c r="D72" i="2" s="1"/>
  <c r="D73" i="2" a="1"/>
  <c r="D73" i="2" s="1"/>
  <c r="D74" i="2" a="1"/>
  <c r="D74" i="2"/>
  <c r="C4" i="2" a="1"/>
  <c r="C4" i="2"/>
  <c r="C5" i="2" a="1"/>
  <c r="C5" i="2" s="1"/>
  <c r="C6" i="2" a="1"/>
  <c r="C6" i="2" s="1"/>
  <c r="C7" i="2" a="1"/>
  <c r="C7" i="2" s="1"/>
  <c r="C8" i="2" a="1"/>
  <c r="C8" i="2" s="1"/>
  <c r="C9" i="2" a="1"/>
  <c r="C9" i="2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/>
  <c r="C24" i="2" a="1"/>
  <c r="C24" i="2" s="1"/>
  <c r="C25" i="2" a="1"/>
  <c r="C25" i="2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/>
  <c r="C40" i="2" a="1"/>
  <c r="C40" i="2"/>
  <c r="C41" i="2" a="1"/>
  <c r="C41" i="2" s="1"/>
  <c r="C42" i="2" a="1"/>
  <c r="C42" i="2" s="1"/>
  <c r="C43" i="2" a="1"/>
  <c r="C43" i="2" s="1"/>
  <c r="C44" i="2" a="1"/>
  <c r="C44" i="2"/>
  <c r="C45" i="2" a="1"/>
  <c r="C45" i="2"/>
  <c r="C46" i="2" a="1"/>
  <c r="C46" i="2" s="1"/>
  <c r="C47" i="2" a="1"/>
  <c r="C47" i="2" s="1"/>
  <c r="C48" i="2" a="1"/>
  <c r="C48" i="2" s="1"/>
  <c r="C49" i="2" a="1"/>
  <c r="C49" i="2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D3" i="2" a="1"/>
  <c r="D3" i="2"/>
  <c r="C3" i="2" a="1"/>
  <c r="C3" i="2" s="1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6" i="15"/>
  <c r="D7" i="15"/>
  <c r="D8" i="15"/>
  <c r="D9" i="15"/>
  <c r="D10" i="15"/>
  <c r="D11" i="15"/>
  <c r="D12" i="15"/>
  <c r="D13" i="15"/>
  <c r="D14" i="15"/>
  <c r="O76" i="2"/>
  <c r="CL52" i="2" l="1" a="1"/>
  <c r="CL52" i="2" s="1"/>
  <c r="CL36" i="2" a="1"/>
  <c r="CL36" i="2" s="1"/>
  <c r="DM4" i="2" a="1"/>
  <c r="DM4" i="2" s="1"/>
  <c r="CC44" i="2" a="1"/>
  <c r="CC44" i="2" s="1"/>
  <c r="BT32" i="2" a="1"/>
  <c r="BT32" i="2" s="1"/>
  <c r="AY16" i="2" a="1"/>
  <c r="AY16" i="2" s="1"/>
  <c r="BK68" i="2" a="1"/>
  <c r="BK68" i="2" s="1"/>
  <c r="BN24" i="2" a="1"/>
  <c r="BN24" i="2" s="1"/>
  <c r="CF28" i="2" a="1"/>
  <c r="CF28" i="2" s="1"/>
  <c r="AY40" i="2" a="1"/>
  <c r="AY40" i="2" s="1"/>
  <c r="L20" i="2" a="1"/>
  <c r="L20" i="2" s="1"/>
  <c r="CL7" i="2" a="1"/>
  <c r="CL7" i="2" s="1"/>
  <c r="BQ11" i="2" a="1"/>
  <c r="BQ11" i="2" s="1"/>
  <c r="CF12" i="2" a="1"/>
  <c r="CF12" i="2" s="1"/>
  <c r="AY56" i="2" a="1"/>
  <c r="AY56" i="2" s="1"/>
  <c r="BH60" i="2" a="1"/>
  <c r="BH60" i="2" s="1"/>
  <c r="CU48" i="2" a="1"/>
  <c r="CU48" i="2" s="1"/>
  <c r="CU59" i="2" a="1"/>
  <c r="CU59" i="2" s="1"/>
  <c r="BH51" i="2" a="1"/>
  <c r="BH51" i="2" s="1"/>
  <c r="CF43" i="2" a="1"/>
  <c r="CF43" i="2" s="1"/>
  <c r="AG35" i="2" a="1"/>
  <c r="AG35" i="2" s="1"/>
  <c r="AG27" i="2" a="1"/>
  <c r="AG27" i="2" s="1"/>
  <c r="AV19" i="2" a="1"/>
  <c r="AV19" i="2" s="1"/>
  <c r="AS55" i="2" a="1"/>
  <c r="AS55" i="2" s="1"/>
  <c r="L47" i="2" a="1"/>
  <c r="L47" i="2" s="1"/>
  <c r="BK39" i="2" a="1"/>
  <c r="BK39" i="2" s="1"/>
  <c r="AG31" i="2" a="1"/>
  <c r="AG31" i="2" s="1"/>
  <c r="CI23" i="2" a="1"/>
  <c r="CI23" i="2" s="1"/>
  <c r="AV15" i="2" a="1"/>
  <c r="AV15" i="2" s="1"/>
  <c r="CR73" i="2" a="1"/>
  <c r="CR73" i="2" s="1"/>
  <c r="BT65" i="2" a="1"/>
  <c r="BT65" i="2" s="1"/>
  <c r="U57" i="2" a="1"/>
  <c r="U57" i="2" s="1"/>
  <c r="CR49" i="2" a="1"/>
  <c r="CR49" i="2" s="1"/>
  <c r="L41" i="2" a="1"/>
  <c r="L41" i="2" s="1"/>
  <c r="U33" i="2" a="1"/>
  <c r="U33" i="2" s="1"/>
  <c r="U9" i="2" a="1"/>
  <c r="U9" i="2" s="1"/>
  <c r="FI70" i="2" a="1"/>
  <c r="FI70" i="2" s="1"/>
  <c r="AV62" i="2" a="1"/>
  <c r="AV62" i="2" s="1"/>
  <c r="AA54" i="2" a="1"/>
  <c r="AA54" i="2" s="1"/>
  <c r="DA46" i="2" a="1"/>
  <c r="DA46" i="2" s="1"/>
  <c r="CO38" i="2" a="1"/>
  <c r="CO38" i="2" s="1"/>
  <c r="L30" i="2" a="1"/>
  <c r="L30" i="2" s="1"/>
  <c r="CR22" i="2" a="1"/>
  <c r="CR22" i="2" s="1"/>
  <c r="I14" i="2" a="1"/>
  <c r="I14" i="2" s="1"/>
  <c r="CL6" i="2" a="1"/>
  <c r="CL6" i="2" s="1"/>
  <c r="AG26" i="2" a="1"/>
  <c r="AG26" i="2" s="1"/>
  <c r="L18" i="2" a="1"/>
  <c r="L18" i="2" s="1"/>
  <c r="I10" i="2" a="1"/>
  <c r="I10" i="2" s="1"/>
  <c r="AY50" i="2" a="1"/>
  <c r="AY50" i="2" s="1"/>
  <c r="BN34" i="2" a="1"/>
  <c r="BN34" i="2" s="1"/>
  <c r="AV66" i="2" a="1"/>
  <c r="AV66" i="2" s="1"/>
  <c r="BK42" i="2" a="1"/>
  <c r="BK42" i="2" s="1"/>
  <c r="AP4" i="2" a="1"/>
  <c r="AP4" i="2" s="1"/>
  <c r="U71" i="2" a="1"/>
  <c r="U71" i="2" s="1"/>
  <c r="AP47" i="2" a="1"/>
  <c r="AP47" i="2" s="1"/>
  <c r="X39" i="2" a="1"/>
  <c r="X39" i="2" s="1"/>
  <c r="L31" i="2" a="1"/>
  <c r="L31" i="2" s="1"/>
  <c r="U23" i="2" a="1"/>
  <c r="U23" i="2" s="1"/>
  <c r="CI70" i="2" a="1"/>
  <c r="CI70" i="2" s="1"/>
  <c r="R54" i="2" a="1"/>
  <c r="R54" i="2" s="1"/>
  <c r="R38" i="2" a="1"/>
  <c r="R38" i="2" s="1"/>
  <c r="BH30" i="2" a="1"/>
  <c r="BH30" i="2" s="1"/>
  <c r="BB22" i="2" a="1"/>
  <c r="BB22" i="2" s="1"/>
  <c r="AJ60" i="2" a="1"/>
  <c r="AJ60" i="2" s="1"/>
  <c r="I44" i="2" a="1"/>
  <c r="I44" i="2" s="1"/>
  <c r="CL28" i="2" a="1"/>
  <c r="CL28" i="2" s="1"/>
  <c r="I12" i="2" a="1"/>
  <c r="I12" i="2" s="1"/>
  <c r="L67" i="2" a="1"/>
  <c r="L67" i="2" s="1"/>
  <c r="CX59" i="2" a="1"/>
  <c r="CX59" i="2" s="1"/>
  <c r="BN51" i="2" a="1"/>
  <c r="BN51" i="2" s="1"/>
  <c r="AA19" i="2" a="1"/>
  <c r="AA19" i="2" s="1"/>
  <c r="AJ11" i="2" a="1"/>
  <c r="AJ11" i="2" s="1"/>
  <c r="I26" i="2" a="1"/>
  <c r="I26" i="2" s="1"/>
  <c r="X23" i="2" a="1"/>
  <c r="X23" i="2" s="1"/>
  <c r="BB72" i="2" a="1"/>
  <c r="BB72" i="2" s="1"/>
  <c r="BT64" i="2" a="1"/>
  <c r="BT64" i="2" s="1"/>
  <c r="BK32" i="2" a="1"/>
  <c r="BK32" i="2" s="1"/>
  <c r="U69" i="2" a="1"/>
  <c r="U69" i="2" s="1"/>
  <c r="AS61" i="2" a="1"/>
  <c r="AS61" i="2" s="1"/>
  <c r="AV53" i="2" a="1"/>
  <c r="AV53" i="2" s="1"/>
  <c r="AJ45" i="2" a="1"/>
  <c r="AJ45" i="2" s="1"/>
  <c r="BW37" i="2" a="1"/>
  <c r="BW37" i="2" s="1"/>
  <c r="U29" i="2" a="1"/>
  <c r="U29" i="2" s="1"/>
  <c r="BQ21" i="2" a="1"/>
  <c r="BQ21" i="2" s="1"/>
  <c r="AM13" i="2" a="1"/>
  <c r="AM13" i="2" s="1"/>
  <c r="U5" i="2" a="1"/>
  <c r="U5" i="2" s="1"/>
  <c r="AS39" i="2" a="1"/>
  <c r="AS39" i="2" s="1"/>
  <c r="CC67" i="2" a="1"/>
  <c r="CC67" i="2" s="1"/>
  <c r="I59" i="2" a="1"/>
  <c r="I59" i="2" s="1"/>
  <c r="AD47" i="2" a="1"/>
  <c r="AD47" i="2" s="1"/>
  <c r="AY72" i="2" a="1"/>
  <c r="AY72" i="2" s="1"/>
  <c r="BK71" i="2" a="1"/>
  <c r="BK71" i="2" s="1"/>
  <c r="CI63" i="2" a="1"/>
  <c r="CI63" i="2" s="1"/>
  <c r="CX67" i="2" a="1"/>
  <c r="CX67" i="2" s="1"/>
  <c r="R22" i="2" a="1"/>
  <c r="R22" i="2" s="1"/>
  <c r="AD22" i="2" a="1"/>
  <c r="AD22" i="2" s="1"/>
  <c r="BE23" i="2" a="1"/>
  <c r="BE23" i="2" s="1"/>
  <c r="U51" i="2" a="1"/>
  <c r="U51" i="2" s="1"/>
  <c r="AM31" i="2" a="1"/>
  <c r="AM31" i="2" s="1"/>
  <c r="I72" i="2" a="1"/>
  <c r="I72" i="2" s="1"/>
  <c r="I56" i="2" a="1"/>
  <c r="I56" i="2" s="1"/>
  <c r="I40" i="2" a="1"/>
  <c r="I40" i="2" s="1"/>
  <c r="I24" i="2" a="1"/>
  <c r="I24" i="2" s="1"/>
  <c r="I8" i="2" a="1"/>
  <c r="I8" i="2" s="1"/>
  <c r="L63" i="2" a="1"/>
  <c r="L63" i="2" s="1"/>
  <c r="L44" i="2" a="1"/>
  <c r="L44" i="2" s="1"/>
  <c r="L27" i="2" a="1"/>
  <c r="L27" i="2" s="1"/>
  <c r="R52" i="2" a="1"/>
  <c r="R52" i="2" s="1"/>
  <c r="R36" i="2" a="1"/>
  <c r="R36" i="2" s="1"/>
  <c r="R20" i="2" a="1"/>
  <c r="R20" i="2" s="1"/>
  <c r="U67" i="2" a="1"/>
  <c r="U67" i="2" s="1"/>
  <c r="U47" i="2" a="1"/>
  <c r="U47" i="2" s="1"/>
  <c r="X71" i="2" a="1"/>
  <c r="X71" i="2" s="1"/>
  <c r="X37" i="2" a="1"/>
  <c r="X37" i="2" s="1"/>
  <c r="X12" i="2" a="1"/>
  <c r="X12" i="2" s="1"/>
  <c r="AA47" i="2" a="1"/>
  <c r="AA47" i="2" s="1"/>
  <c r="AA14" i="2" a="1"/>
  <c r="AA14" i="2" s="1"/>
  <c r="AD41" i="2" a="1"/>
  <c r="AD41" i="2" s="1"/>
  <c r="AD15" i="2" a="1"/>
  <c r="AD15" i="2" s="1"/>
  <c r="AG54" i="2" a="1"/>
  <c r="AG54" i="2" s="1"/>
  <c r="AJ59" i="2" a="1"/>
  <c r="AJ59" i="2" s="1"/>
  <c r="AJ8" i="2" a="1"/>
  <c r="AJ8" i="2" s="1"/>
  <c r="AM27" i="2" a="1"/>
  <c r="AM27" i="2" s="1"/>
  <c r="AP43" i="2" a="1"/>
  <c r="AP43" i="2" s="1"/>
  <c r="AS71" i="2" a="1"/>
  <c r="AS71" i="2" s="1"/>
  <c r="AS4" i="2" a="1"/>
  <c r="AS4" i="2" s="1"/>
  <c r="BB8" i="2" a="1"/>
  <c r="BB8" i="2" s="1"/>
  <c r="BE15" i="2" a="1"/>
  <c r="BE15" i="2" s="1"/>
  <c r="BH12" i="2" a="1"/>
  <c r="BH12" i="2" s="1"/>
  <c r="BK27" i="2" a="1"/>
  <c r="BK27" i="2" s="1"/>
  <c r="BN43" i="2" a="1"/>
  <c r="BN43" i="2" s="1"/>
  <c r="BT35" i="2" a="1"/>
  <c r="BT35" i="2" s="1"/>
  <c r="CC51" i="2" a="1"/>
  <c r="CC51" i="2" s="1"/>
  <c r="CI68" i="2" a="1"/>
  <c r="CI68" i="2" s="1"/>
  <c r="CO63" i="2" a="1"/>
  <c r="CO63" i="2" s="1"/>
  <c r="DA60" i="2" a="1"/>
  <c r="DA60" i="2" s="1"/>
  <c r="L45" i="2" a="1"/>
  <c r="L45" i="2" s="1"/>
  <c r="I70" i="2" a="1"/>
  <c r="I70" i="2" s="1"/>
  <c r="I38" i="2" a="1"/>
  <c r="I38" i="2" s="1"/>
  <c r="I6" i="2" a="1"/>
  <c r="I6" i="2" s="1"/>
  <c r="L59" i="2" a="1"/>
  <c r="L59" i="2" s="1"/>
  <c r="L40" i="2" a="1"/>
  <c r="L40" i="2" s="1"/>
  <c r="L24" i="2" a="1"/>
  <c r="L24" i="2" s="1"/>
  <c r="R72" i="2" a="1"/>
  <c r="R72" i="2" s="1"/>
  <c r="R32" i="2" a="1"/>
  <c r="R32" i="2" s="1"/>
  <c r="R16" i="2" a="1"/>
  <c r="R16" i="2" s="1"/>
  <c r="U65" i="2" a="1"/>
  <c r="U65" i="2" s="1"/>
  <c r="U43" i="2" a="1"/>
  <c r="U43" i="2" s="1"/>
  <c r="U21" i="2" a="1"/>
  <c r="U21" i="2" s="1"/>
  <c r="X36" i="2" a="1"/>
  <c r="X36" i="2" s="1"/>
  <c r="X7" i="2" a="1"/>
  <c r="X7" i="2" s="1"/>
  <c r="AA42" i="2" a="1"/>
  <c r="AA42" i="2" s="1"/>
  <c r="AD39" i="2" a="1"/>
  <c r="AD39" i="2" s="1"/>
  <c r="AD12" i="2" a="1"/>
  <c r="AD12" i="2" s="1"/>
  <c r="AJ52" i="2" a="1"/>
  <c r="AJ52" i="2" s="1"/>
  <c r="AJ4" i="2" a="1"/>
  <c r="AJ4" i="2" s="1"/>
  <c r="AM20" i="2" a="1"/>
  <c r="AM20" i="2" s="1"/>
  <c r="AP41" i="2" a="1"/>
  <c r="AP41" i="2" s="1"/>
  <c r="AS36" i="2" a="1"/>
  <c r="AS36" i="2" s="1"/>
  <c r="AV54" i="2" a="1"/>
  <c r="AV54" i="2" s="1"/>
  <c r="BB63" i="2" a="1"/>
  <c r="BB63" i="2" s="1"/>
  <c r="BE71" i="2" a="1"/>
  <c r="BE71" i="2" s="1"/>
  <c r="BE7" i="2" a="1"/>
  <c r="BE7" i="2" s="1"/>
  <c r="BH7" i="2" a="1"/>
  <c r="BH7" i="2" s="1"/>
  <c r="BK23" i="2" a="1"/>
  <c r="BK23" i="2" s="1"/>
  <c r="BQ72" i="2" a="1"/>
  <c r="BQ72" i="2" s="1"/>
  <c r="BT6" i="2" a="1"/>
  <c r="BT6" i="2" s="1"/>
  <c r="CI48" i="2" a="1"/>
  <c r="CI48" i="2" s="1"/>
  <c r="CO44" i="2" a="1"/>
  <c r="CO44" i="2" s="1"/>
  <c r="DD72" i="2" a="1"/>
  <c r="DD72" i="2" s="1"/>
  <c r="I68" i="2" a="1"/>
  <c r="I68" i="2" s="1"/>
  <c r="I54" i="2" a="1"/>
  <c r="I54" i="2" s="1"/>
  <c r="I36" i="2" a="1"/>
  <c r="I36" i="2" s="1"/>
  <c r="I22" i="2" a="1"/>
  <c r="I22" i="2" s="1"/>
  <c r="L73" i="2" a="1"/>
  <c r="L73" i="2" s="1"/>
  <c r="L56" i="2" a="1"/>
  <c r="L56" i="2" s="1"/>
  <c r="L38" i="2" a="1"/>
  <c r="L38" i="2" s="1"/>
  <c r="L22" i="2" a="1"/>
  <c r="L22" i="2" s="1"/>
  <c r="R51" i="2" a="1"/>
  <c r="R51" i="2" s="1"/>
  <c r="U63" i="2" a="1"/>
  <c r="U63" i="2" s="1"/>
  <c r="U39" i="2" a="1"/>
  <c r="U39" i="2" s="1"/>
  <c r="U19" i="2" a="1"/>
  <c r="U19" i="2" s="1"/>
  <c r="X67" i="2" a="1"/>
  <c r="X67" i="2" s="1"/>
  <c r="X31" i="2" a="1"/>
  <c r="X31" i="2" s="1"/>
  <c r="AA70" i="2" a="1"/>
  <c r="AA70" i="2" s="1"/>
  <c r="AA41" i="2" a="1"/>
  <c r="AA41" i="2" s="1"/>
  <c r="AA11" i="2" a="1"/>
  <c r="AA11" i="2" s="1"/>
  <c r="AD32" i="2" a="1"/>
  <c r="AD32" i="2" s="1"/>
  <c r="AG47" i="2" a="1"/>
  <c r="AG47" i="2" s="1"/>
  <c r="AJ38" i="2" a="1"/>
  <c r="AJ38" i="2" s="1"/>
  <c r="AM72" i="2" a="1"/>
  <c r="AM72" i="2" s="1"/>
  <c r="AP40" i="2" a="1"/>
  <c r="AP40" i="2" s="1"/>
  <c r="AS68" i="2" a="1"/>
  <c r="AS68" i="2" s="1"/>
  <c r="AS24" i="2" a="1"/>
  <c r="AS24" i="2" s="1"/>
  <c r="AV47" i="2" a="1"/>
  <c r="AV47" i="2" s="1"/>
  <c r="BE63" i="2" a="1"/>
  <c r="BE63" i="2" s="1"/>
  <c r="BH68" i="2" a="1"/>
  <c r="BH68" i="2" s="1"/>
  <c r="BK63" i="2" a="1"/>
  <c r="BK63" i="2" s="1"/>
  <c r="BQ63" i="2" a="1"/>
  <c r="BQ63" i="2" s="1"/>
  <c r="BW56" i="2" a="1"/>
  <c r="BW56" i="2" s="1"/>
  <c r="CC37" i="2" a="1"/>
  <c r="CC37" i="2" s="1"/>
  <c r="CI47" i="2" a="1"/>
  <c r="CI47" i="2" s="1"/>
  <c r="CO43" i="2" a="1"/>
  <c r="CO43" i="2" s="1"/>
  <c r="DM35" i="2" a="1"/>
  <c r="DM35" i="2" s="1"/>
  <c r="I52" i="2" a="1"/>
  <c r="I52" i="2" s="1"/>
  <c r="I32" i="2" a="1"/>
  <c r="I32" i="2" s="1"/>
  <c r="I20" i="2" a="1"/>
  <c r="I20" i="2" s="1"/>
  <c r="L72" i="2" a="1"/>
  <c r="L72" i="2" s="1"/>
  <c r="L36" i="2" a="1"/>
  <c r="L36" i="2" s="1"/>
  <c r="R70" i="2" a="1"/>
  <c r="R70" i="2" s="1"/>
  <c r="R30" i="2" a="1"/>
  <c r="R30" i="2" s="1"/>
  <c r="U59" i="2" a="1"/>
  <c r="U59" i="2" s="1"/>
  <c r="U35" i="2" a="1"/>
  <c r="U35" i="2" s="1"/>
  <c r="U15" i="2" a="1"/>
  <c r="U15" i="2" s="1"/>
  <c r="X63" i="2" a="1"/>
  <c r="X63" i="2" s="1"/>
  <c r="AA35" i="2" a="1"/>
  <c r="AA35" i="2" s="1"/>
  <c r="AD60" i="2" a="1"/>
  <c r="AD60" i="2" s="1"/>
  <c r="AD31" i="2" a="1"/>
  <c r="AD31" i="2" s="1"/>
  <c r="AD6" i="2" a="1"/>
  <c r="AD6" i="2" s="1"/>
  <c r="AG43" i="2" a="1"/>
  <c r="AG43" i="2" s="1"/>
  <c r="AJ31" i="2" a="1"/>
  <c r="AJ31" i="2" s="1"/>
  <c r="AM50" i="2" a="1"/>
  <c r="AM50" i="2" s="1"/>
  <c r="AM6" i="2" a="1"/>
  <c r="AM6" i="2" s="1"/>
  <c r="AP36" i="2" a="1"/>
  <c r="AP36" i="2" s="1"/>
  <c r="AS56" i="2" a="1"/>
  <c r="AS56" i="2" s="1"/>
  <c r="AS23" i="2" a="1"/>
  <c r="AS23" i="2" s="1"/>
  <c r="AV40" i="2" a="1"/>
  <c r="AV40" i="2" s="1"/>
  <c r="BB54" i="2" a="1"/>
  <c r="BB54" i="2" s="1"/>
  <c r="BE55" i="2" a="1"/>
  <c r="BE55" i="2" s="1"/>
  <c r="BH48" i="2" a="1"/>
  <c r="BH48" i="2" s="1"/>
  <c r="BK52" i="2" a="1"/>
  <c r="BK52" i="2" s="1"/>
  <c r="BK13" i="2" a="1"/>
  <c r="BK13" i="2" s="1"/>
  <c r="BQ54" i="2" a="1"/>
  <c r="BQ54" i="2" s="1"/>
  <c r="BW16" i="2" a="1"/>
  <c r="BW16" i="2" s="1"/>
  <c r="CC23" i="2" a="1"/>
  <c r="CC23" i="2" s="1"/>
  <c r="CI29" i="2" a="1"/>
  <c r="CI29" i="2" s="1"/>
  <c r="CR51" i="2" a="1"/>
  <c r="CR51" i="2" s="1"/>
  <c r="DP72" i="2" a="1"/>
  <c r="DP72" i="2" s="1"/>
  <c r="I67" i="2" a="1"/>
  <c r="I67" i="2" s="1"/>
  <c r="I48" i="2" a="1"/>
  <c r="I48" i="2" s="1"/>
  <c r="I16" i="2" a="1"/>
  <c r="I16" i="2" s="1"/>
  <c r="L70" i="2" a="1"/>
  <c r="L70" i="2" s="1"/>
  <c r="L54" i="2" a="1"/>
  <c r="L54" i="2" s="1"/>
  <c r="L15" i="2" a="1"/>
  <c r="L15" i="2" s="1"/>
  <c r="R63" i="2" a="1"/>
  <c r="R63" i="2" s="1"/>
  <c r="R47" i="2" a="1"/>
  <c r="R47" i="2" s="1"/>
  <c r="R28" i="2" a="1"/>
  <c r="R28" i="2" s="1"/>
  <c r="U55" i="2" a="1"/>
  <c r="U55" i="2" s="1"/>
  <c r="U11" i="2" a="1"/>
  <c r="U11" i="2" s="1"/>
  <c r="X52" i="2" a="1"/>
  <c r="X52" i="2" s="1"/>
  <c r="X30" i="2" a="1"/>
  <c r="X30" i="2" s="1"/>
  <c r="AA63" i="2" a="1"/>
  <c r="AA63" i="2" s="1"/>
  <c r="AA27" i="2" a="1"/>
  <c r="AA27" i="2" s="1"/>
  <c r="AD55" i="2" a="1"/>
  <c r="AD55" i="2" s="1"/>
  <c r="AD27" i="2" a="1"/>
  <c r="AD27" i="2" s="1"/>
  <c r="AD4" i="2" a="1"/>
  <c r="AD4" i="2" s="1"/>
  <c r="AG40" i="2" a="1"/>
  <c r="AG40" i="2" s="1"/>
  <c r="AJ19" i="2" a="1"/>
  <c r="AJ19" i="2" s="1"/>
  <c r="AM43" i="2" a="1"/>
  <c r="AM43" i="2" s="1"/>
  <c r="AP70" i="2" a="1"/>
  <c r="AP70" i="2" s="1"/>
  <c r="AP22" i="2" a="1"/>
  <c r="AP22" i="2" s="1"/>
  <c r="AS20" i="2" a="1"/>
  <c r="AS20" i="2" s="1"/>
  <c r="AV28" i="2" a="1"/>
  <c r="AV28" i="2" s="1"/>
  <c r="BB36" i="2" a="1"/>
  <c r="BB36" i="2" s="1"/>
  <c r="BE47" i="2" a="1"/>
  <c r="BE47" i="2" s="1"/>
  <c r="BK4" i="2" a="1"/>
  <c r="BK4" i="2" s="1"/>
  <c r="BQ44" i="2" a="1"/>
  <c r="BQ44" i="2" s="1"/>
  <c r="BZ54" i="2" a="1"/>
  <c r="BZ54" i="2" s="1"/>
  <c r="CC22" i="2" a="1"/>
  <c r="CC22" i="2" s="1"/>
  <c r="CI7" i="2" a="1"/>
  <c r="CI7" i="2" s="1"/>
  <c r="CU14" i="2" a="1"/>
  <c r="CU14" i="2" s="1"/>
  <c r="EB48" i="2" a="1"/>
  <c r="EB48" i="2" s="1"/>
  <c r="I30" i="2" a="1"/>
  <c r="I30" i="2" s="1"/>
  <c r="L68" i="2" a="1"/>
  <c r="L68" i="2" s="1"/>
  <c r="L35" i="2" a="1"/>
  <c r="L35" i="2" s="1"/>
  <c r="L12" i="2" a="1"/>
  <c r="L12" i="2" s="1"/>
  <c r="R60" i="2" a="1"/>
  <c r="R60" i="2" s="1"/>
  <c r="R43" i="2" a="1"/>
  <c r="R43" i="2" s="1"/>
  <c r="R24" i="2" a="1"/>
  <c r="R24" i="2" s="1"/>
  <c r="U31" i="2" a="1"/>
  <c r="U31" i="2" s="1"/>
  <c r="U7" i="2" a="1"/>
  <c r="U7" i="2" s="1"/>
  <c r="X51" i="2" a="1"/>
  <c r="X51" i="2" s="1"/>
  <c r="X27" i="2" a="1"/>
  <c r="X27" i="2" s="1"/>
  <c r="AA56" i="2" a="1"/>
  <c r="AA56" i="2" s="1"/>
  <c r="AA20" i="2" a="1"/>
  <c r="AA20" i="2" s="1"/>
  <c r="AD52" i="2" a="1"/>
  <c r="AD52" i="2" s="1"/>
  <c r="AD23" i="2" a="1"/>
  <c r="AD23" i="2" s="1"/>
  <c r="AG70" i="2" a="1"/>
  <c r="AG70" i="2" s="1"/>
  <c r="AG11" i="2" a="1"/>
  <c r="AG11" i="2" s="1"/>
  <c r="AP63" i="2" a="1"/>
  <c r="AP63" i="2" s="1"/>
  <c r="AP19" i="2" a="1"/>
  <c r="AP19" i="2" s="1"/>
  <c r="AS52" i="2" a="1"/>
  <c r="AS52" i="2" s="1"/>
  <c r="AS11" i="2" a="1"/>
  <c r="AS11" i="2" s="1"/>
  <c r="BB31" i="2" a="1"/>
  <c r="BB31" i="2" s="1"/>
  <c r="BE39" i="2" a="1"/>
  <c r="BE39" i="2" s="1"/>
  <c r="BH39" i="2" a="1"/>
  <c r="BH39" i="2" s="1"/>
  <c r="BK41" i="2" a="1"/>
  <c r="BK41" i="2" s="1"/>
  <c r="BN67" i="2" a="1"/>
  <c r="BN67" i="2" s="1"/>
  <c r="BZ39" i="2" a="1"/>
  <c r="BZ39" i="2" s="1"/>
  <c r="CL62" i="2" a="1"/>
  <c r="CL62" i="2" s="1"/>
  <c r="CU11" i="2" a="1"/>
  <c r="CU11" i="2" s="1"/>
  <c r="I63" i="2" a="1"/>
  <c r="I63" i="2" s="1"/>
  <c r="I46" i="2" a="1"/>
  <c r="I46" i="2" s="1"/>
  <c r="I28" i="2" a="1"/>
  <c r="I28" i="2" s="1"/>
  <c r="R56" i="2" a="1"/>
  <c r="R56" i="2" s="1"/>
  <c r="R40" i="2" a="1"/>
  <c r="R40" i="2" s="1"/>
  <c r="U53" i="2" a="1"/>
  <c r="U53" i="2" s="1"/>
  <c r="U27" i="2" a="1"/>
  <c r="U27" i="2" s="1"/>
  <c r="X72" i="2" a="1"/>
  <c r="X72" i="2" s="1"/>
  <c r="X44" i="2" a="1"/>
  <c r="X44" i="2" s="1"/>
  <c r="AA48" i="2" a="1"/>
  <c r="AA48" i="2" s="1"/>
  <c r="AD48" i="2" a="1"/>
  <c r="AD48" i="2" s="1"/>
  <c r="AG68" i="2" a="1"/>
  <c r="AG68" i="2" s="1"/>
  <c r="AJ63" i="2" a="1"/>
  <c r="AJ63" i="2" s="1"/>
  <c r="AJ15" i="2" a="1"/>
  <c r="AJ15" i="2" s="1"/>
  <c r="AM35" i="2" a="1"/>
  <c r="AM35" i="2" s="1"/>
  <c r="AP51" i="2" a="1"/>
  <c r="AP51" i="2" s="1"/>
  <c r="AP11" i="2" a="1"/>
  <c r="AP11" i="2" s="1"/>
  <c r="AS43" i="2" a="1"/>
  <c r="AS43" i="2" s="1"/>
  <c r="AS7" i="2" a="1"/>
  <c r="AS7" i="2" s="1"/>
  <c r="BB27" i="2" a="1"/>
  <c r="BB27" i="2" s="1"/>
  <c r="BE31" i="2" a="1"/>
  <c r="BE31" i="2" s="1"/>
  <c r="BK36" i="2" a="1"/>
  <c r="BK36" i="2" s="1"/>
  <c r="BN59" i="2" a="1"/>
  <c r="BN59" i="2" s="1"/>
  <c r="BQ7" i="2" a="1"/>
  <c r="BQ7" i="2" s="1"/>
  <c r="BZ24" i="2" a="1"/>
  <c r="BZ24" i="2" s="1"/>
  <c r="CF37" i="2" a="1"/>
  <c r="CF37" i="2" s="1"/>
  <c r="CL44" i="2" a="1"/>
  <c r="CL44" i="2" s="1"/>
  <c r="CX60" i="2" a="1"/>
  <c r="CX60" i="2" s="1"/>
  <c r="O74" i="2" a="1"/>
  <c r="O74" i="2" s="1"/>
  <c r="IU74" i="2" a="1"/>
  <c r="IU74" i="2" s="1"/>
  <c r="JD74" i="2" a="1"/>
  <c r="JD74" i="2" s="1"/>
  <c r="II74" i="2" a="1"/>
  <c r="II74" i="2" s="1"/>
  <c r="IR74" i="2" a="1"/>
  <c r="IR74" i="2" s="1"/>
  <c r="JA74" i="2" a="1"/>
  <c r="JA74" i="2" s="1"/>
  <c r="IF74" i="2" a="1"/>
  <c r="IF74" i="2" s="1"/>
  <c r="IX74" i="2" a="1"/>
  <c r="IX74" i="2" s="1"/>
  <c r="IO74" i="2" a="1"/>
  <c r="IO74" i="2" s="1"/>
  <c r="IL74" i="2" a="1"/>
  <c r="IL74" i="2" s="1"/>
  <c r="HT74" i="2" a="1"/>
  <c r="HT74" i="2" s="1"/>
  <c r="GP74" i="2" a="1"/>
  <c r="GP74" i="2" s="1"/>
  <c r="HN74" i="2" a="1"/>
  <c r="HN74" i="2" s="1"/>
  <c r="GS74" i="2" a="1"/>
  <c r="GS74" i="2" s="1"/>
  <c r="HZ74" i="2" a="1"/>
  <c r="HZ74" i="2" s="1"/>
  <c r="HH74" i="2" a="1"/>
  <c r="HH74" i="2" s="1"/>
  <c r="GY74" i="2" a="1"/>
  <c r="GY74" i="2" s="1"/>
  <c r="FR74" i="2" a="1"/>
  <c r="FR74" i="2" s="1"/>
  <c r="HW74" i="2" a="1"/>
  <c r="HW74" i="2" s="1"/>
  <c r="GM74" i="2" a="1"/>
  <c r="GM74" i="2" s="1"/>
  <c r="GJ74" i="2" a="1"/>
  <c r="GJ74" i="2" s="1"/>
  <c r="GG74" i="2" a="1"/>
  <c r="GG74" i="2" s="1"/>
  <c r="GD74" i="2" a="1"/>
  <c r="GD74" i="2" s="1"/>
  <c r="FX74" i="2" a="1"/>
  <c r="FX74" i="2" s="1"/>
  <c r="IC74" i="2" a="1"/>
  <c r="IC74" i="2" s="1"/>
  <c r="GV74" i="2" a="1"/>
  <c r="GV74" i="2" s="1"/>
  <c r="FU74" i="2" a="1"/>
  <c r="FU74" i="2" s="1"/>
  <c r="FO74" i="2" a="1"/>
  <c r="FO74" i="2" s="1"/>
  <c r="FC74" i="2" a="1"/>
  <c r="FC74" i="2" s="1"/>
  <c r="EZ74" i="2" a="1"/>
  <c r="EZ74" i="2" s="1"/>
  <c r="HQ74" i="2" a="1"/>
  <c r="HQ74" i="2" s="1"/>
  <c r="HK74" i="2" a="1"/>
  <c r="HK74" i="2" s="1"/>
  <c r="EN74" i="2" a="1"/>
  <c r="EN74" i="2" s="1"/>
  <c r="FF74" i="2" a="1"/>
  <c r="FF74" i="2" s="1"/>
  <c r="EQ74" i="2" a="1"/>
  <c r="EQ74" i="2" s="1"/>
  <c r="HB74" i="2" a="1"/>
  <c r="HB74" i="2" s="1"/>
  <c r="GA74" i="2" a="1"/>
  <c r="GA74" i="2" s="1"/>
  <c r="HE74" i="2" a="1"/>
  <c r="HE74" i="2" s="1"/>
  <c r="ET74" i="2" a="1"/>
  <c r="ET74" i="2" s="1"/>
  <c r="EK74" i="2" a="1"/>
  <c r="EK74" i="2" s="1"/>
  <c r="DV74" i="2" a="1"/>
  <c r="DV74" i="2" s="1"/>
  <c r="EE74" i="2" a="1"/>
  <c r="EE74" i="2" s="1"/>
  <c r="DM74" i="2" a="1"/>
  <c r="DM74" i="2" s="1"/>
  <c r="FI74" i="2" a="1"/>
  <c r="FI74" i="2" s="1"/>
  <c r="DY74" i="2" a="1"/>
  <c r="DY74" i="2" s="1"/>
  <c r="FL74" i="2" a="1"/>
  <c r="FL74" i="2" s="1"/>
  <c r="DP74" i="2" a="1"/>
  <c r="DP74" i="2" s="1"/>
  <c r="EH74" i="2" a="1"/>
  <c r="EH74" i="2" s="1"/>
  <c r="DS74" i="2" a="1"/>
  <c r="DS74" i="2" s="1"/>
  <c r="DD74" i="2" a="1"/>
  <c r="DD74" i="2" s="1"/>
  <c r="EB74" i="2" a="1"/>
  <c r="EB74" i="2" s="1"/>
  <c r="DA74" i="2" a="1"/>
  <c r="DA74" i="2" s="1"/>
  <c r="DG74" i="2" a="1"/>
  <c r="DG74" i="2" s="1"/>
  <c r="EW74" i="2" a="1"/>
  <c r="EW74" i="2" s="1"/>
  <c r="DJ74" i="2" a="1"/>
  <c r="DJ74" i="2" s="1"/>
  <c r="CL74" i="2" a="1"/>
  <c r="CL74" i="2" s="1"/>
  <c r="BZ74" i="2" a="1"/>
  <c r="BZ74" i="2" s="1"/>
  <c r="BW74" i="2" a="1"/>
  <c r="BW74" i="2" s="1"/>
  <c r="CF74" i="2" a="1"/>
  <c r="CF74" i="2" s="1"/>
  <c r="BN74" i="2" a="1"/>
  <c r="BN74" i="2" s="1"/>
  <c r="BE74" i="2" a="1"/>
  <c r="BE74" i="2" s="1"/>
  <c r="AS74" i="2" a="1"/>
  <c r="AS74" i="2" s="1"/>
  <c r="AM74" i="2" a="1"/>
  <c r="AM74" i="2" s="1"/>
  <c r="AG74" i="2" a="1"/>
  <c r="AG74" i="2" s="1"/>
  <c r="AV74" i="2" a="1"/>
  <c r="AV74" i="2" s="1"/>
  <c r="BT74" i="2" a="1"/>
  <c r="BT74" i="2" s="1"/>
  <c r="BB74" i="2" a="1"/>
  <c r="BB74" i="2" s="1"/>
  <c r="CI74" i="2" a="1"/>
  <c r="CI74" i="2" s="1"/>
  <c r="BQ74" i="2" a="1"/>
  <c r="BQ74" i="2" s="1"/>
  <c r="U74" i="2" a="1"/>
  <c r="U74" i="2" s="1"/>
  <c r="I74" i="2" a="1"/>
  <c r="I74" i="2" s="1"/>
  <c r="L74" i="2" a="1"/>
  <c r="L74" i="2" s="1"/>
  <c r="AA74" i="2" a="1"/>
  <c r="AA74" i="2" s="1"/>
  <c r="X74" i="2" a="1"/>
  <c r="X74" i="2" s="1"/>
  <c r="CX74" i="2" a="1"/>
  <c r="CX74" i="2" s="1"/>
  <c r="CO74" i="2" a="1"/>
  <c r="CO74" i="2" s="1"/>
  <c r="CC74" i="2" a="1"/>
  <c r="CC74" i="2" s="1"/>
  <c r="BH74" i="2" a="1"/>
  <c r="BH74" i="2" s="1"/>
  <c r="AP74" i="2" a="1"/>
  <c r="AP74" i="2" s="1"/>
  <c r="AD74" i="2" a="1"/>
  <c r="AD74" i="2" s="1"/>
  <c r="R74" i="2" a="1"/>
  <c r="R74" i="2" s="1"/>
  <c r="O18" i="2" a="1"/>
  <c r="O18" i="2" s="1"/>
  <c r="IX18" i="2" a="1"/>
  <c r="IX18" i="2" s="1"/>
  <c r="IL18" i="2" a="1"/>
  <c r="IL18" i="2" s="1"/>
  <c r="IU18" i="2" a="1"/>
  <c r="IU18" i="2" s="1"/>
  <c r="II18" i="2" a="1"/>
  <c r="II18" i="2" s="1"/>
  <c r="JD18" i="2" a="1"/>
  <c r="JD18" i="2" s="1"/>
  <c r="JA18" i="2" a="1"/>
  <c r="JA18" i="2" s="1"/>
  <c r="IO18" i="2" a="1"/>
  <c r="IO18" i="2" s="1"/>
  <c r="HW18" i="2" a="1"/>
  <c r="HW18" i="2" s="1"/>
  <c r="IF18" i="2" a="1"/>
  <c r="IF18" i="2" s="1"/>
  <c r="HN18" i="2" a="1"/>
  <c r="HN18" i="2" s="1"/>
  <c r="GV18" i="2" a="1"/>
  <c r="GV18" i="2" s="1"/>
  <c r="IC18" i="2" a="1"/>
  <c r="IC18" i="2" s="1"/>
  <c r="HZ18" i="2" a="1"/>
  <c r="HZ18" i="2" s="1"/>
  <c r="HB18" i="2" a="1"/>
  <c r="HB18" i="2" s="1"/>
  <c r="HT18" i="2" a="1"/>
  <c r="HT18" i="2" s="1"/>
  <c r="GM18" i="2" a="1"/>
  <c r="GM18" i="2" s="1"/>
  <c r="HE18" i="2" a="1"/>
  <c r="HE18" i="2" s="1"/>
  <c r="GD18" i="2" a="1"/>
  <c r="GD18" i="2" s="1"/>
  <c r="FR18" i="2" a="1"/>
  <c r="FR18" i="2" s="1"/>
  <c r="FL18" i="2" a="1"/>
  <c r="FL18" i="2" s="1"/>
  <c r="HK18" i="2" a="1"/>
  <c r="HK18" i="2" s="1"/>
  <c r="IR18" i="2" a="1"/>
  <c r="IR18" i="2" s="1"/>
  <c r="GS18" i="2" a="1"/>
  <c r="GS18" i="2" s="1"/>
  <c r="GG18" i="2" a="1"/>
  <c r="GG18" i="2" s="1"/>
  <c r="FO18" i="2" a="1"/>
  <c r="FO18" i="2" s="1"/>
  <c r="FF18" i="2" a="1"/>
  <c r="FF18" i="2" s="1"/>
  <c r="HQ18" i="2" a="1"/>
  <c r="HQ18" i="2" s="1"/>
  <c r="GA18" i="2" a="1"/>
  <c r="GA18" i="2" s="1"/>
  <c r="FU18" i="2" a="1"/>
  <c r="FU18" i="2" s="1"/>
  <c r="GY18" i="2" a="1"/>
  <c r="GY18" i="2" s="1"/>
  <c r="GP18" i="2" a="1"/>
  <c r="GP18" i="2" s="1"/>
  <c r="EZ18" i="2" a="1"/>
  <c r="EZ18" i="2" s="1"/>
  <c r="ET18" i="2" a="1"/>
  <c r="ET18" i="2" s="1"/>
  <c r="GJ18" i="2" a="1"/>
  <c r="GJ18" i="2" s="1"/>
  <c r="FC18" i="2" a="1"/>
  <c r="FC18" i="2" s="1"/>
  <c r="FI18" i="2" a="1"/>
  <c r="FI18" i="2" s="1"/>
  <c r="EK18" i="2" a="1"/>
  <c r="EK18" i="2" s="1"/>
  <c r="DS18" i="2" a="1"/>
  <c r="DS18" i="2" s="1"/>
  <c r="EN18" i="2" a="1"/>
  <c r="EN18" i="2" s="1"/>
  <c r="EB18" i="2" a="1"/>
  <c r="EB18" i="2" s="1"/>
  <c r="DM18" i="2" a="1"/>
  <c r="DM18" i="2" s="1"/>
  <c r="DD18" i="2" a="1"/>
  <c r="DD18" i="2" s="1"/>
  <c r="CX18" i="2" a="1"/>
  <c r="CX18" i="2" s="1"/>
  <c r="EW18" i="2" a="1"/>
  <c r="EW18" i="2" s="1"/>
  <c r="EH18" i="2" a="1"/>
  <c r="EH18" i="2" s="1"/>
  <c r="FX18" i="2" a="1"/>
  <c r="FX18" i="2" s="1"/>
  <c r="EQ18" i="2" a="1"/>
  <c r="EQ18" i="2" s="1"/>
  <c r="EE18" i="2" a="1"/>
  <c r="EE18" i="2" s="1"/>
  <c r="DV18" i="2" a="1"/>
  <c r="DV18" i="2" s="1"/>
  <c r="HH18" i="2" a="1"/>
  <c r="HH18" i="2" s="1"/>
  <c r="DA18" i="2" a="1"/>
  <c r="DA18" i="2" s="1"/>
  <c r="DP18" i="2" a="1"/>
  <c r="DP18" i="2" s="1"/>
  <c r="DJ18" i="2" a="1"/>
  <c r="DJ18" i="2" s="1"/>
  <c r="BZ18" i="2" a="1"/>
  <c r="BZ18" i="2" s="1"/>
  <c r="CO18" i="2" a="1"/>
  <c r="CO18" i="2" s="1"/>
  <c r="CL18" i="2" a="1"/>
  <c r="CL18" i="2" s="1"/>
  <c r="CI18" i="2" a="1"/>
  <c r="CI18" i="2" s="1"/>
  <c r="CC18" i="2" a="1"/>
  <c r="CC18" i="2" s="1"/>
  <c r="BT18" i="2" a="1"/>
  <c r="BT18" i="2" s="1"/>
  <c r="BQ18" i="2" a="1"/>
  <c r="BQ18" i="2" s="1"/>
  <c r="AA18" i="2" a="1"/>
  <c r="AA18" i="2" s="1"/>
  <c r="DY18" i="2" a="1"/>
  <c r="DY18" i="2" s="1"/>
  <c r="BE18" i="2" a="1"/>
  <c r="BE18" i="2" s="1"/>
  <c r="AS18" i="2" a="1"/>
  <c r="AS18" i="2" s="1"/>
  <c r="BW18" i="2" a="1"/>
  <c r="BW18" i="2" s="1"/>
  <c r="CR18" i="2" a="1"/>
  <c r="CR18" i="2" s="1"/>
  <c r="BH18" i="2" a="1"/>
  <c r="BH18" i="2" s="1"/>
  <c r="AV18" i="2" a="1"/>
  <c r="AV18" i="2" s="1"/>
  <c r="U18" i="2" a="1"/>
  <c r="U18" i="2" s="1"/>
  <c r="CU18" i="2" a="1"/>
  <c r="CU18" i="2" s="1"/>
  <c r="AJ18" i="2" a="1"/>
  <c r="AJ18" i="2" s="1"/>
  <c r="AD18" i="2" a="1"/>
  <c r="AD18" i="2" s="1"/>
  <c r="BK18" i="2" a="1"/>
  <c r="BK18" i="2" s="1"/>
  <c r="AM18" i="2" a="1"/>
  <c r="AM18" i="2" s="1"/>
  <c r="DG18" i="2" a="1"/>
  <c r="DG18" i="2" s="1"/>
  <c r="AY26" i="2" a="1"/>
  <c r="AY26" i="2" s="1"/>
  <c r="BN18" i="2" a="1"/>
  <c r="BN18" i="2" s="1"/>
  <c r="IX33" i="2" a="1"/>
  <c r="IX33" i="2" s="1"/>
  <c r="O33" i="2" a="1"/>
  <c r="O33" i="2" s="1"/>
  <c r="IL33" i="2" a="1"/>
  <c r="IL33" i="2" s="1"/>
  <c r="JD33" i="2" a="1"/>
  <c r="JD33" i="2" s="1"/>
  <c r="IU33" i="2" a="1"/>
  <c r="IU33" i="2" s="1"/>
  <c r="IO33" i="2" a="1"/>
  <c r="IO33" i="2" s="1"/>
  <c r="JA33" i="2" a="1"/>
  <c r="JA33" i="2" s="1"/>
  <c r="HZ33" i="2" a="1"/>
  <c r="HZ33" i="2" s="1"/>
  <c r="IC33" i="2" a="1"/>
  <c r="IC33" i="2" s="1"/>
  <c r="HQ33" i="2" a="1"/>
  <c r="HQ33" i="2" s="1"/>
  <c r="HT33" i="2" a="1"/>
  <c r="HT33" i="2" s="1"/>
  <c r="IF33" i="2" a="1"/>
  <c r="IF33" i="2" s="1"/>
  <c r="II33" i="2" a="1"/>
  <c r="II33" i="2" s="1"/>
  <c r="HN33" i="2" a="1"/>
  <c r="HN33" i="2" s="1"/>
  <c r="HH33" i="2" a="1"/>
  <c r="HH33" i="2" s="1"/>
  <c r="HE33" i="2" a="1"/>
  <c r="HE33" i="2" s="1"/>
  <c r="GM33" i="2" a="1"/>
  <c r="GM33" i="2" s="1"/>
  <c r="GD33" i="2" a="1"/>
  <c r="GD33" i="2" s="1"/>
  <c r="FR33" i="2" a="1"/>
  <c r="FR33" i="2" s="1"/>
  <c r="GV33" i="2" a="1"/>
  <c r="GV33" i="2" s="1"/>
  <c r="GY33" i="2" a="1"/>
  <c r="GY33" i="2" s="1"/>
  <c r="GS33" i="2" a="1"/>
  <c r="GS33" i="2" s="1"/>
  <c r="FX33" i="2" a="1"/>
  <c r="FX33" i="2" s="1"/>
  <c r="IR33" i="2" a="1"/>
  <c r="IR33" i="2" s="1"/>
  <c r="HB33" i="2" a="1"/>
  <c r="HB33" i="2" s="1"/>
  <c r="HW33" i="2" a="1"/>
  <c r="HW33" i="2" s="1"/>
  <c r="HK33" i="2" a="1"/>
  <c r="HK33" i="2" s="1"/>
  <c r="GJ33" i="2" a="1"/>
  <c r="GJ33" i="2" s="1"/>
  <c r="ET33" i="2" a="1"/>
  <c r="ET33" i="2" s="1"/>
  <c r="GG33" i="2" a="1"/>
  <c r="GG33" i="2" s="1"/>
  <c r="FL33" i="2" a="1"/>
  <c r="FL33" i="2" s="1"/>
  <c r="GP33" i="2" a="1"/>
  <c r="GP33" i="2" s="1"/>
  <c r="FF33" i="2" a="1"/>
  <c r="FF33" i="2" s="1"/>
  <c r="FC33" i="2" a="1"/>
  <c r="FC33" i="2" s="1"/>
  <c r="EZ33" i="2" a="1"/>
  <c r="EZ33" i="2" s="1"/>
  <c r="EK33" i="2" a="1"/>
  <c r="EK33" i="2" s="1"/>
  <c r="DS33" i="2" a="1"/>
  <c r="DS33" i="2" s="1"/>
  <c r="FO33" i="2" a="1"/>
  <c r="FO33" i="2" s="1"/>
  <c r="FI33" i="2" a="1"/>
  <c r="FI33" i="2" s="1"/>
  <c r="EB33" i="2" a="1"/>
  <c r="EB33" i="2" s="1"/>
  <c r="FU33" i="2" a="1"/>
  <c r="FU33" i="2" s="1"/>
  <c r="EN33" i="2" a="1"/>
  <c r="EN33" i="2" s="1"/>
  <c r="GA33" i="2" a="1"/>
  <c r="GA33" i="2" s="1"/>
  <c r="EE33" i="2" a="1"/>
  <c r="EE33" i="2" s="1"/>
  <c r="DV33" i="2" a="1"/>
  <c r="DV33" i="2" s="1"/>
  <c r="EW33" i="2" a="1"/>
  <c r="EW33" i="2" s="1"/>
  <c r="DM33" i="2" a="1"/>
  <c r="DM33" i="2" s="1"/>
  <c r="CX33" i="2" a="1"/>
  <c r="CX33" i="2" s="1"/>
  <c r="DA33" i="2" a="1"/>
  <c r="DA33" i="2" s="1"/>
  <c r="EQ33" i="2" a="1"/>
  <c r="EQ33" i="2" s="1"/>
  <c r="CU33" i="2" a="1"/>
  <c r="CU33" i="2" s="1"/>
  <c r="EH33" i="2" a="1"/>
  <c r="EH33" i="2" s="1"/>
  <c r="DD33" i="2" a="1"/>
  <c r="DD33" i="2" s="1"/>
  <c r="DY33" i="2" a="1"/>
  <c r="DY33" i="2" s="1"/>
  <c r="CI33" i="2" a="1"/>
  <c r="CI33" i="2" s="1"/>
  <c r="DP33" i="2" a="1"/>
  <c r="DP33" i="2" s="1"/>
  <c r="CO33" i="2" a="1"/>
  <c r="CO33" i="2" s="1"/>
  <c r="BW33" i="2" a="1"/>
  <c r="BW33" i="2" s="1"/>
  <c r="CF33" i="2" a="1"/>
  <c r="CF33" i="2" s="1"/>
  <c r="BT33" i="2" a="1"/>
  <c r="BT33" i="2" s="1"/>
  <c r="BN33" i="2" a="1"/>
  <c r="BN33" i="2" s="1"/>
  <c r="AY33" i="2" a="1"/>
  <c r="AY33" i="2" s="1"/>
  <c r="AV33" i="2" a="1"/>
  <c r="AV33" i="2" s="1"/>
  <c r="AM33" i="2" a="1"/>
  <c r="AM33" i="2" s="1"/>
  <c r="AG33" i="2" a="1"/>
  <c r="AG33" i="2" s="1"/>
  <c r="BK33" i="2" a="1"/>
  <c r="BK33" i="2" s="1"/>
  <c r="DJ33" i="2" a="1"/>
  <c r="DJ33" i="2" s="1"/>
  <c r="BB33" i="2" a="1"/>
  <c r="BB33" i="2" s="1"/>
  <c r="DG33" i="2" a="1"/>
  <c r="DG33" i="2" s="1"/>
  <c r="AD33" i="2" a="1"/>
  <c r="AD33" i="2" s="1"/>
  <c r="CR33" i="2" a="1"/>
  <c r="CR33" i="2" s="1"/>
  <c r="CL33" i="2" a="1"/>
  <c r="CL33" i="2" s="1"/>
  <c r="BH33" i="2" a="1"/>
  <c r="BH33" i="2" s="1"/>
  <c r="BE33" i="2" a="1"/>
  <c r="BE33" i="2" s="1"/>
  <c r="AJ33" i="2" a="1"/>
  <c r="AJ33" i="2" s="1"/>
  <c r="L33" i="2" a="1"/>
  <c r="L33" i="2" s="1"/>
  <c r="X33" i="2" a="1"/>
  <c r="X33" i="2" s="1"/>
  <c r="BZ33" i="2" a="1"/>
  <c r="BZ33" i="2" s="1"/>
  <c r="AS33" i="2" a="1"/>
  <c r="AS33" i="2" s="1"/>
  <c r="CC33" i="2" a="1"/>
  <c r="CC33" i="2" s="1"/>
  <c r="R33" i="2" a="1"/>
  <c r="R33" i="2" s="1"/>
  <c r="I33" i="2" a="1"/>
  <c r="I33" i="2" s="1"/>
  <c r="R61" i="2" a="1"/>
  <c r="R61" i="2" s="1"/>
  <c r="U73" i="2" a="1"/>
  <c r="U73" i="2" s="1"/>
  <c r="U41" i="2" a="1"/>
  <c r="U41" i="2" s="1"/>
  <c r="X18" i="2" a="1"/>
  <c r="X18" i="2" s="1"/>
  <c r="AD57" i="2" a="1"/>
  <c r="AD57" i="2" s="1"/>
  <c r="AP18" i="2" a="1"/>
  <c r="AP18" i="2" s="1"/>
  <c r="BK74" i="2" a="1"/>
  <c r="BK74" i="2" s="1"/>
  <c r="BQ45" i="2" a="1"/>
  <c r="BQ45" i="2" s="1"/>
  <c r="CR74" i="2" a="1"/>
  <c r="CR74" i="2" s="1"/>
  <c r="DP73" i="2" a="1"/>
  <c r="DP73" i="2" s="1"/>
  <c r="O58" i="2" a="1"/>
  <c r="O58" i="2" s="1"/>
  <c r="IU58" i="2" a="1"/>
  <c r="IU58" i="2" s="1"/>
  <c r="II58" i="2" a="1"/>
  <c r="II58" i="2" s="1"/>
  <c r="JD58" i="2" a="1"/>
  <c r="JD58" i="2" s="1"/>
  <c r="IR58" i="2" a="1"/>
  <c r="IR58" i="2" s="1"/>
  <c r="JA58" i="2" a="1"/>
  <c r="JA58" i="2" s="1"/>
  <c r="IC58" i="2" a="1"/>
  <c r="IC58" i="2" s="1"/>
  <c r="HZ58" i="2" a="1"/>
  <c r="HZ58" i="2" s="1"/>
  <c r="HQ58" i="2" a="1"/>
  <c r="HQ58" i="2" s="1"/>
  <c r="IL58" i="2" a="1"/>
  <c r="IL58" i="2" s="1"/>
  <c r="IF58" i="2" a="1"/>
  <c r="IF58" i="2" s="1"/>
  <c r="IX58" i="2" a="1"/>
  <c r="IX58" i="2" s="1"/>
  <c r="IO58" i="2" a="1"/>
  <c r="IO58" i="2" s="1"/>
  <c r="HT58" i="2" a="1"/>
  <c r="HT58" i="2" s="1"/>
  <c r="GP58" i="2" a="1"/>
  <c r="GP58" i="2" s="1"/>
  <c r="HW58" i="2" a="1"/>
  <c r="HW58" i="2" s="1"/>
  <c r="HH58" i="2" a="1"/>
  <c r="HH58" i="2" s="1"/>
  <c r="GV58" i="2" a="1"/>
  <c r="GV58" i="2" s="1"/>
  <c r="GS58" i="2" a="1"/>
  <c r="GS58" i="2" s="1"/>
  <c r="FU58" i="2" a="1"/>
  <c r="FU58" i="2" s="1"/>
  <c r="HE58" i="2" a="1"/>
  <c r="HE58" i="2" s="1"/>
  <c r="GJ58" i="2" a="1"/>
  <c r="GJ58" i="2" s="1"/>
  <c r="FL58" i="2" a="1"/>
  <c r="FL58" i="2" s="1"/>
  <c r="GY58" i="2" a="1"/>
  <c r="GY58" i="2" s="1"/>
  <c r="HN58" i="2" a="1"/>
  <c r="HN58" i="2" s="1"/>
  <c r="FX58" i="2" a="1"/>
  <c r="FX58" i="2" s="1"/>
  <c r="FR58" i="2" a="1"/>
  <c r="FR58" i="2" s="1"/>
  <c r="FI58" i="2" a="1"/>
  <c r="FI58" i="2" s="1"/>
  <c r="HB58" i="2" a="1"/>
  <c r="HB58" i="2" s="1"/>
  <c r="GA58" i="2" a="1"/>
  <c r="GA58" i="2" s="1"/>
  <c r="GM58" i="2" a="1"/>
  <c r="GM58" i="2" s="1"/>
  <c r="FF58" i="2" a="1"/>
  <c r="FF58" i="2" s="1"/>
  <c r="GG58" i="2" a="1"/>
  <c r="GG58" i="2" s="1"/>
  <c r="EK58" i="2" a="1"/>
  <c r="EK58" i="2" s="1"/>
  <c r="DS58" i="2" a="1"/>
  <c r="DS58" i="2" s="1"/>
  <c r="EN58" i="2" a="1"/>
  <c r="EN58" i="2" s="1"/>
  <c r="EQ58" i="2" a="1"/>
  <c r="EQ58" i="2" s="1"/>
  <c r="GD58" i="2" a="1"/>
  <c r="GD58" i="2" s="1"/>
  <c r="EB58" i="2" a="1"/>
  <c r="EB58" i="2" s="1"/>
  <c r="DM58" i="2" a="1"/>
  <c r="DM58" i="2" s="1"/>
  <c r="EZ58" i="2" a="1"/>
  <c r="EZ58" i="2" s="1"/>
  <c r="EW58" i="2" a="1"/>
  <c r="EW58" i="2" s="1"/>
  <c r="EH58" i="2" a="1"/>
  <c r="EH58" i="2" s="1"/>
  <c r="EE58" i="2" a="1"/>
  <c r="EE58" i="2" s="1"/>
  <c r="DV58" i="2" a="1"/>
  <c r="DV58" i="2" s="1"/>
  <c r="ET58" i="2" a="1"/>
  <c r="ET58" i="2" s="1"/>
  <c r="DY58" i="2" a="1"/>
  <c r="DY58" i="2" s="1"/>
  <c r="DP58" i="2" a="1"/>
  <c r="DP58" i="2" s="1"/>
  <c r="DG58" i="2" a="1"/>
  <c r="DG58" i="2" s="1"/>
  <c r="FO58" i="2" a="1"/>
  <c r="FO58" i="2" s="1"/>
  <c r="HK58" i="2" a="1"/>
  <c r="HK58" i="2" s="1"/>
  <c r="CO58" i="2" a="1"/>
  <c r="CO58" i="2" s="1"/>
  <c r="CL58" i="2" a="1"/>
  <c r="CL58" i="2" s="1"/>
  <c r="CI58" i="2" a="1"/>
  <c r="CI58" i="2" s="1"/>
  <c r="CU58" i="2" a="1"/>
  <c r="CU58" i="2" s="1"/>
  <c r="CR58" i="2" a="1"/>
  <c r="CR58" i="2" s="1"/>
  <c r="DD58" i="2" a="1"/>
  <c r="DD58" i="2" s="1"/>
  <c r="CX58" i="2" a="1"/>
  <c r="CX58" i="2" s="1"/>
  <c r="FC58" i="2" a="1"/>
  <c r="FC58" i="2" s="1"/>
  <c r="AV58" i="2" a="1"/>
  <c r="AV58" i="2" s="1"/>
  <c r="CC58" i="2" a="1"/>
  <c r="CC58" i="2" s="1"/>
  <c r="BN58" i="2" a="1"/>
  <c r="BN58" i="2" s="1"/>
  <c r="BE58" i="2" a="1"/>
  <c r="BE58" i="2" s="1"/>
  <c r="BB58" i="2" a="1"/>
  <c r="BB58" i="2" s="1"/>
  <c r="AS58" i="2" a="1"/>
  <c r="AS58" i="2" s="1"/>
  <c r="AP58" i="2" a="1"/>
  <c r="AP58" i="2" s="1"/>
  <c r="AJ58" i="2" a="1"/>
  <c r="AJ58" i="2" s="1"/>
  <c r="BW58" i="2" a="1"/>
  <c r="BW58" i="2" s="1"/>
  <c r="U58" i="2" a="1"/>
  <c r="U58" i="2" s="1"/>
  <c r="BZ58" i="2" a="1"/>
  <c r="BZ58" i="2" s="1"/>
  <c r="AA58" i="2" a="1"/>
  <c r="AA58" i="2" s="1"/>
  <c r="R58" i="2" a="1"/>
  <c r="R58" i="2" s="1"/>
  <c r="AG58" i="2" a="1"/>
  <c r="AG58" i="2" s="1"/>
  <c r="BQ58" i="2" a="1"/>
  <c r="BQ58" i="2" s="1"/>
  <c r="DJ58" i="2" a="1"/>
  <c r="DJ58" i="2" s="1"/>
  <c r="BT58" i="2" a="1"/>
  <c r="BT58" i="2" s="1"/>
  <c r="BK58" i="2" a="1"/>
  <c r="BK58" i="2" s="1"/>
  <c r="L58" i="2" a="1"/>
  <c r="L58" i="2" s="1"/>
  <c r="I58" i="2" a="1"/>
  <c r="I58" i="2" s="1"/>
  <c r="DA58" i="2" a="1"/>
  <c r="DA58" i="2" s="1"/>
  <c r="O42" i="2" a="1"/>
  <c r="O42" i="2" s="1"/>
  <c r="IU42" i="2" a="1"/>
  <c r="IU42" i="2" s="1"/>
  <c r="JD42" i="2" a="1"/>
  <c r="JD42" i="2" s="1"/>
  <c r="IO42" i="2" a="1"/>
  <c r="IO42" i="2" s="1"/>
  <c r="II42" i="2" a="1"/>
  <c r="II42" i="2" s="1"/>
  <c r="JA42" i="2" a="1"/>
  <c r="JA42" i="2" s="1"/>
  <c r="IR42" i="2" a="1"/>
  <c r="IR42" i="2" s="1"/>
  <c r="HZ42" i="2" a="1"/>
  <c r="HZ42" i="2" s="1"/>
  <c r="IC42" i="2" a="1"/>
  <c r="IC42" i="2" s="1"/>
  <c r="IF42" i="2" a="1"/>
  <c r="IF42" i="2" s="1"/>
  <c r="HW42" i="2" a="1"/>
  <c r="HW42" i="2" s="1"/>
  <c r="HN42" i="2" a="1"/>
  <c r="HN42" i="2" s="1"/>
  <c r="GM42" i="2" a="1"/>
  <c r="GM42" i="2" s="1"/>
  <c r="HB42" i="2" a="1"/>
  <c r="HB42" i="2" s="1"/>
  <c r="HQ42" i="2" a="1"/>
  <c r="HQ42" i="2" s="1"/>
  <c r="HK42" i="2" a="1"/>
  <c r="HK42" i="2" s="1"/>
  <c r="GA42" i="2" a="1"/>
  <c r="GA42" i="2" s="1"/>
  <c r="FO42" i="2" a="1"/>
  <c r="FO42" i="2" s="1"/>
  <c r="HT42" i="2" a="1"/>
  <c r="HT42" i="2" s="1"/>
  <c r="HE42" i="2" a="1"/>
  <c r="HE42" i="2" s="1"/>
  <c r="FU42" i="2" a="1"/>
  <c r="FU42" i="2" s="1"/>
  <c r="GV42" i="2" a="1"/>
  <c r="GV42" i="2" s="1"/>
  <c r="GG42" i="2" a="1"/>
  <c r="GG42" i="2" s="1"/>
  <c r="HH42" i="2" a="1"/>
  <c r="HH42" i="2" s="1"/>
  <c r="GS42" i="2" a="1"/>
  <c r="GS42" i="2" s="1"/>
  <c r="FF42" i="2" a="1"/>
  <c r="FF42" i="2" s="1"/>
  <c r="GD42" i="2" a="1"/>
  <c r="GD42" i="2" s="1"/>
  <c r="GP42" i="2" a="1"/>
  <c r="GP42" i="2" s="1"/>
  <c r="FX42" i="2" a="1"/>
  <c r="FX42" i="2" s="1"/>
  <c r="EZ42" i="2" a="1"/>
  <c r="EZ42" i="2" s="1"/>
  <c r="EK42" i="2" a="1"/>
  <c r="EK42" i="2" s="1"/>
  <c r="DS42" i="2" a="1"/>
  <c r="DS42" i="2" s="1"/>
  <c r="IX42" i="2" a="1"/>
  <c r="IX42" i="2" s="1"/>
  <c r="EN42" i="2" a="1"/>
  <c r="EN42" i="2" s="1"/>
  <c r="GJ42" i="2" a="1"/>
  <c r="GJ42" i="2" s="1"/>
  <c r="FR42" i="2" a="1"/>
  <c r="FR42" i="2" s="1"/>
  <c r="EW42" i="2" a="1"/>
  <c r="EW42" i="2" s="1"/>
  <c r="EQ42" i="2" a="1"/>
  <c r="EQ42" i="2" s="1"/>
  <c r="EH42" i="2" a="1"/>
  <c r="EH42" i="2" s="1"/>
  <c r="DM42" i="2" a="1"/>
  <c r="DM42" i="2" s="1"/>
  <c r="EB42" i="2" a="1"/>
  <c r="EB42" i="2" s="1"/>
  <c r="IL42" i="2" a="1"/>
  <c r="IL42" i="2" s="1"/>
  <c r="FC42" i="2" a="1"/>
  <c r="FC42" i="2" s="1"/>
  <c r="GY42" i="2" a="1"/>
  <c r="GY42" i="2" s="1"/>
  <c r="DG42" i="2" a="1"/>
  <c r="DG42" i="2" s="1"/>
  <c r="FL42" i="2" a="1"/>
  <c r="FL42" i="2" s="1"/>
  <c r="ET42" i="2" a="1"/>
  <c r="ET42" i="2" s="1"/>
  <c r="DV42" i="2" a="1"/>
  <c r="DV42" i="2" s="1"/>
  <c r="DP42" i="2" a="1"/>
  <c r="DP42" i="2" s="1"/>
  <c r="EE42" i="2" a="1"/>
  <c r="EE42" i="2" s="1"/>
  <c r="FI42" i="2" a="1"/>
  <c r="FI42" i="2" s="1"/>
  <c r="DY42" i="2" a="1"/>
  <c r="DY42" i="2" s="1"/>
  <c r="DJ42" i="2" a="1"/>
  <c r="DJ42" i="2" s="1"/>
  <c r="DD42" i="2" a="1"/>
  <c r="DD42" i="2" s="1"/>
  <c r="CI42" i="2" a="1"/>
  <c r="CI42" i="2" s="1"/>
  <c r="CR42" i="2" a="1"/>
  <c r="CR42" i="2" s="1"/>
  <c r="CL42" i="2" a="1"/>
  <c r="CL42" i="2" s="1"/>
  <c r="CC42" i="2" a="1"/>
  <c r="CC42" i="2" s="1"/>
  <c r="CU42" i="2" a="1"/>
  <c r="CU42" i="2" s="1"/>
  <c r="CO42" i="2" a="1"/>
  <c r="CO42" i="2" s="1"/>
  <c r="BN42" i="2" a="1"/>
  <c r="BN42" i="2" s="1"/>
  <c r="BE42" i="2" a="1"/>
  <c r="BE42" i="2" s="1"/>
  <c r="AS42" i="2" a="1"/>
  <c r="AS42" i="2" s="1"/>
  <c r="AM42" i="2" a="1"/>
  <c r="AM42" i="2" s="1"/>
  <c r="AG42" i="2" a="1"/>
  <c r="AG42" i="2" s="1"/>
  <c r="AV42" i="2" a="1"/>
  <c r="AV42" i="2" s="1"/>
  <c r="DA42" i="2" a="1"/>
  <c r="DA42" i="2" s="1"/>
  <c r="BZ42" i="2" a="1"/>
  <c r="BZ42" i="2" s="1"/>
  <c r="BB42" i="2" a="1"/>
  <c r="BB42" i="2" s="1"/>
  <c r="CX42" i="2" a="1"/>
  <c r="CX42" i="2" s="1"/>
  <c r="CF42" i="2" a="1"/>
  <c r="CF42" i="2" s="1"/>
  <c r="AP42" i="2" a="1"/>
  <c r="AP42" i="2" s="1"/>
  <c r="AD42" i="2" a="1"/>
  <c r="AD42" i="2" s="1"/>
  <c r="U42" i="2" a="1"/>
  <c r="U42" i="2" s="1"/>
  <c r="BW42" i="2" a="1"/>
  <c r="BW42" i="2" s="1"/>
  <c r="BH42" i="2" a="1"/>
  <c r="BH42" i="2" s="1"/>
  <c r="L42" i="2" a="1"/>
  <c r="L42" i="2" s="1"/>
  <c r="BT42" i="2" a="1"/>
  <c r="BT42" i="2" s="1"/>
  <c r="AJ42" i="2" a="1"/>
  <c r="AJ42" i="2" s="1"/>
  <c r="BQ42" i="2" a="1"/>
  <c r="BQ42" i="2" s="1"/>
  <c r="R42" i="2" a="1"/>
  <c r="R42" i="2" s="1"/>
  <c r="O17" i="2" a="1"/>
  <c r="O17" i="2" s="1"/>
  <c r="IX17" i="2" a="1"/>
  <c r="IX17" i="2" s="1"/>
  <c r="IL17" i="2" a="1"/>
  <c r="IL17" i="2" s="1"/>
  <c r="IU17" i="2" a="1"/>
  <c r="IU17" i="2" s="1"/>
  <c r="JD17" i="2" a="1"/>
  <c r="JD17" i="2" s="1"/>
  <c r="JA17" i="2" a="1"/>
  <c r="JA17" i="2" s="1"/>
  <c r="IO17" i="2" a="1"/>
  <c r="IO17" i="2" s="1"/>
  <c r="HW17" i="2" a="1"/>
  <c r="HW17" i="2" s="1"/>
  <c r="IF17" i="2" a="1"/>
  <c r="IF17" i="2" s="1"/>
  <c r="GS17" i="2" a="1"/>
  <c r="GS17" i="2" s="1"/>
  <c r="HN17" i="2" a="1"/>
  <c r="HN17" i="2" s="1"/>
  <c r="GV17" i="2" a="1"/>
  <c r="GV17" i="2" s="1"/>
  <c r="IC17" i="2" a="1"/>
  <c r="IC17" i="2" s="1"/>
  <c r="HZ17" i="2" a="1"/>
  <c r="HZ17" i="2" s="1"/>
  <c r="HH17" i="2" a="1"/>
  <c r="HH17" i="2" s="1"/>
  <c r="GP17" i="2" a="1"/>
  <c r="GP17" i="2" s="1"/>
  <c r="HB17" i="2" a="1"/>
  <c r="HB17" i="2" s="1"/>
  <c r="HT17" i="2" a="1"/>
  <c r="HT17" i="2" s="1"/>
  <c r="GM17" i="2" a="1"/>
  <c r="GM17" i="2" s="1"/>
  <c r="GG17" i="2" a="1"/>
  <c r="GG17" i="2" s="1"/>
  <c r="GA17" i="2" a="1"/>
  <c r="GA17" i="2" s="1"/>
  <c r="II17" i="2" a="1"/>
  <c r="II17" i="2" s="1"/>
  <c r="HE17" i="2" a="1"/>
  <c r="HE17" i="2" s="1"/>
  <c r="GD17" i="2" a="1"/>
  <c r="GD17" i="2" s="1"/>
  <c r="FL17" i="2" a="1"/>
  <c r="FL17" i="2" s="1"/>
  <c r="GJ17" i="2" a="1"/>
  <c r="GJ17" i="2" s="1"/>
  <c r="FI17" i="2" a="1"/>
  <c r="FI17" i="2" s="1"/>
  <c r="IR17" i="2" a="1"/>
  <c r="IR17" i="2" s="1"/>
  <c r="HK17" i="2" a="1"/>
  <c r="HK17" i="2" s="1"/>
  <c r="FO17" i="2" a="1"/>
  <c r="FO17" i="2" s="1"/>
  <c r="HQ17" i="2" a="1"/>
  <c r="HQ17" i="2" s="1"/>
  <c r="FU17" i="2" a="1"/>
  <c r="FU17" i="2" s="1"/>
  <c r="FF17" i="2" a="1"/>
  <c r="FF17" i="2" s="1"/>
  <c r="FC17" i="2" a="1"/>
  <c r="FC17" i="2" s="1"/>
  <c r="FX17" i="2" a="1"/>
  <c r="FX17" i="2" s="1"/>
  <c r="EQ17" i="2" a="1"/>
  <c r="EQ17" i="2" s="1"/>
  <c r="ET17" i="2" a="1"/>
  <c r="ET17" i="2" s="1"/>
  <c r="EZ17" i="2" a="1"/>
  <c r="EZ17" i="2" s="1"/>
  <c r="EN17" i="2" a="1"/>
  <c r="EN17" i="2" s="1"/>
  <c r="EB17" i="2" a="1"/>
  <c r="EB17" i="2" s="1"/>
  <c r="FR17" i="2" a="1"/>
  <c r="FR17" i="2" s="1"/>
  <c r="EW17" i="2" a="1"/>
  <c r="EW17" i="2" s="1"/>
  <c r="EH17" i="2" a="1"/>
  <c r="EH17" i="2" s="1"/>
  <c r="GY17" i="2" a="1"/>
  <c r="GY17" i="2" s="1"/>
  <c r="EE17" i="2" a="1"/>
  <c r="EE17" i="2" s="1"/>
  <c r="DJ17" i="2" a="1"/>
  <c r="DJ17" i="2" s="1"/>
  <c r="DY17" i="2" a="1"/>
  <c r="DY17" i="2" s="1"/>
  <c r="CU17" i="2" a="1"/>
  <c r="CU17" i="2" s="1"/>
  <c r="CI17" i="2" a="1"/>
  <c r="CI17" i="2" s="1"/>
  <c r="DV17" i="2" a="1"/>
  <c r="DV17" i="2" s="1"/>
  <c r="DS17" i="2" a="1"/>
  <c r="DS17" i="2" s="1"/>
  <c r="DG17" i="2" a="1"/>
  <c r="DG17" i="2" s="1"/>
  <c r="DA17" i="2" a="1"/>
  <c r="DA17" i="2" s="1"/>
  <c r="CR17" i="2" a="1"/>
  <c r="CR17" i="2" s="1"/>
  <c r="CF17" i="2" a="1"/>
  <c r="CF17" i="2" s="1"/>
  <c r="BW17" i="2" a="1"/>
  <c r="BW17" i="2" s="1"/>
  <c r="DP17" i="2" a="1"/>
  <c r="DP17" i="2" s="1"/>
  <c r="CL17" i="2" a="1"/>
  <c r="CL17" i="2" s="1"/>
  <c r="BN17" i="2" a="1"/>
  <c r="BN17" i="2" s="1"/>
  <c r="BK17" i="2" a="1"/>
  <c r="BK17" i="2" s="1"/>
  <c r="BB17" i="2" a="1"/>
  <c r="BB17" i="2" s="1"/>
  <c r="AY17" i="2" a="1"/>
  <c r="AY17" i="2" s="1"/>
  <c r="AP17" i="2" a="1"/>
  <c r="AP17" i="2" s="1"/>
  <c r="AJ17" i="2" a="1"/>
  <c r="AJ17" i="2" s="1"/>
  <c r="DD17" i="2" a="1"/>
  <c r="DD17" i="2" s="1"/>
  <c r="CX17" i="2" a="1"/>
  <c r="CX17" i="2" s="1"/>
  <c r="CC17" i="2" a="1"/>
  <c r="CC17" i="2" s="1"/>
  <c r="EK17" i="2" a="1"/>
  <c r="EK17" i="2" s="1"/>
  <c r="CO17" i="2" a="1"/>
  <c r="CO17" i="2" s="1"/>
  <c r="AV17" i="2" a="1"/>
  <c r="AV17" i="2" s="1"/>
  <c r="BE17" i="2" a="1"/>
  <c r="BE17" i="2" s="1"/>
  <c r="AD17" i="2" a="1"/>
  <c r="AD17" i="2" s="1"/>
  <c r="AM17" i="2" a="1"/>
  <c r="AM17" i="2" s="1"/>
  <c r="BZ17" i="2" a="1"/>
  <c r="BZ17" i="2" s="1"/>
  <c r="BH17" i="2" a="1"/>
  <c r="BH17" i="2" s="1"/>
  <c r="DM17" i="2" a="1"/>
  <c r="DM17" i="2" s="1"/>
  <c r="BT17" i="2" a="1"/>
  <c r="BT17" i="2" s="1"/>
  <c r="BQ17" i="2" a="1"/>
  <c r="BQ17" i="2" s="1"/>
  <c r="AA17" i="2" a="1"/>
  <c r="AA17" i="2" s="1"/>
  <c r="X17" i="2" a="1"/>
  <c r="X17" i="2" s="1"/>
  <c r="R17" i="2" a="1"/>
  <c r="R17" i="2" s="1"/>
  <c r="I17" i="2" a="1"/>
  <c r="I17" i="2" s="1"/>
  <c r="L17" i="2" a="1"/>
  <c r="L17" i="2" s="1"/>
  <c r="AG17" i="2" a="1"/>
  <c r="AG17" i="2" s="1"/>
  <c r="I34" i="2" a="1"/>
  <c r="I34" i="2" s="1"/>
  <c r="R34" i="2" a="1"/>
  <c r="R34" i="2" s="1"/>
  <c r="U61" i="2" a="1"/>
  <c r="U61" i="2" s="1"/>
  <c r="X13" i="2" a="1"/>
  <c r="X13" i="2" s="1"/>
  <c r="AA33" i="2" a="1"/>
  <c r="AA33" i="2" s="1"/>
  <c r="AD10" i="2" a="1"/>
  <c r="AD10" i="2" s="1"/>
  <c r="AJ74" i="2" a="1"/>
  <c r="AJ74" i="2" s="1"/>
  <c r="AS17" i="2" a="1"/>
  <c r="AS17" i="2" s="1"/>
  <c r="AY18" i="2" a="1"/>
  <c r="AY18" i="2" s="1"/>
  <c r="BK73" i="2" a="1"/>
  <c r="BK73" i="2" s="1"/>
  <c r="BN10" i="2" a="1"/>
  <c r="BN10" i="2" s="1"/>
  <c r="BZ10" i="2" a="1"/>
  <c r="BZ10" i="2" s="1"/>
  <c r="CF18" i="2" a="1"/>
  <c r="CF18" i="2" s="1"/>
  <c r="DA5" i="2" a="1"/>
  <c r="DA5" i="2" s="1"/>
  <c r="O50" i="2" a="1"/>
  <c r="O50" i="2" s="1"/>
  <c r="IU50" i="2" a="1"/>
  <c r="IU50" i="2" s="1"/>
  <c r="JD50" i="2" a="1"/>
  <c r="JD50" i="2" s="1"/>
  <c r="IO50" i="2" a="1"/>
  <c r="IO50" i="2" s="1"/>
  <c r="II50" i="2" a="1"/>
  <c r="II50" i="2" s="1"/>
  <c r="IR50" i="2" a="1"/>
  <c r="IR50" i="2" s="1"/>
  <c r="JA50" i="2" a="1"/>
  <c r="JA50" i="2" s="1"/>
  <c r="IL50" i="2" a="1"/>
  <c r="IL50" i="2" s="1"/>
  <c r="IX50" i="2" a="1"/>
  <c r="IX50" i="2" s="1"/>
  <c r="HZ50" i="2" a="1"/>
  <c r="HZ50" i="2" s="1"/>
  <c r="IF50" i="2" a="1"/>
  <c r="IF50" i="2" s="1"/>
  <c r="IC50" i="2" a="1"/>
  <c r="IC50" i="2" s="1"/>
  <c r="HT50" i="2" a="1"/>
  <c r="HT50" i="2" s="1"/>
  <c r="HN50" i="2" a="1"/>
  <c r="HN50" i="2" s="1"/>
  <c r="HW50" i="2" a="1"/>
  <c r="HW50" i="2" s="1"/>
  <c r="GP50" i="2" a="1"/>
  <c r="GP50" i="2" s="1"/>
  <c r="HK50" i="2" a="1"/>
  <c r="HK50" i="2" s="1"/>
  <c r="GS50" i="2" a="1"/>
  <c r="GS50" i="2" s="1"/>
  <c r="GY50" i="2" a="1"/>
  <c r="GY50" i="2" s="1"/>
  <c r="HH50" i="2" a="1"/>
  <c r="HH50" i="2" s="1"/>
  <c r="FU50" i="2" a="1"/>
  <c r="FU50" i="2" s="1"/>
  <c r="HB50" i="2" a="1"/>
  <c r="HB50" i="2" s="1"/>
  <c r="GJ50" i="2" a="1"/>
  <c r="GJ50" i="2" s="1"/>
  <c r="GM50" i="2" a="1"/>
  <c r="GM50" i="2" s="1"/>
  <c r="FX50" i="2" a="1"/>
  <c r="FX50" i="2" s="1"/>
  <c r="GG50" i="2" a="1"/>
  <c r="GG50" i="2" s="1"/>
  <c r="GA50" i="2" a="1"/>
  <c r="GA50" i="2" s="1"/>
  <c r="HE50" i="2" a="1"/>
  <c r="HE50" i="2" s="1"/>
  <c r="FO50" i="2" a="1"/>
  <c r="FO50" i="2" s="1"/>
  <c r="FI50" i="2" a="1"/>
  <c r="FI50" i="2" s="1"/>
  <c r="EK50" i="2" a="1"/>
  <c r="EK50" i="2" s="1"/>
  <c r="DS50" i="2" a="1"/>
  <c r="DS50" i="2" s="1"/>
  <c r="GV50" i="2" a="1"/>
  <c r="GV50" i="2" s="1"/>
  <c r="EN50" i="2" a="1"/>
  <c r="EN50" i="2" s="1"/>
  <c r="EQ50" i="2" a="1"/>
  <c r="EQ50" i="2" s="1"/>
  <c r="EE50" i="2" a="1"/>
  <c r="EE50" i="2" s="1"/>
  <c r="DV50" i="2" a="1"/>
  <c r="DV50" i="2" s="1"/>
  <c r="HQ50" i="2" a="1"/>
  <c r="HQ50" i="2" s="1"/>
  <c r="FC50" i="2" a="1"/>
  <c r="FC50" i="2" s="1"/>
  <c r="DM50" i="2" a="1"/>
  <c r="DM50" i="2" s="1"/>
  <c r="DD50" i="2" a="1"/>
  <c r="DD50" i="2" s="1"/>
  <c r="GD50" i="2" a="1"/>
  <c r="GD50" i="2" s="1"/>
  <c r="FF50" i="2" a="1"/>
  <c r="FF50" i="2" s="1"/>
  <c r="ET50" i="2" a="1"/>
  <c r="ET50" i="2" s="1"/>
  <c r="DY50" i="2" a="1"/>
  <c r="DY50" i="2" s="1"/>
  <c r="FL50" i="2" a="1"/>
  <c r="FL50" i="2" s="1"/>
  <c r="DG50" i="2" a="1"/>
  <c r="DG50" i="2" s="1"/>
  <c r="EB50" i="2" a="1"/>
  <c r="EB50" i="2" s="1"/>
  <c r="FR50" i="2" a="1"/>
  <c r="FR50" i="2" s="1"/>
  <c r="EZ50" i="2" a="1"/>
  <c r="EZ50" i="2" s="1"/>
  <c r="DP50" i="2" a="1"/>
  <c r="DP50" i="2" s="1"/>
  <c r="DJ50" i="2" a="1"/>
  <c r="DJ50" i="2" s="1"/>
  <c r="BZ50" i="2" a="1"/>
  <c r="BZ50" i="2" s="1"/>
  <c r="EH50" i="2" a="1"/>
  <c r="EH50" i="2" s="1"/>
  <c r="CR50" i="2" a="1"/>
  <c r="CR50" i="2" s="1"/>
  <c r="CX50" i="2" a="1"/>
  <c r="CX50" i="2" s="1"/>
  <c r="CL50" i="2" a="1"/>
  <c r="CL50" i="2" s="1"/>
  <c r="CC50" i="2" a="1"/>
  <c r="CC50" i="2" s="1"/>
  <c r="BT50" i="2" a="1"/>
  <c r="BT50" i="2" s="1"/>
  <c r="DA50" i="2" a="1"/>
  <c r="DA50" i="2" s="1"/>
  <c r="CU50" i="2" a="1"/>
  <c r="CU50" i="2" s="1"/>
  <c r="CO50" i="2" a="1"/>
  <c r="CO50" i="2" s="1"/>
  <c r="AA50" i="2" a="1"/>
  <c r="AA50" i="2" s="1"/>
  <c r="BN50" i="2" a="1"/>
  <c r="BN50" i="2" s="1"/>
  <c r="BE50" i="2" a="1"/>
  <c r="BE50" i="2" s="1"/>
  <c r="AS50" i="2" a="1"/>
  <c r="AS50" i="2" s="1"/>
  <c r="EW50" i="2" a="1"/>
  <c r="EW50" i="2" s="1"/>
  <c r="BQ50" i="2" a="1"/>
  <c r="BQ50" i="2" s="1"/>
  <c r="CI50" i="2" a="1"/>
  <c r="CI50" i="2" s="1"/>
  <c r="CF50" i="2" a="1"/>
  <c r="CF50" i="2" s="1"/>
  <c r="BW50" i="2" a="1"/>
  <c r="BW50" i="2" s="1"/>
  <c r="BH50" i="2" a="1"/>
  <c r="BH50" i="2" s="1"/>
  <c r="AD50" i="2" a="1"/>
  <c r="AD50" i="2" s="1"/>
  <c r="U50" i="2" a="1"/>
  <c r="U50" i="2" s="1"/>
  <c r="AP50" i="2" a="1"/>
  <c r="AP50" i="2" s="1"/>
  <c r="AG50" i="2" a="1"/>
  <c r="AG50" i="2" s="1"/>
  <c r="BB50" i="2" a="1"/>
  <c r="BB50" i="2" s="1"/>
  <c r="X50" i="2" a="1"/>
  <c r="X50" i="2" s="1"/>
  <c r="R50" i="2" a="1"/>
  <c r="R50" i="2" s="1"/>
  <c r="AV50" i="2" a="1"/>
  <c r="AV50" i="2" s="1"/>
  <c r="AJ50" i="2" a="1"/>
  <c r="AJ50" i="2" s="1"/>
  <c r="BK50" i="2" a="1"/>
  <c r="BK50" i="2" s="1"/>
  <c r="IX9" i="2" a="1"/>
  <c r="IX9" i="2" s="1"/>
  <c r="IL9" i="2" a="1"/>
  <c r="IL9" i="2" s="1"/>
  <c r="IU9" i="2" a="1"/>
  <c r="IU9" i="2" s="1"/>
  <c r="IO9" i="2" a="1"/>
  <c r="IO9" i="2" s="1"/>
  <c r="IR9" i="2" a="1"/>
  <c r="IR9" i="2" s="1"/>
  <c r="IF9" i="2" a="1"/>
  <c r="IF9" i="2" s="1"/>
  <c r="II9" i="2" a="1"/>
  <c r="II9" i="2" s="1"/>
  <c r="JA9" i="2" a="1"/>
  <c r="JA9" i="2" s="1"/>
  <c r="IC9" i="2" a="1"/>
  <c r="IC9" i="2" s="1"/>
  <c r="HZ9" i="2" a="1"/>
  <c r="HZ9" i="2" s="1"/>
  <c r="HQ9" i="2" a="1"/>
  <c r="HQ9" i="2" s="1"/>
  <c r="GS9" i="2" a="1"/>
  <c r="GS9" i="2" s="1"/>
  <c r="HT9" i="2" a="1"/>
  <c r="HT9" i="2" s="1"/>
  <c r="GV9" i="2" a="1"/>
  <c r="GV9" i="2" s="1"/>
  <c r="JD9" i="2" a="1"/>
  <c r="JD9" i="2" s="1"/>
  <c r="HK9" i="2" a="1"/>
  <c r="HK9" i="2" s="1"/>
  <c r="HE9" i="2" a="1"/>
  <c r="HE9" i="2" s="1"/>
  <c r="GJ9" i="2" a="1"/>
  <c r="GJ9" i="2" s="1"/>
  <c r="HW9" i="2" a="1"/>
  <c r="HW9" i="2" s="1"/>
  <c r="HH9" i="2" a="1"/>
  <c r="HH9" i="2" s="1"/>
  <c r="GY9" i="2" a="1"/>
  <c r="GY9" i="2" s="1"/>
  <c r="GM9" i="2" a="1"/>
  <c r="GM9" i="2" s="1"/>
  <c r="FU9" i="2" a="1"/>
  <c r="FU9" i="2" s="1"/>
  <c r="HN9" i="2" a="1"/>
  <c r="HN9" i="2" s="1"/>
  <c r="GG9" i="2" a="1"/>
  <c r="GG9" i="2" s="1"/>
  <c r="GD9" i="2" a="1"/>
  <c r="GD9" i="2" s="1"/>
  <c r="GA9" i="2" a="1"/>
  <c r="GA9" i="2" s="1"/>
  <c r="FO9" i="2" a="1"/>
  <c r="FO9" i="2" s="1"/>
  <c r="FR9" i="2" a="1"/>
  <c r="FR9" i="2" s="1"/>
  <c r="FI9" i="2" a="1"/>
  <c r="FI9" i="2" s="1"/>
  <c r="HB9" i="2" a="1"/>
  <c r="HB9" i="2" s="1"/>
  <c r="FX9" i="2" a="1"/>
  <c r="FX9" i="2" s="1"/>
  <c r="EQ9" i="2" a="1"/>
  <c r="EQ9" i="2" s="1"/>
  <c r="DV9" i="2" a="1"/>
  <c r="DV9" i="2" s="1"/>
  <c r="FL9" i="2" a="1"/>
  <c r="FL9" i="2" s="1"/>
  <c r="FF9" i="2" a="1"/>
  <c r="FF9" i="2" s="1"/>
  <c r="ET9" i="2" a="1"/>
  <c r="ET9" i="2" s="1"/>
  <c r="FC9" i="2" a="1"/>
  <c r="FC9" i="2" s="1"/>
  <c r="GP9" i="2" a="1"/>
  <c r="GP9" i="2" s="1"/>
  <c r="EZ9" i="2" a="1"/>
  <c r="EZ9" i="2" s="1"/>
  <c r="DD9" i="2" a="1"/>
  <c r="DD9" i="2" s="1"/>
  <c r="CX9" i="2" a="1"/>
  <c r="CX9" i="2" s="1"/>
  <c r="EK9" i="2" a="1"/>
  <c r="EK9" i="2" s="1"/>
  <c r="EE9" i="2" a="1"/>
  <c r="EE9" i="2" s="1"/>
  <c r="DJ9" i="2" a="1"/>
  <c r="DJ9" i="2" s="1"/>
  <c r="DY9" i="2" a="1"/>
  <c r="DY9" i="2" s="1"/>
  <c r="DS9" i="2" a="1"/>
  <c r="DS9" i="2" s="1"/>
  <c r="CU9" i="2" a="1"/>
  <c r="CU9" i="2" s="1"/>
  <c r="CO9" i="2" a="1"/>
  <c r="CO9" i="2" s="1"/>
  <c r="DP9" i="2" a="1"/>
  <c r="DP9" i="2" s="1"/>
  <c r="EB9" i="2" a="1"/>
  <c r="EB9" i="2" s="1"/>
  <c r="CI9" i="2" a="1"/>
  <c r="CI9" i="2" s="1"/>
  <c r="BZ9" i="2" a="1"/>
  <c r="BZ9" i="2" s="1"/>
  <c r="DM9" i="2" a="1"/>
  <c r="DM9" i="2" s="1"/>
  <c r="CF9" i="2" a="1"/>
  <c r="CF9" i="2" s="1"/>
  <c r="EN9" i="2" a="1"/>
  <c r="EN9" i="2" s="1"/>
  <c r="CR9" i="2" a="1"/>
  <c r="CR9" i="2" s="1"/>
  <c r="BT9" i="2" a="1"/>
  <c r="BT9" i="2" s="1"/>
  <c r="CL9" i="2" a="1"/>
  <c r="CL9" i="2" s="1"/>
  <c r="BN9" i="2" a="1"/>
  <c r="BN9" i="2" s="1"/>
  <c r="AY9" i="2" a="1"/>
  <c r="AY9" i="2" s="1"/>
  <c r="DA9" i="2" a="1"/>
  <c r="DA9" i="2" s="1"/>
  <c r="BQ9" i="2" a="1"/>
  <c r="BQ9" i="2" s="1"/>
  <c r="EW9" i="2" a="1"/>
  <c r="EW9" i="2" s="1"/>
  <c r="CC9" i="2" a="1"/>
  <c r="CC9" i="2" s="1"/>
  <c r="BW9" i="2" a="1"/>
  <c r="BW9" i="2" s="1"/>
  <c r="BH9" i="2" a="1"/>
  <c r="BH9" i="2" s="1"/>
  <c r="AM9" i="2" a="1"/>
  <c r="AM9" i="2" s="1"/>
  <c r="X9" i="2" a="1"/>
  <c r="X9" i="2" s="1"/>
  <c r="BE9" i="2" a="1"/>
  <c r="BE9" i="2" s="1"/>
  <c r="AD9" i="2" a="1"/>
  <c r="AD9" i="2" s="1"/>
  <c r="BK9" i="2" a="1"/>
  <c r="BK9" i="2" s="1"/>
  <c r="AV9" i="2" a="1"/>
  <c r="AV9" i="2" s="1"/>
  <c r="AA9" i="2" a="1"/>
  <c r="AA9" i="2" s="1"/>
  <c r="EH9" i="2" a="1"/>
  <c r="EH9" i="2" s="1"/>
  <c r="AP9" i="2" a="1"/>
  <c r="AP9" i="2" s="1"/>
  <c r="I9" i="2" a="1"/>
  <c r="I9" i="2" s="1"/>
  <c r="DG9" i="2" a="1"/>
  <c r="DG9" i="2" s="1"/>
  <c r="AS9" i="2" a="1"/>
  <c r="AS9" i="2" s="1"/>
  <c r="AG9" i="2" a="1"/>
  <c r="AG9" i="2" s="1"/>
  <c r="I42" i="2" a="1"/>
  <c r="I42" i="2" s="1"/>
  <c r="L13" i="2" a="1"/>
  <c r="L13" i="2" s="1"/>
  <c r="R57" i="2" a="1"/>
  <c r="R57" i="2" s="1"/>
  <c r="U49" i="2" a="1"/>
  <c r="U49" i="2" s="1"/>
  <c r="U17" i="2" a="1"/>
  <c r="U17" i="2" s="1"/>
  <c r="AA5" i="2" a="1"/>
  <c r="AA5" i="2" s="1"/>
  <c r="BW57" i="2" a="1"/>
  <c r="BW57" i="2" s="1"/>
  <c r="CU34" i="2" a="1"/>
  <c r="CU34" i="2" s="1"/>
  <c r="O66" i="2" a="1"/>
  <c r="O66" i="2" s="1"/>
  <c r="IU66" i="2" a="1"/>
  <c r="IU66" i="2" s="1"/>
  <c r="JD66" i="2" a="1"/>
  <c r="JD66" i="2" s="1"/>
  <c r="II66" i="2" a="1"/>
  <c r="II66" i="2" s="1"/>
  <c r="IR66" i="2" a="1"/>
  <c r="IR66" i="2" s="1"/>
  <c r="JA66" i="2" a="1"/>
  <c r="JA66" i="2" s="1"/>
  <c r="IO66" i="2" a="1"/>
  <c r="IO66" i="2" s="1"/>
  <c r="IL66" i="2" a="1"/>
  <c r="IL66" i="2" s="1"/>
  <c r="IC66" i="2" a="1"/>
  <c r="IC66" i="2" s="1"/>
  <c r="IX66" i="2" a="1"/>
  <c r="IX66" i="2" s="1"/>
  <c r="IF66" i="2" a="1"/>
  <c r="IF66" i="2" s="1"/>
  <c r="HW66" i="2" a="1"/>
  <c r="HW66" i="2" s="1"/>
  <c r="GM66" i="2" a="1"/>
  <c r="GM66" i="2" s="1"/>
  <c r="HZ66" i="2" a="1"/>
  <c r="HZ66" i="2" s="1"/>
  <c r="GP66" i="2" a="1"/>
  <c r="GP66" i="2" s="1"/>
  <c r="GS66" i="2" a="1"/>
  <c r="GS66" i="2" s="1"/>
  <c r="HN66" i="2" a="1"/>
  <c r="HN66" i="2" s="1"/>
  <c r="HE66" i="2" a="1"/>
  <c r="HE66" i="2" s="1"/>
  <c r="HQ66" i="2" a="1"/>
  <c r="HQ66" i="2" s="1"/>
  <c r="HK66" i="2" a="1"/>
  <c r="HK66" i="2" s="1"/>
  <c r="HB66" i="2" a="1"/>
  <c r="HB66" i="2" s="1"/>
  <c r="FL66" i="2" a="1"/>
  <c r="FL66" i="2" s="1"/>
  <c r="GJ66" i="2" a="1"/>
  <c r="GJ66" i="2" s="1"/>
  <c r="GG66" i="2" a="1"/>
  <c r="GG66" i="2" s="1"/>
  <c r="GV66" i="2" a="1"/>
  <c r="GV66" i="2" s="1"/>
  <c r="FR66" i="2" a="1"/>
  <c r="FR66" i="2" s="1"/>
  <c r="FU66" i="2" a="1"/>
  <c r="FU66" i="2" s="1"/>
  <c r="FO66" i="2" a="1"/>
  <c r="FO66" i="2" s="1"/>
  <c r="FF66" i="2" a="1"/>
  <c r="FF66" i="2" s="1"/>
  <c r="GY66" i="2" a="1"/>
  <c r="GY66" i="2" s="1"/>
  <c r="GD66" i="2" a="1"/>
  <c r="GD66" i="2" s="1"/>
  <c r="FX66" i="2" a="1"/>
  <c r="FX66" i="2" s="1"/>
  <c r="GA66" i="2" a="1"/>
  <c r="GA66" i="2" s="1"/>
  <c r="EK66" i="2" a="1"/>
  <c r="EK66" i="2" s="1"/>
  <c r="EN66" i="2" a="1"/>
  <c r="EN66" i="2" s="1"/>
  <c r="DS66" i="2" a="1"/>
  <c r="DS66" i="2" s="1"/>
  <c r="HH66" i="2" a="1"/>
  <c r="HH66" i="2" s="1"/>
  <c r="FI66" i="2" a="1"/>
  <c r="FI66" i="2" s="1"/>
  <c r="EZ66" i="2" a="1"/>
  <c r="EZ66" i="2" s="1"/>
  <c r="EQ66" i="2" a="1"/>
  <c r="EQ66" i="2" s="1"/>
  <c r="HT66" i="2" a="1"/>
  <c r="HT66" i="2" s="1"/>
  <c r="EW66" i="2" a="1"/>
  <c r="EW66" i="2" s="1"/>
  <c r="EH66" i="2" a="1"/>
  <c r="EH66" i="2" s="1"/>
  <c r="DY66" i="2" a="1"/>
  <c r="DY66" i="2" s="1"/>
  <c r="DM66" i="2" a="1"/>
  <c r="DM66" i="2" s="1"/>
  <c r="DG66" i="2" a="1"/>
  <c r="DG66" i="2" s="1"/>
  <c r="DA66" i="2" a="1"/>
  <c r="DA66" i="2" s="1"/>
  <c r="EB66" i="2" a="1"/>
  <c r="EB66" i="2" s="1"/>
  <c r="ET66" i="2" a="1"/>
  <c r="ET66" i="2" s="1"/>
  <c r="DV66" i="2" a="1"/>
  <c r="DV66" i="2" s="1"/>
  <c r="DD66" i="2" a="1"/>
  <c r="DD66" i="2" s="1"/>
  <c r="CX66" i="2" a="1"/>
  <c r="CX66" i="2" s="1"/>
  <c r="CR66" i="2" a="1"/>
  <c r="CR66" i="2" s="1"/>
  <c r="DP66" i="2" a="1"/>
  <c r="DP66" i="2" s="1"/>
  <c r="FC66" i="2" a="1"/>
  <c r="FC66" i="2" s="1"/>
  <c r="DJ66" i="2" a="1"/>
  <c r="DJ66" i="2" s="1"/>
  <c r="CC66" i="2" a="1"/>
  <c r="CC66" i="2" s="1"/>
  <c r="BT66" i="2" a="1"/>
  <c r="BT66" i="2" s="1"/>
  <c r="CI66" i="2" a="1"/>
  <c r="CI66" i="2" s="1"/>
  <c r="BW66" i="2" a="1"/>
  <c r="BW66" i="2" s="1"/>
  <c r="CL66" i="2" a="1"/>
  <c r="CL66" i="2" s="1"/>
  <c r="CF66" i="2" a="1"/>
  <c r="CF66" i="2" s="1"/>
  <c r="BZ66" i="2" a="1"/>
  <c r="BZ66" i="2" s="1"/>
  <c r="BQ66" i="2" a="1"/>
  <c r="BQ66" i="2" s="1"/>
  <c r="BN66" i="2" a="1"/>
  <c r="BN66" i="2" s="1"/>
  <c r="BE66" i="2" a="1"/>
  <c r="BE66" i="2" s="1"/>
  <c r="AS66" i="2" a="1"/>
  <c r="AS66" i="2" s="1"/>
  <c r="CU66" i="2" a="1"/>
  <c r="CU66" i="2" s="1"/>
  <c r="CO66" i="2" a="1"/>
  <c r="CO66" i="2" s="1"/>
  <c r="AM66" i="2" a="1"/>
  <c r="AM66" i="2" s="1"/>
  <c r="U66" i="2" a="1"/>
  <c r="U66" i="2" s="1"/>
  <c r="BK66" i="2" a="1"/>
  <c r="BK66" i="2" s="1"/>
  <c r="BB66" i="2" a="1"/>
  <c r="BB66" i="2" s="1"/>
  <c r="AA66" i="2" a="1"/>
  <c r="AA66" i="2" s="1"/>
  <c r="AP66" i="2" a="1"/>
  <c r="AP66" i="2" s="1"/>
  <c r="AG66" i="2" a="1"/>
  <c r="AG66" i="2" s="1"/>
  <c r="L66" i="2" a="1"/>
  <c r="L66" i="2" s="1"/>
  <c r="I66" i="2" a="1"/>
  <c r="I66" i="2" s="1"/>
  <c r="X66" i="2" a="1"/>
  <c r="X66" i="2" s="1"/>
  <c r="EE66" i="2" a="1"/>
  <c r="EE66" i="2" s="1"/>
  <c r="BH66" i="2" a="1"/>
  <c r="BH66" i="2" s="1"/>
  <c r="IX10" i="2" a="1"/>
  <c r="IX10" i="2" s="1"/>
  <c r="IL10" i="2" a="1"/>
  <c r="IL10" i="2" s="1"/>
  <c r="IU10" i="2" a="1"/>
  <c r="IU10" i="2" s="1"/>
  <c r="II10" i="2" a="1"/>
  <c r="II10" i="2" s="1"/>
  <c r="JD10" i="2" a="1"/>
  <c r="JD10" i="2" s="1"/>
  <c r="IR10" i="2" a="1"/>
  <c r="IR10" i="2" s="1"/>
  <c r="JA10" i="2" a="1"/>
  <c r="JA10" i="2" s="1"/>
  <c r="IF10" i="2" a="1"/>
  <c r="IF10" i="2" s="1"/>
  <c r="IC10" i="2" a="1"/>
  <c r="IC10" i="2" s="1"/>
  <c r="HZ10" i="2" a="1"/>
  <c r="HZ10" i="2" s="1"/>
  <c r="HQ10" i="2" a="1"/>
  <c r="HQ10" i="2" s="1"/>
  <c r="HT10" i="2" a="1"/>
  <c r="HT10" i="2" s="1"/>
  <c r="GV10" i="2" a="1"/>
  <c r="GV10" i="2" s="1"/>
  <c r="HE10" i="2" a="1"/>
  <c r="HE10" i="2" s="1"/>
  <c r="HW10" i="2" a="1"/>
  <c r="HW10" i="2" s="1"/>
  <c r="HH10" i="2" a="1"/>
  <c r="HH10" i="2" s="1"/>
  <c r="GY10" i="2" a="1"/>
  <c r="GY10" i="2" s="1"/>
  <c r="GM10" i="2" a="1"/>
  <c r="GM10" i="2" s="1"/>
  <c r="HN10" i="2" a="1"/>
  <c r="HN10" i="2" s="1"/>
  <c r="GG10" i="2" a="1"/>
  <c r="GG10" i="2" s="1"/>
  <c r="GD10" i="2" a="1"/>
  <c r="GD10" i="2" s="1"/>
  <c r="GA10" i="2" a="1"/>
  <c r="GA10" i="2" s="1"/>
  <c r="GS10" i="2" a="1"/>
  <c r="GS10" i="2" s="1"/>
  <c r="FR10" i="2" a="1"/>
  <c r="FR10" i="2" s="1"/>
  <c r="FU10" i="2" a="1"/>
  <c r="FU10" i="2" s="1"/>
  <c r="FO10" i="2" a="1"/>
  <c r="FO10" i="2" s="1"/>
  <c r="IO10" i="2" a="1"/>
  <c r="IO10" i="2" s="1"/>
  <c r="FX10" i="2" a="1"/>
  <c r="FX10" i="2" s="1"/>
  <c r="HB10" i="2" a="1"/>
  <c r="HB10" i="2" s="1"/>
  <c r="EQ10" i="2" a="1"/>
  <c r="EQ10" i="2" s="1"/>
  <c r="HK10" i="2" a="1"/>
  <c r="HK10" i="2" s="1"/>
  <c r="FL10" i="2" a="1"/>
  <c r="FL10" i="2" s="1"/>
  <c r="FF10" i="2" a="1"/>
  <c r="FF10" i="2" s="1"/>
  <c r="FC10" i="2" a="1"/>
  <c r="FC10" i="2" s="1"/>
  <c r="ET10" i="2" a="1"/>
  <c r="ET10" i="2" s="1"/>
  <c r="FI10" i="2" a="1"/>
  <c r="FI10" i="2" s="1"/>
  <c r="GP10" i="2" a="1"/>
  <c r="GP10" i="2" s="1"/>
  <c r="GJ10" i="2" a="1"/>
  <c r="GJ10" i="2" s="1"/>
  <c r="EZ10" i="2" a="1"/>
  <c r="EZ10" i="2" s="1"/>
  <c r="DS10" i="2" a="1"/>
  <c r="DS10" i="2" s="1"/>
  <c r="EK10" i="2" a="1"/>
  <c r="EK10" i="2" s="1"/>
  <c r="EE10" i="2" a="1"/>
  <c r="EE10" i="2" s="1"/>
  <c r="DM10" i="2" a="1"/>
  <c r="DM10" i="2" s="1"/>
  <c r="DV10" i="2" a="1"/>
  <c r="DV10" i="2" s="1"/>
  <c r="DY10" i="2" a="1"/>
  <c r="DY10" i="2" s="1"/>
  <c r="EN10" i="2" a="1"/>
  <c r="EN10" i="2" s="1"/>
  <c r="DA10" i="2" a="1"/>
  <c r="DA10" i="2" s="1"/>
  <c r="EH10" i="2" a="1"/>
  <c r="EH10" i="2" s="1"/>
  <c r="DJ10" i="2" a="1"/>
  <c r="DJ10" i="2" s="1"/>
  <c r="DG10" i="2" a="1"/>
  <c r="DG10" i="2" s="1"/>
  <c r="DD10" i="2" a="1"/>
  <c r="DD10" i="2" s="1"/>
  <c r="EW10" i="2" a="1"/>
  <c r="EW10" i="2" s="1"/>
  <c r="EB10" i="2" a="1"/>
  <c r="EB10" i="2" s="1"/>
  <c r="CI10" i="2" a="1"/>
  <c r="CI10" i="2" s="1"/>
  <c r="CL10" i="2" a="1"/>
  <c r="CL10" i="2" s="1"/>
  <c r="CC10" i="2" a="1"/>
  <c r="CC10" i="2" s="1"/>
  <c r="BQ10" i="2" a="1"/>
  <c r="BQ10" i="2" s="1"/>
  <c r="CU10" i="2" a="1"/>
  <c r="CU10" i="2" s="1"/>
  <c r="DP10" i="2" a="1"/>
  <c r="DP10" i="2" s="1"/>
  <c r="BE10" i="2" a="1"/>
  <c r="BE10" i="2" s="1"/>
  <c r="AS10" i="2" a="1"/>
  <c r="AS10" i="2" s="1"/>
  <c r="AM10" i="2" a="1"/>
  <c r="AM10" i="2" s="1"/>
  <c r="AG10" i="2" a="1"/>
  <c r="AG10" i="2" s="1"/>
  <c r="CF10" i="2" a="1"/>
  <c r="CF10" i="2" s="1"/>
  <c r="AV10" i="2" a="1"/>
  <c r="AV10" i="2" s="1"/>
  <c r="AA10" i="2" a="1"/>
  <c r="AA10" i="2" s="1"/>
  <c r="BK10" i="2" a="1"/>
  <c r="BK10" i="2" s="1"/>
  <c r="BB10" i="2" a="1"/>
  <c r="BB10" i="2" s="1"/>
  <c r="AJ10" i="2" a="1"/>
  <c r="AJ10" i="2" s="1"/>
  <c r="U10" i="2" a="1"/>
  <c r="U10" i="2" s="1"/>
  <c r="CR10" i="2" a="1"/>
  <c r="CR10" i="2" s="1"/>
  <c r="CO10" i="2" a="1"/>
  <c r="CO10" i="2" s="1"/>
  <c r="BT10" i="2" a="1"/>
  <c r="BT10" i="2" s="1"/>
  <c r="CX10" i="2" a="1"/>
  <c r="CX10" i="2" s="1"/>
  <c r="BW10" i="2" a="1"/>
  <c r="BW10" i="2" s="1"/>
  <c r="X10" i="2" a="1"/>
  <c r="X10" i="2" s="1"/>
  <c r="BH10" i="2" a="1"/>
  <c r="BH10" i="2" s="1"/>
  <c r="AP10" i="2" a="1"/>
  <c r="AP10" i="2" s="1"/>
  <c r="AY58" i="2" a="1"/>
  <c r="AY58" i="2" s="1"/>
  <c r="CU74" i="2" a="1"/>
  <c r="CU74" i="2" s="1"/>
  <c r="O25" i="2" a="1"/>
  <c r="O25" i="2" s="1"/>
  <c r="IX25" i="2" a="1"/>
  <c r="IX25" i="2" s="1"/>
  <c r="IL25" i="2" a="1"/>
  <c r="IL25" i="2" s="1"/>
  <c r="IU25" i="2" a="1"/>
  <c r="IU25" i="2" s="1"/>
  <c r="JD25" i="2" a="1"/>
  <c r="JD25" i="2" s="1"/>
  <c r="IR25" i="2" a="1"/>
  <c r="IR25" i="2" s="1"/>
  <c r="II25" i="2" a="1"/>
  <c r="II25" i="2" s="1"/>
  <c r="HT25" i="2" a="1"/>
  <c r="HT25" i="2" s="1"/>
  <c r="HN25" i="2" a="1"/>
  <c r="HN25" i="2" s="1"/>
  <c r="GV25" i="2" a="1"/>
  <c r="GV25" i="2" s="1"/>
  <c r="IO25" i="2" a="1"/>
  <c r="IO25" i="2" s="1"/>
  <c r="HW25" i="2" a="1"/>
  <c r="HW25" i="2" s="1"/>
  <c r="IF25" i="2" a="1"/>
  <c r="IF25" i="2" s="1"/>
  <c r="HQ25" i="2" a="1"/>
  <c r="HQ25" i="2" s="1"/>
  <c r="GY25" i="2" a="1"/>
  <c r="GY25" i="2" s="1"/>
  <c r="HK25" i="2" a="1"/>
  <c r="HK25" i="2" s="1"/>
  <c r="GS25" i="2" a="1"/>
  <c r="GS25" i="2" s="1"/>
  <c r="GM25" i="2" a="1"/>
  <c r="GM25" i="2" s="1"/>
  <c r="GG25" i="2" a="1"/>
  <c r="GG25" i="2" s="1"/>
  <c r="GD25" i="2" a="1"/>
  <c r="GD25" i="2" s="1"/>
  <c r="JA25" i="2" a="1"/>
  <c r="JA25" i="2" s="1"/>
  <c r="IC25" i="2" a="1"/>
  <c r="IC25" i="2" s="1"/>
  <c r="GP25" i="2" a="1"/>
  <c r="GP25" i="2" s="1"/>
  <c r="FR25" i="2" a="1"/>
  <c r="FR25" i="2" s="1"/>
  <c r="HB25" i="2" a="1"/>
  <c r="HB25" i="2" s="1"/>
  <c r="FX25" i="2" a="1"/>
  <c r="FX25" i="2" s="1"/>
  <c r="GJ25" i="2" a="1"/>
  <c r="GJ25" i="2" s="1"/>
  <c r="FF25" i="2" a="1"/>
  <c r="FF25" i="2" s="1"/>
  <c r="HE25" i="2" a="1"/>
  <c r="HE25" i="2" s="1"/>
  <c r="FL25" i="2" a="1"/>
  <c r="FL25" i="2" s="1"/>
  <c r="HH25" i="2" a="1"/>
  <c r="HH25" i="2" s="1"/>
  <c r="FO25" i="2" a="1"/>
  <c r="FO25" i="2" s="1"/>
  <c r="ET25" i="2" a="1"/>
  <c r="ET25" i="2" s="1"/>
  <c r="GA25" i="2" a="1"/>
  <c r="GA25" i="2" s="1"/>
  <c r="FU25" i="2" a="1"/>
  <c r="FU25" i="2" s="1"/>
  <c r="FC25" i="2" a="1"/>
  <c r="FC25" i="2" s="1"/>
  <c r="DS25" i="2" a="1"/>
  <c r="DS25" i="2" s="1"/>
  <c r="HZ25" i="2" a="1"/>
  <c r="HZ25" i="2" s="1"/>
  <c r="EW25" i="2" a="1"/>
  <c r="EW25" i="2" s="1"/>
  <c r="EH25" i="2" a="1"/>
  <c r="EH25" i="2" s="1"/>
  <c r="EE25" i="2" a="1"/>
  <c r="EE25" i="2" s="1"/>
  <c r="DV25" i="2" a="1"/>
  <c r="DV25" i="2" s="1"/>
  <c r="EQ25" i="2" a="1"/>
  <c r="EQ25" i="2" s="1"/>
  <c r="DG25" i="2" a="1"/>
  <c r="DG25" i="2" s="1"/>
  <c r="DA25" i="2" a="1"/>
  <c r="DA25" i="2" s="1"/>
  <c r="FI25" i="2" a="1"/>
  <c r="FI25" i="2" s="1"/>
  <c r="EZ25" i="2" a="1"/>
  <c r="EZ25" i="2" s="1"/>
  <c r="DY25" i="2" a="1"/>
  <c r="DY25" i="2" s="1"/>
  <c r="DJ25" i="2" a="1"/>
  <c r="DJ25" i="2" s="1"/>
  <c r="EK25" i="2" a="1"/>
  <c r="EK25" i="2" s="1"/>
  <c r="CU25" i="2" a="1"/>
  <c r="CU25" i="2" s="1"/>
  <c r="CR25" i="2" a="1"/>
  <c r="CR25" i="2" s="1"/>
  <c r="EN25" i="2" a="1"/>
  <c r="EN25" i="2" s="1"/>
  <c r="DP25" i="2" a="1"/>
  <c r="DP25" i="2" s="1"/>
  <c r="DD25" i="2" a="1"/>
  <c r="DD25" i="2" s="1"/>
  <c r="CO25" i="2" a="1"/>
  <c r="CO25" i="2" s="1"/>
  <c r="CC25" i="2" a="1"/>
  <c r="CC25" i="2" s="1"/>
  <c r="BT25" i="2" a="1"/>
  <c r="BT25" i="2" s="1"/>
  <c r="DM25" i="2" a="1"/>
  <c r="DM25" i="2" s="1"/>
  <c r="EB25" i="2" a="1"/>
  <c r="EB25" i="2" s="1"/>
  <c r="BZ25" i="2" a="1"/>
  <c r="BZ25" i="2" s="1"/>
  <c r="CL25" i="2" a="1"/>
  <c r="CL25" i="2" s="1"/>
  <c r="CI25" i="2" a="1"/>
  <c r="CI25" i="2" s="1"/>
  <c r="CF25" i="2" a="1"/>
  <c r="CF25" i="2" s="1"/>
  <c r="BQ25" i="2" a="1"/>
  <c r="BQ25" i="2" s="1"/>
  <c r="BN25" i="2" a="1"/>
  <c r="BN25" i="2" s="1"/>
  <c r="BH25" i="2" a="1"/>
  <c r="BH25" i="2" s="1"/>
  <c r="AY25" i="2" a="1"/>
  <c r="AY25" i="2" s="1"/>
  <c r="X25" i="2" a="1"/>
  <c r="X25" i="2" s="1"/>
  <c r="BK25" i="2" a="1"/>
  <c r="BK25" i="2" s="1"/>
  <c r="AD25" i="2" a="1"/>
  <c r="AD25" i="2" s="1"/>
  <c r="BE25" i="2" a="1"/>
  <c r="BE25" i="2" s="1"/>
  <c r="AS25" i="2" a="1"/>
  <c r="AS25" i="2" s="1"/>
  <c r="AJ25" i="2" a="1"/>
  <c r="AJ25" i="2" s="1"/>
  <c r="BW25" i="2" a="1"/>
  <c r="BW25" i="2" s="1"/>
  <c r="AM25" i="2" a="1"/>
  <c r="AM25" i="2" s="1"/>
  <c r="L25" i="2" a="1"/>
  <c r="L25" i="2" s="1"/>
  <c r="CX25" i="2" a="1"/>
  <c r="CX25" i="2" s="1"/>
  <c r="AA25" i="2" a="1"/>
  <c r="AA25" i="2" s="1"/>
  <c r="R25" i="2" a="1"/>
  <c r="R25" i="2" s="1"/>
  <c r="I25" i="2" a="1"/>
  <c r="I25" i="2" s="1"/>
  <c r="BB25" i="2" a="1"/>
  <c r="BB25" i="2" s="1"/>
  <c r="AV25" i="2" a="1"/>
  <c r="AV25" i="2" s="1"/>
  <c r="L50" i="2" a="1"/>
  <c r="L50" i="2" s="1"/>
  <c r="U37" i="2" a="1"/>
  <c r="U37" i="2" s="1"/>
  <c r="X58" i="2" a="1"/>
  <c r="X58" i="2" s="1"/>
  <c r="X42" i="2" a="1"/>
  <c r="X42" i="2" s="1"/>
  <c r="AD49" i="2" a="1"/>
  <c r="AD49" i="2" s="1"/>
  <c r="AG25" i="2" a="1"/>
  <c r="AG25" i="2" s="1"/>
  <c r="AJ66" i="2" a="1"/>
  <c r="AJ66" i="2" s="1"/>
  <c r="AP33" i="2" a="1"/>
  <c r="AP33" i="2" s="1"/>
  <c r="AY74" i="2" a="1"/>
  <c r="AY74" i="2" s="1"/>
  <c r="AY42" i="2" a="1"/>
  <c r="AY42" i="2" s="1"/>
  <c r="AY10" i="2" a="1"/>
  <c r="AY10" i="2" s="1"/>
  <c r="BB18" i="2" a="1"/>
  <c r="BB18" i="2" s="1"/>
  <c r="BH58" i="2" a="1"/>
  <c r="BH58" i="2" s="1"/>
  <c r="BQ33" i="2" a="1"/>
  <c r="BQ33" i="2" s="1"/>
  <c r="O26" i="2" a="1"/>
  <c r="O26" i="2" s="1"/>
  <c r="IX26" i="2" a="1"/>
  <c r="IX26" i="2" s="1"/>
  <c r="IL26" i="2" a="1"/>
  <c r="IL26" i="2" s="1"/>
  <c r="IU26" i="2" a="1"/>
  <c r="IU26" i="2" s="1"/>
  <c r="II26" i="2" a="1"/>
  <c r="II26" i="2" s="1"/>
  <c r="JD26" i="2" a="1"/>
  <c r="JD26" i="2" s="1"/>
  <c r="IR26" i="2" a="1"/>
  <c r="IR26" i="2" s="1"/>
  <c r="IO26" i="2" a="1"/>
  <c r="IO26" i="2" s="1"/>
  <c r="HT26" i="2" a="1"/>
  <c r="HT26" i="2" s="1"/>
  <c r="HN26" i="2" a="1"/>
  <c r="HN26" i="2" s="1"/>
  <c r="HW26" i="2" a="1"/>
  <c r="HW26" i="2" s="1"/>
  <c r="IF26" i="2" a="1"/>
  <c r="IF26" i="2" s="1"/>
  <c r="IC26" i="2" a="1"/>
  <c r="IC26" i="2" s="1"/>
  <c r="HQ26" i="2" a="1"/>
  <c r="HQ26" i="2" s="1"/>
  <c r="GY26" i="2" a="1"/>
  <c r="GY26" i="2" s="1"/>
  <c r="GV26" i="2" a="1"/>
  <c r="GV26" i="2" s="1"/>
  <c r="HK26" i="2" a="1"/>
  <c r="HK26" i="2" s="1"/>
  <c r="GS26" i="2" a="1"/>
  <c r="GS26" i="2" s="1"/>
  <c r="GM26" i="2" a="1"/>
  <c r="GM26" i="2" s="1"/>
  <c r="JA26" i="2" a="1"/>
  <c r="JA26" i="2" s="1"/>
  <c r="GP26" i="2" a="1"/>
  <c r="GP26" i="2" s="1"/>
  <c r="FR26" i="2" a="1"/>
  <c r="FR26" i="2" s="1"/>
  <c r="HB26" i="2" a="1"/>
  <c r="HB26" i="2" s="1"/>
  <c r="FX26" i="2" a="1"/>
  <c r="FX26" i="2" s="1"/>
  <c r="HH26" i="2" a="1"/>
  <c r="HH26" i="2" s="1"/>
  <c r="HE26" i="2" a="1"/>
  <c r="HE26" i="2" s="1"/>
  <c r="FL26" i="2" a="1"/>
  <c r="FL26" i="2" s="1"/>
  <c r="HZ26" i="2" a="1"/>
  <c r="HZ26" i="2" s="1"/>
  <c r="GA26" i="2" a="1"/>
  <c r="GA26" i="2" s="1"/>
  <c r="FO26" i="2" a="1"/>
  <c r="FO26" i="2" s="1"/>
  <c r="FU26" i="2" a="1"/>
  <c r="FU26" i="2" s="1"/>
  <c r="GG26" i="2" a="1"/>
  <c r="GG26" i="2" s="1"/>
  <c r="FC26" i="2" a="1"/>
  <c r="FC26" i="2" s="1"/>
  <c r="FF26" i="2" a="1"/>
  <c r="FF26" i="2" s="1"/>
  <c r="FI26" i="2" a="1"/>
  <c r="FI26" i="2" s="1"/>
  <c r="EK26" i="2" a="1"/>
  <c r="EK26" i="2" s="1"/>
  <c r="EQ26" i="2" a="1"/>
  <c r="EQ26" i="2" s="1"/>
  <c r="DS26" i="2" a="1"/>
  <c r="DS26" i="2" s="1"/>
  <c r="EZ26" i="2" a="1"/>
  <c r="EZ26" i="2" s="1"/>
  <c r="DY26" i="2" a="1"/>
  <c r="DY26" i="2" s="1"/>
  <c r="DM26" i="2" a="1"/>
  <c r="DM26" i="2" s="1"/>
  <c r="ET26" i="2" a="1"/>
  <c r="ET26" i="2" s="1"/>
  <c r="GD26" i="2" a="1"/>
  <c r="GD26" i="2" s="1"/>
  <c r="EB26" i="2" a="1"/>
  <c r="EB26" i="2" s="1"/>
  <c r="GJ26" i="2" a="1"/>
  <c r="GJ26" i="2" s="1"/>
  <c r="EH26" i="2" a="1"/>
  <c r="EH26" i="2" s="1"/>
  <c r="DJ26" i="2" a="1"/>
  <c r="DJ26" i="2" s="1"/>
  <c r="EN26" i="2" a="1"/>
  <c r="EN26" i="2" s="1"/>
  <c r="DA26" i="2" a="1"/>
  <c r="DA26" i="2" s="1"/>
  <c r="EW26" i="2" a="1"/>
  <c r="EW26" i="2" s="1"/>
  <c r="CI26" i="2" a="1"/>
  <c r="CI26" i="2" s="1"/>
  <c r="DP26" i="2" a="1"/>
  <c r="DP26" i="2" s="1"/>
  <c r="DG26" i="2" a="1"/>
  <c r="DG26" i="2" s="1"/>
  <c r="CX26" i="2" a="1"/>
  <c r="CX26" i="2" s="1"/>
  <c r="CL26" i="2" a="1"/>
  <c r="CL26" i="2" s="1"/>
  <c r="CF26" i="2" a="1"/>
  <c r="CF26" i="2" s="1"/>
  <c r="DV26" i="2" a="1"/>
  <c r="DV26" i="2" s="1"/>
  <c r="CU26" i="2" a="1"/>
  <c r="CU26" i="2" s="1"/>
  <c r="BQ26" i="2" a="1"/>
  <c r="BQ26" i="2" s="1"/>
  <c r="BT26" i="2" a="1"/>
  <c r="BT26" i="2" s="1"/>
  <c r="BK26" i="2" a="1"/>
  <c r="BK26" i="2" s="1"/>
  <c r="AV26" i="2" a="1"/>
  <c r="AV26" i="2" s="1"/>
  <c r="EE26" i="2" a="1"/>
  <c r="EE26" i="2" s="1"/>
  <c r="BE26" i="2" a="1"/>
  <c r="BE26" i="2" s="1"/>
  <c r="BB26" i="2" a="1"/>
  <c r="BB26" i="2" s="1"/>
  <c r="AS26" i="2" a="1"/>
  <c r="AS26" i="2" s="1"/>
  <c r="AP26" i="2" a="1"/>
  <c r="AP26" i="2" s="1"/>
  <c r="AJ26" i="2" a="1"/>
  <c r="AJ26" i="2" s="1"/>
  <c r="CO26" i="2" a="1"/>
  <c r="CO26" i="2" s="1"/>
  <c r="BZ26" i="2" a="1"/>
  <c r="BZ26" i="2" s="1"/>
  <c r="CC26" i="2" a="1"/>
  <c r="CC26" i="2" s="1"/>
  <c r="X26" i="2" a="1"/>
  <c r="X26" i="2" s="1"/>
  <c r="U26" i="2" a="1"/>
  <c r="U26" i="2" s="1"/>
  <c r="DD26" i="2" a="1"/>
  <c r="DD26" i="2" s="1"/>
  <c r="AD26" i="2" a="1"/>
  <c r="AD26" i="2" s="1"/>
  <c r="BW26" i="2" a="1"/>
  <c r="BW26" i="2" s="1"/>
  <c r="BH26" i="2" a="1"/>
  <c r="BH26" i="2" s="1"/>
  <c r="AM26" i="2" a="1"/>
  <c r="AM26" i="2" s="1"/>
  <c r="L26" i="2" a="1"/>
  <c r="L26" i="2" s="1"/>
  <c r="AA26" i="2" a="1"/>
  <c r="AA26" i="2" s="1"/>
  <c r="AD58" i="2" a="1"/>
  <c r="AD58" i="2" s="1"/>
  <c r="O65" i="2" a="1"/>
  <c r="O65" i="2" s="1"/>
  <c r="IU65" i="2" a="1"/>
  <c r="IU65" i="2" s="1"/>
  <c r="JD65" i="2" a="1"/>
  <c r="JD65" i="2" s="1"/>
  <c r="II65" i="2" a="1"/>
  <c r="II65" i="2" s="1"/>
  <c r="IR65" i="2" a="1"/>
  <c r="IR65" i="2" s="1"/>
  <c r="JA65" i="2" a="1"/>
  <c r="JA65" i="2" s="1"/>
  <c r="IO65" i="2" a="1"/>
  <c r="IO65" i="2" s="1"/>
  <c r="IL65" i="2" a="1"/>
  <c r="IL65" i="2" s="1"/>
  <c r="IC65" i="2" a="1"/>
  <c r="IC65" i="2" s="1"/>
  <c r="IX65" i="2" a="1"/>
  <c r="IX65" i="2" s="1"/>
  <c r="IF65" i="2" a="1"/>
  <c r="IF65" i="2" s="1"/>
  <c r="HT65" i="2" a="1"/>
  <c r="HT65" i="2" s="1"/>
  <c r="HQ65" i="2" a="1"/>
  <c r="HQ65" i="2" s="1"/>
  <c r="HW65" i="2" a="1"/>
  <c r="HW65" i="2" s="1"/>
  <c r="GM65" i="2" a="1"/>
  <c r="GM65" i="2" s="1"/>
  <c r="HZ65" i="2" a="1"/>
  <c r="HZ65" i="2" s="1"/>
  <c r="GP65" i="2" a="1"/>
  <c r="GP65" i="2" s="1"/>
  <c r="GY65" i="2" a="1"/>
  <c r="GY65" i="2" s="1"/>
  <c r="HN65" i="2" a="1"/>
  <c r="HN65" i="2" s="1"/>
  <c r="HE65" i="2" a="1"/>
  <c r="HE65" i="2" s="1"/>
  <c r="HK65" i="2" a="1"/>
  <c r="HK65" i="2" s="1"/>
  <c r="HB65" i="2" a="1"/>
  <c r="HB65" i="2" s="1"/>
  <c r="GJ65" i="2" a="1"/>
  <c r="GJ65" i="2" s="1"/>
  <c r="GG65" i="2" a="1"/>
  <c r="GG65" i="2" s="1"/>
  <c r="FL65" i="2" a="1"/>
  <c r="FL65" i="2" s="1"/>
  <c r="FU65" i="2" a="1"/>
  <c r="FU65" i="2" s="1"/>
  <c r="FO65" i="2" a="1"/>
  <c r="FO65" i="2" s="1"/>
  <c r="GV65" i="2" a="1"/>
  <c r="GV65" i="2" s="1"/>
  <c r="FF65" i="2" a="1"/>
  <c r="FF65" i="2" s="1"/>
  <c r="GD65" i="2" a="1"/>
  <c r="GD65" i="2" s="1"/>
  <c r="GS65" i="2" a="1"/>
  <c r="GS65" i="2" s="1"/>
  <c r="FR65" i="2" a="1"/>
  <c r="FR65" i="2" s="1"/>
  <c r="FC65" i="2" a="1"/>
  <c r="FC65" i="2" s="1"/>
  <c r="ET65" i="2" a="1"/>
  <c r="ET65" i="2" s="1"/>
  <c r="EK65" i="2" a="1"/>
  <c r="EK65" i="2" s="1"/>
  <c r="FX65" i="2" a="1"/>
  <c r="FX65" i="2" s="1"/>
  <c r="EN65" i="2" a="1"/>
  <c r="EN65" i="2" s="1"/>
  <c r="DS65" i="2" a="1"/>
  <c r="DS65" i="2" s="1"/>
  <c r="HH65" i="2" a="1"/>
  <c r="HH65" i="2" s="1"/>
  <c r="FI65" i="2" a="1"/>
  <c r="FI65" i="2" s="1"/>
  <c r="EQ65" i="2" a="1"/>
  <c r="EQ65" i="2" s="1"/>
  <c r="EZ65" i="2" a="1"/>
  <c r="EZ65" i="2" s="1"/>
  <c r="EW65" i="2" a="1"/>
  <c r="EW65" i="2" s="1"/>
  <c r="EH65" i="2" a="1"/>
  <c r="EH65" i="2" s="1"/>
  <c r="DY65" i="2" a="1"/>
  <c r="DY65" i="2" s="1"/>
  <c r="EB65" i="2" a="1"/>
  <c r="EB65" i="2" s="1"/>
  <c r="DM65" i="2" a="1"/>
  <c r="DM65" i="2" s="1"/>
  <c r="DV65" i="2" a="1"/>
  <c r="DV65" i="2" s="1"/>
  <c r="DG65" i="2" a="1"/>
  <c r="DG65" i="2" s="1"/>
  <c r="CU65" i="2" a="1"/>
  <c r="CU65" i="2" s="1"/>
  <c r="DA65" i="2" a="1"/>
  <c r="DA65" i="2" s="1"/>
  <c r="GA65" i="2" a="1"/>
  <c r="GA65" i="2" s="1"/>
  <c r="DJ65" i="2" a="1"/>
  <c r="DJ65" i="2" s="1"/>
  <c r="BW65" i="2" a="1"/>
  <c r="BW65" i="2" s="1"/>
  <c r="CR65" i="2" a="1"/>
  <c r="CR65" i="2" s="1"/>
  <c r="EE65" i="2" a="1"/>
  <c r="EE65" i="2" s="1"/>
  <c r="DP65" i="2" a="1"/>
  <c r="DP65" i="2" s="1"/>
  <c r="CX65" i="2" a="1"/>
  <c r="CX65" i="2" s="1"/>
  <c r="CI65" i="2" a="1"/>
  <c r="CI65" i="2" s="1"/>
  <c r="DD65" i="2" a="1"/>
  <c r="DD65" i="2" s="1"/>
  <c r="CF65" i="2" a="1"/>
  <c r="CF65" i="2" s="1"/>
  <c r="CC65" i="2" a="1"/>
  <c r="CC65" i="2" s="1"/>
  <c r="AY65" i="2" a="1"/>
  <c r="AY65" i="2" s="1"/>
  <c r="AV65" i="2" a="1"/>
  <c r="AV65" i="2" s="1"/>
  <c r="AM65" i="2" a="1"/>
  <c r="AM65" i="2" s="1"/>
  <c r="AG65" i="2" a="1"/>
  <c r="AG65" i="2" s="1"/>
  <c r="CO65" i="2" a="1"/>
  <c r="CO65" i="2" s="1"/>
  <c r="CL65" i="2" a="1"/>
  <c r="CL65" i="2" s="1"/>
  <c r="BB65" i="2" a="1"/>
  <c r="BB65" i="2" s="1"/>
  <c r="BQ65" i="2" a="1"/>
  <c r="BQ65" i="2" s="1"/>
  <c r="BK65" i="2" a="1"/>
  <c r="BK65" i="2" s="1"/>
  <c r="BE65" i="2" a="1"/>
  <c r="BE65" i="2" s="1"/>
  <c r="AP65" i="2" a="1"/>
  <c r="AP65" i="2" s="1"/>
  <c r="AA65" i="2" a="1"/>
  <c r="AA65" i="2" s="1"/>
  <c r="L65" i="2" a="1"/>
  <c r="L65" i="2" s="1"/>
  <c r="I65" i="2" a="1"/>
  <c r="I65" i="2" s="1"/>
  <c r="X65" i="2" a="1"/>
  <c r="X65" i="2" s="1"/>
  <c r="AS65" i="2" a="1"/>
  <c r="AS65" i="2" s="1"/>
  <c r="BZ65" i="2" a="1"/>
  <c r="BZ65" i="2" s="1"/>
  <c r="BH65" i="2" a="1"/>
  <c r="BH65" i="2" s="1"/>
  <c r="AJ65" i="2" a="1"/>
  <c r="AJ65" i="2" s="1"/>
  <c r="R65" i="2" a="1"/>
  <c r="R65" i="2" s="1"/>
  <c r="BN65" i="2" a="1"/>
  <c r="BN65" i="2" s="1"/>
  <c r="O49" i="2" a="1"/>
  <c r="O49" i="2" s="1"/>
  <c r="IU49" i="2" a="1"/>
  <c r="IU49" i="2" s="1"/>
  <c r="JD49" i="2" a="1"/>
  <c r="JD49" i="2" s="1"/>
  <c r="IO49" i="2" a="1"/>
  <c r="IO49" i="2" s="1"/>
  <c r="IR49" i="2" a="1"/>
  <c r="IR49" i="2" s="1"/>
  <c r="IL49" i="2" a="1"/>
  <c r="IL49" i="2" s="1"/>
  <c r="IX49" i="2" a="1"/>
  <c r="IX49" i="2" s="1"/>
  <c r="HZ49" i="2" a="1"/>
  <c r="HZ49" i="2" s="1"/>
  <c r="II49" i="2" a="1"/>
  <c r="II49" i="2" s="1"/>
  <c r="JA49" i="2" a="1"/>
  <c r="JA49" i="2" s="1"/>
  <c r="HT49" i="2" a="1"/>
  <c r="HT49" i="2" s="1"/>
  <c r="HN49" i="2" a="1"/>
  <c r="HN49" i="2" s="1"/>
  <c r="IF49" i="2" a="1"/>
  <c r="IF49" i="2" s="1"/>
  <c r="HE49" i="2" a="1"/>
  <c r="HE49" i="2" s="1"/>
  <c r="GV49" i="2" a="1"/>
  <c r="GV49" i="2" s="1"/>
  <c r="GM49" i="2" a="1"/>
  <c r="GM49" i="2" s="1"/>
  <c r="HW49" i="2" a="1"/>
  <c r="HW49" i="2" s="1"/>
  <c r="HK49" i="2" a="1"/>
  <c r="HK49" i="2" s="1"/>
  <c r="GS49" i="2" a="1"/>
  <c r="GS49" i="2" s="1"/>
  <c r="GP49" i="2" a="1"/>
  <c r="GP49" i="2" s="1"/>
  <c r="GY49" i="2" a="1"/>
  <c r="GY49" i="2" s="1"/>
  <c r="GA49" i="2" a="1"/>
  <c r="GA49" i="2" s="1"/>
  <c r="FO49" i="2" a="1"/>
  <c r="FO49" i="2" s="1"/>
  <c r="HH49" i="2" a="1"/>
  <c r="HH49" i="2" s="1"/>
  <c r="FU49" i="2" a="1"/>
  <c r="FU49" i="2" s="1"/>
  <c r="FL49" i="2" a="1"/>
  <c r="FL49" i="2" s="1"/>
  <c r="FX49" i="2" a="1"/>
  <c r="FX49" i="2" s="1"/>
  <c r="FR49" i="2" a="1"/>
  <c r="FR49" i="2" s="1"/>
  <c r="IC49" i="2" a="1"/>
  <c r="IC49" i="2" s="1"/>
  <c r="GG49" i="2" a="1"/>
  <c r="GG49" i="2" s="1"/>
  <c r="HB49" i="2" a="1"/>
  <c r="HB49" i="2" s="1"/>
  <c r="GJ49" i="2" a="1"/>
  <c r="GJ49" i="2" s="1"/>
  <c r="GD49" i="2" a="1"/>
  <c r="GD49" i="2" s="1"/>
  <c r="FI49" i="2" a="1"/>
  <c r="FI49" i="2" s="1"/>
  <c r="ET49" i="2" a="1"/>
  <c r="ET49" i="2" s="1"/>
  <c r="EZ49" i="2" a="1"/>
  <c r="EZ49" i="2" s="1"/>
  <c r="EK49" i="2" a="1"/>
  <c r="EK49" i="2" s="1"/>
  <c r="EN49" i="2" a="1"/>
  <c r="EN49" i="2" s="1"/>
  <c r="EE49" i="2" a="1"/>
  <c r="EE49" i="2" s="1"/>
  <c r="DV49" i="2" a="1"/>
  <c r="DV49" i="2" s="1"/>
  <c r="HQ49" i="2" a="1"/>
  <c r="HQ49" i="2" s="1"/>
  <c r="FC49" i="2" a="1"/>
  <c r="FC49" i="2" s="1"/>
  <c r="FF49" i="2" a="1"/>
  <c r="FF49" i="2" s="1"/>
  <c r="DY49" i="2" a="1"/>
  <c r="DY49" i="2" s="1"/>
  <c r="EW49" i="2" a="1"/>
  <c r="EW49" i="2" s="1"/>
  <c r="EH49" i="2" a="1"/>
  <c r="EH49" i="2" s="1"/>
  <c r="DG49" i="2" a="1"/>
  <c r="DG49" i="2" s="1"/>
  <c r="CU49" i="2" a="1"/>
  <c r="CU49" i="2" s="1"/>
  <c r="DM49" i="2" a="1"/>
  <c r="DM49" i="2" s="1"/>
  <c r="DJ49" i="2" a="1"/>
  <c r="DJ49" i="2" s="1"/>
  <c r="CI49" i="2" a="1"/>
  <c r="CI49" i="2" s="1"/>
  <c r="EB49" i="2" a="1"/>
  <c r="EB49" i="2" s="1"/>
  <c r="DS49" i="2" a="1"/>
  <c r="DS49" i="2" s="1"/>
  <c r="DD49" i="2" a="1"/>
  <c r="DD49" i="2" s="1"/>
  <c r="BW49" i="2" a="1"/>
  <c r="BW49" i="2" s="1"/>
  <c r="EQ49" i="2" a="1"/>
  <c r="EQ49" i="2" s="1"/>
  <c r="BT49" i="2" a="1"/>
  <c r="BT49" i="2" s="1"/>
  <c r="BB49" i="2" a="1"/>
  <c r="BB49" i="2" s="1"/>
  <c r="AY49" i="2" a="1"/>
  <c r="AY49" i="2" s="1"/>
  <c r="AP49" i="2" a="1"/>
  <c r="AP49" i="2" s="1"/>
  <c r="AJ49" i="2" a="1"/>
  <c r="AJ49" i="2" s="1"/>
  <c r="CF49" i="2" a="1"/>
  <c r="CF49" i="2" s="1"/>
  <c r="DP49" i="2" a="1"/>
  <c r="DP49" i="2" s="1"/>
  <c r="BZ49" i="2" a="1"/>
  <c r="BZ49" i="2" s="1"/>
  <c r="AV49" i="2" a="1"/>
  <c r="AV49" i="2" s="1"/>
  <c r="CL49" i="2" a="1"/>
  <c r="CL49" i="2" s="1"/>
  <c r="AG49" i="2" a="1"/>
  <c r="AG49" i="2" s="1"/>
  <c r="AA49" i="2" a="1"/>
  <c r="AA49" i="2" s="1"/>
  <c r="CO49" i="2" a="1"/>
  <c r="CO49" i="2" s="1"/>
  <c r="BE49" i="2" a="1"/>
  <c r="BE49" i="2" s="1"/>
  <c r="X49" i="2" a="1"/>
  <c r="X49" i="2" s="1"/>
  <c r="R49" i="2" a="1"/>
  <c r="R49" i="2" s="1"/>
  <c r="CX49" i="2" a="1"/>
  <c r="CX49" i="2" s="1"/>
  <c r="BQ49" i="2" a="1"/>
  <c r="BQ49" i="2" s="1"/>
  <c r="L49" i="2" a="1"/>
  <c r="L49" i="2" s="1"/>
  <c r="BK49" i="2" a="1"/>
  <c r="BK49" i="2" s="1"/>
  <c r="I49" i="2" a="1"/>
  <c r="I49" i="2" s="1"/>
  <c r="DA49" i="2" a="1"/>
  <c r="DA49" i="2" s="1"/>
  <c r="CC49" i="2" a="1"/>
  <c r="CC49" i="2" s="1"/>
  <c r="BN49" i="2" a="1"/>
  <c r="BN49" i="2" s="1"/>
  <c r="AM49" i="2" a="1"/>
  <c r="AM49" i="2" s="1"/>
  <c r="JD69" i="2" a="1"/>
  <c r="JD69" i="2" s="1"/>
  <c r="JA69" i="2" a="1"/>
  <c r="JA69" i="2" s="1"/>
  <c r="IX69" i="2" a="1"/>
  <c r="IX69" i="2" s="1"/>
  <c r="IO69" i="2" a="1"/>
  <c r="IO69" i="2" s="1"/>
  <c r="IL69" i="2" a="1"/>
  <c r="IL69" i="2" s="1"/>
  <c r="II69" i="2" a="1"/>
  <c r="II69" i="2" s="1"/>
  <c r="O69" i="2" a="1"/>
  <c r="O69" i="2" s="1"/>
  <c r="IR69" i="2" a="1"/>
  <c r="IR69" i="2" s="1"/>
  <c r="HW69" i="2" a="1"/>
  <c r="HW69" i="2" s="1"/>
  <c r="HT69" i="2" a="1"/>
  <c r="HT69" i="2" s="1"/>
  <c r="HQ69" i="2" a="1"/>
  <c r="HQ69" i="2" s="1"/>
  <c r="HZ69" i="2" a="1"/>
  <c r="HZ69" i="2" s="1"/>
  <c r="HN69" i="2" a="1"/>
  <c r="HN69" i="2" s="1"/>
  <c r="HK69" i="2" a="1"/>
  <c r="HK69" i="2" s="1"/>
  <c r="HH69" i="2" a="1"/>
  <c r="HH69" i="2" s="1"/>
  <c r="HE69" i="2" a="1"/>
  <c r="HE69" i="2" s="1"/>
  <c r="HB69" i="2" a="1"/>
  <c r="HB69" i="2" s="1"/>
  <c r="GY69" i="2" a="1"/>
  <c r="GY69" i="2" s="1"/>
  <c r="GV69" i="2" a="1"/>
  <c r="GV69" i="2" s="1"/>
  <c r="IU69" i="2" a="1"/>
  <c r="IU69" i="2" s="1"/>
  <c r="GJ69" i="2" a="1"/>
  <c r="GJ69" i="2" s="1"/>
  <c r="IC69" i="2" a="1"/>
  <c r="IC69" i="2" s="1"/>
  <c r="GA69" i="2" a="1"/>
  <c r="GA69" i="2" s="1"/>
  <c r="FX69" i="2" a="1"/>
  <c r="FX69" i="2" s="1"/>
  <c r="GS69" i="2" a="1"/>
  <c r="GS69" i="2" s="1"/>
  <c r="FO69" i="2" a="1"/>
  <c r="FO69" i="2" s="1"/>
  <c r="GM69" i="2" a="1"/>
  <c r="GM69" i="2" s="1"/>
  <c r="GD69" i="2" a="1"/>
  <c r="GD69" i="2" s="1"/>
  <c r="FC69" i="2" a="1"/>
  <c r="FC69" i="2" s="1"/>
  <c r="FL69" i="2" a="1"/>
  <c r="FL69" i="2" s="1"/>
  <c r="FI69" i="2" a="1"/>
  <c r="FI69" i="2" s="1"/>
  <c r="IF69" i="2" a="1"/>
  <c r="IF69" i="2" s="1"/>
  <c r="FR69" i="2" a="1"/>
  <c r="FR69" i="2" s="1"/>
  <c r="EW69" i="2" a="1"/>
  <c r="EW69" i="2" s="1"/>
  <c r="ET69" i="2" a="1"/>
  <c r="ET69" i="2" s="1"/>
  <c r="EH69" i="2" a="1"/>
  <c r="EH69" i="2" s="1"/>
  <c r="FU69" i="2" a="1"/>
  <c r="FU69" i="2" s="1"/>
  <c r="EK69" i="2" a="1"/>
  <c r="EK69" i="2" s="1"/>
  <c r="GG69" i="2" a="1"/>
  <c r="GG69" i="2" s="1"/>
  <c r="EB69" i="2" a="1"/>
  <c r="EB69" i="2" s="1"/>
  <c r="DP69" i="2" a="1"/>
  <c r="DP69" i="2" s="1"/>
  <c r="DS69" i="2" a="1"/>
  <c r="DS69" i="2" s="1"/>
  <c r="DD69" i="2" a="1"/>
  <c r="DD69" i="2" s="1"/>
  <c r="FF69" i="2" a="1"/>
  <c r="FF69" i="2" s="1"/>
  <c r="EN69" i="2" a="1"/>
  <c r="EN69" i="2" s="1"/>
  <c r="DV69" i="2" a="1"/>
  <c r="DV69" i="2" s="1"/>
  <c r="GP69" i="2" a="1"/>
  <c r="GP69" i="2" s="1"/>
  <c r="EE69" i="2" a="1"/>
  <c r="EE69" i="2" s="1"/>
  <c r="DJ69" i="2" a="1"/>
  <c r="DJ69" i="2" s="1"/>
  <c r="DA69" i="2" a="1"/>
  <c r="DA69" i="2" s="1"/>
  <c r="EQ69" i="2" a="1"/>
  <c r="EQ69" i="2" s="1"/>
  <c r="DG69" i="2" a="1"/>
  <c r="DG69" i="2" s="1"/>
  <c r="CU69" i="2" a="1"/>
  <c r="CU69" i="2" s="1"/>
  <c r="DM69" i="2" a="1"/>
  <c r="DM69" i="2" s="1"/>
  <c r="CX69" i="2" a="1"/>
  <c r="CX69" i="2" s="1"/>
  <c r="CR69" i="2" a="1"/>
  <c r="CR69" i="2" s="1"/>
  <c r="CL69" i="2" a="1"/>
  <c r="CL69" i="2" s="1"/>
  <c r="CF69" i="2" a="1"/>
  <c r="CF69" i="2" s="1"/>
  <c r="BZ69" i="2" a="1"/>
  <c r="BZ69" i="2" s="1"/>
  <c r="CI69" i="2" a="1"/>
  <c r="CI69" i="2" s="1"/>
  <c r="CO69" i="2" a="1"/>
  <c r="CO69" i="2" s="1"/>
  <c r="AM69" i="2" a="1"/>
  <c r="AM69" i="2" s="1"/>
  <c r="AG69" i="2" a="1"/>
  <c r="AG69" i="2" s="1"/>
  <c r="EZ69" i="2" a="1"/>
  <c r="EZ69" i="2" s="1"/>
  <c r="AY69" i="2" a="1"/>
  <c r="AY69" i="2" s="1"/>
  <c r="BW69" i="2" a="1"/>
  <c r="BW69" i="2" s="1"/>
  <c r="BK69" i="2" a="1"/>
  <c r="BK69" i="2" s="1"/>
  <c r="BH69" i="2" a="1"/>
  <c r="BH69" i="2" s="1"/>
  <c r="BB69" i="2" a="1"/>
  <c r="BB69" i="2" s="1"/>
  <c r="AP69" i="2" a="1"/>
  <c r="AP69" i="2" s="1"/>
  <c r="AJ69" i="2" a="1"/>
  <c r="AJ69" i="2" s="1"/>
  <c r="CC69" i="2" a="1"/>
  <c r="CC69" i="2" s="1"/>
  <c r="BQ69" i="2" a="1"/>
  <c r="BQ69" i="2" s="1"/>
  <c r="AS69" i="2" a="1"/>
  <c r="AS69" i="2" s="1"/>
  <c r="L69" i="2" a="1"/>
  <c r="L69" i="2" s="1"/>
  <c r="I69" i="2" a="1"/>
  <c r="I69" i="2" s="1"/>
  <c r="DY69" i="2" a="1"/>
  <c r="DY69" i="2" s="1"/>
  <c r="BT69" i="2" a="1"/>
  <c r="BT69" i="2" s="1"/>
  <c r="BN69" i="2" a="1"/>
  <c r="BN69" i="2" s="1"/>
  <c r="AD69" i="2" a="1"/>
  <c r="AD69" i="2" s="1"/>
  <c r="X69" i="2" a="1"/>
  <c r="X69" i="2" s="1"/>
  <c r="AV69" i="2" a="1"/>
  <c r="AV69" i="2" s="1"/>
  <c r="R69" i="2" a="1"/>
  <c r="R69" i="2" s="1"/>
  <c r="AA69" i="2" a="1"/>
  <c r="AA69" i="2" s="1"/>
  <c r="BE69" i="2" a="1"/>
  <c r="BE69" i="2" s="1"/>
  <c r="IR53" i="2" a="1"/>
  <c r="IR53" i="2" s="1"/>
  <c r="JA53" i="2" a="1"/>
  <c r="JA53" i="2" s="1"/>
  <c r="IX53" i="2" a="1"/>
  <c r="IX53" i="2" s="1"/>
  <c r="IL53" i="2" a="1"/>
  <c r="IL53" i="2" s="1"/>
  <c r="JD53" i="2" a="1"/>
  <c r="JD53" i="2" s="1"/>
  <c r="HW53" i="2" a="1"/>
  <c r="HW53" i="2" s="1"/>
  <c r="HT53" i="2" a="1"/>
  <c r="HT53" i="2" s="1"/>
  <c r="II53" i="2" a="1"/>
  <c r="II53" i="2" s="1"/>
  <c r="IU53" i="2" a="1"/>
  <c r="IU53" i="2" s="1"/>
  <c r="HQ53" i="2" a="1"/>
  <c r="HQ53" i="2" s="1"/>
  <c r="IF53" i="2" a="1"/>
  <c r="IF53" i="2" s="1"/>
  <c r="IC53" i="2" a="1"/>
  <c r="IC53" i="2" s="1"/>
  <c r="O53" i="2" a="1"/>
  <c r="O53" i="2" s="1"/>
  <c r="HK53" i="2" a="1"/>
  <c r="HK53" i="2" s="1"/>
  <c r="HH53" i="2" a="1"/>
  <c r="HH53" i="2" s="1"/>
  <c r="HE53" i="2" a="1"/>
  <c r="HE53" i="2" s="1"/>
  <c r="HB53" i="2" a="1"/>
  <c r="HB53" i="2" s="1"/>
  <c r="GY53" i="2" a="1"/>
  <c r="GY53" i="2" s="1"/>
  <c r="GS53" i="2" a="1"/>
  <c r="GS53" i="2" s="1"/>
  <c r="HZ53" i="2" a="1"/>
  <c r="HZ53" i="2" s="1"/>
  <c r="HN53" i="2" a="1"/>
  <c r="HN53" i="2" s="1"/>
  <c r="GV53" i="2" a="1"/>
  <c r="GV53" i="2" s="1"/>
  <c r="GP53" i="2" a="1"/>
  <c r="GP53" i="2" s="1"/>
  <c r="IO53" i="2" a="1"/>
  <c r="IO53" i="2" s="1"/>
  <c r="GJ53" i="2" a="1"/>
  <c r="GJ53" i="2" s="1"/>
  <c r="GG53" i="2" a="1"/>
  <c r="GG53" i="2" s="1"/>
  <c r="FL53" i="2" a="1"/>
  <c r="FL53" i="2" s="1"/>
  <c r="GM53" i="2" a="1"/>
  <c r="GM53" i="2" s="1"/>
  <c r="GD53" i="2" a="1"/>
  <c r="GD53" i="2" s="1"/>
  <c r="FR53" i="2" a="1"/>
  <c r="FR53" i="2" s="1"/>
  <c r="FO53" i="2" a="1"/>
  <c r="FO53" i="2" s="1"/>
  <c r="FU53" i="2" a="1"/>
  <c r="FU53" i="2" s="1"/>
  <c r="EQ53" i="2" a="1"/>
  <c r="EQ53" i="2" s="1"/>
  <c r="EN53" i="2" a="1"/>
  <c r="EN53" i="2" s="1"/>
  <c r="GA53" i="2" a="1"/>
  <c r="GA53" i="2" s="1"/>
  <c r="FF53" i="2" a="1"/>
  <c r="FF53" i="2" s="1"/>
  <c r="FC53" i="2" a="1"/>
  <c r="FC53" i="2" s="1"/>
  <c r="EW53" i="2" a="1"/>
  <c r="EW53" i="2" s="1"/>
  <c r="EH53" i="2" a="1"/>
  <c r="EH53" i="2" s="1"/>
  <c r="EZ53" i="2" a="1"/>
  <c r="EZ53" i="2" s="1"/>
  <c r="ET53" i="2" a="1"/>
  <c r="ET53" i="2" s="1"/>
  <c r="DV53" i="2" a="1"/>
  <c r="DV53" i="2" s="1"/>
  <c r="EK53" i="2" a="1"/>
  <c r="EK53" i="2" s="1"/>
  <c r="DY53" i="2" a="1"/>
  <c r="DY53" i="2" s="1"/>
  <c r="FI53" i="2" a="1"/>
  <c r="FI53" i="2" s="1"/>
  <c r="DP53" i="2" a="1"/>
  <c r="DP53" i="2" s="1"/>
  <c r="DG53" i="2" a="1"/>
  <c r="DG53" i="2" s="1"/>
  <c r="DA53" i="2" a="1"/>
  <c r="DA53" i="2" s="1"/>
  <c r="EB53" i="2" a="1"/>
  <c r="EB53" i="2" s="1"/>
  <c r="DS53" i="2" a="1"/>
  <c r="DS53" i="2" s="1"/>
  <c r="DJ53" i="2" a="1"/>
  <c r="DJ53" i="2" s="1"/>
  <c r="EE53" i="2" a="1"/>
  <c r="EE53" i="2" s="1"/>
  <c r="DM53" i="2" a="1"/>
  <c r="DM53" i="2" s="1"/>
  <c r="DD53" i="2" a="1"/>
  <c r="DD53" i="2" s="1"/>
  <c r="CU53" i="2" a="1"/>
  <c r="CU53" i="2" s="1"/>
  <c r="CX53" i="2" a="1"/>
  <c r="CX53" i="2" s="1"/>
  <c r="CR53" i="2" a="1"/>
  <c r="CR53" i="2" s="1"/>
  <c r="FX53" i="2" a="1"/>
  <c r="FX53" i="2" s="1"/>
  <c r="CL53" i="2" a="1"/>
  <c r="CL53" i="2" s="1"/>
  <c r="CC53" i="2" a="1"/>
  <c r="CC53" i="2" s="1"/>
  <c r="BW53" i="2" a="1"/>
  <c r="BW53" i="2" s="1"/>
  <c r="BT53" i="2" a="1"/>
  <c r="BT53" i="2" s="1"/>
  <c r="BB53" i="2" a="1"/>
  <c r="BB53" i="2" s="1"/>
  <c r="AP53" i="2" a="1"/>
  <c r="AP53" i="2" s="1"/>
  <c r="AJ53" i="2" a="1"/>
  <c r="AJ53" i="2" s="1"/>
  <c r="BZ53" i="2" a="1"/>
  <c r="BZ53" i="2" s="1"/>
  <c r="BQ53" i="2" a="1"/>
  <c r="BQ53" i="2" s="1"/>
  <c r="AY53" i="2" a="1"/>
  <c r="AY53" i="2" s="1"/>
  <c r="BK53" i="2" a="1"/>
  <c r="BK53" i="2" s="1"/>
  <c r="AM53" i="2" a="1"/>
  <c r="AM53" i="2" s="1"/>
  <c r="AG53" i="2" a="1"/>
  <c r="AG53" i="2" s="1"/>
  <c r="AD53" i="2" a="1"/>
  <c r="AD53" i="2" s="1"/>
  <c r="R53" i="2" a="1"/>
  <c r="R53" i="2" s="1"/>
  <c r="CI53" i="2" a="1"/>
  <c r="CI53" i="2" s="1"/>
  <c r="BN53" i="2" a="1"/>
  <c r="BN53" i="2" s="1"/>
  <c r="CO53" i="2" a="1"/>
  <c r="CO53" i="2" s="1"/>
  <c r="BH53" i="2" a="1"/>
  <c r="BH53" i="2" s="1"/>
  <c r="AS53" i="2" a="1"/>
  <c r="AS53" i="2" s="1"/>
  <c r="AA53" i="2" a="1"/>
  <c r="AA53" i="2" s="1"/>
  <c r="L53" i="2" a="1"/>
  <c r="L53" i="2" s="1"/>
  <c r="I53" i="2" a="1"/>
  <c r="I53" i="2" s="1"/>
  <c r="CF53" i="2" a="1"/>
  <c r="CF53" i="2" s="1"/>
  <c r="BE53" i="2" a="1"/>
  <c r="BE53" i="2" s="1"/>
  <c r="IR45" i="2" a="1"/>
  <c r="IR45" i="2" s="1"/>
  <c r="JA45" i="2" a="1"/>
  <c r="JA45" i="2" s="1"/>
  <c r="IX45" i="2" a="1"/>
  <c r="IX45" i="2" s="1"/>
  <c r="O45" i="2" a="1"/>
  <c r="O45" i="2" s="1"/>
  <c r="IL45" i="2" a="1"/>
  <c r="IL45" i="2" s="1"/>
  <c r="HW45" i="2" a="1"/>
  <c r="HW45" i="2" s="1"/>
  <c r="HT45" i="2" a="1"/>
  <c r="HT45" i="2" s="1"/>
  <c r="JD45" i="2" a="1"/>
  <c r="JD45" i="2" s="1"/>
  <c r="IO45" i="2" a="1"/>
  <c r="IO45" i="2" s="1"/>
  <c r="IU45" i="2" a="1"/>
  <c r="IU45" i="2" s="1"/>
  <c r="IC45" i="2" a="1"/>
  <c r="IC45" i="2" s="1"/>
  <c r="HZ45" i="2" a="1"/>
  <c r="HZ45" i="2" s="1"/>
  <c r="HQ45" i="2" a="1"/>
  <c r="HQ45" i="2" s="1"/>
  <c r="II45" i="2" a="1"/>
  <c r="II45" i="2" s="1"/>
  <c r="HK45" i="2" a="1"/>
  <c r="HK45" i="2" s="1"/>
  <c r="HH45" i="2" a="1"/>
  <c r="HH45" i="2" s="1"/>
  <c r="HE45" i="2" a="1"/>
  <c r="HE45" i="2" s="1"/>
  <c r="HB45" i="2" a="1"/>
  <c r="HB45" i="2" s="1"/>
  <c r="GY45" i="2" a="1"/>
  <c r="GY45" i="2" s="1"/>
  <c r="GS45" i="2" a="1"/>
  <c r="GS45" i="2" s="1"/>
  <c r="HN45" i="2" a="1"/>
  <c r="HN45" i="2" s="1"/>
  <c r="GV45" i="2" a="1"/>
  <c r="GV45" i="2" s="1"/>
  <c r="GJ45" i="2" a="1"/>
  <c r="GJ45" i="2" s="1"/>
  <c r="GG45" i="2" a="1"/>
  <c r="GG45" i="2" s="1"/>
  <c r="FL45" i="2" a="1"/>
  <c r="FL45" i="2" s="1"/>
  <c r="GD45" i="2" a="1"/>
  <c r="GD45" i="2" s="1"/>
  <c r="FR45" i="2" a="1"/>
  <c r="FR45" i="2" s="1"/>
  <c r="FU45" i="2" a="1"/>
  <c r="FU45" i="2" s="1"/>
  <c r="FO45" i="2" a="1"/>
  <c r="FO45" i="2" s="1"/>
  <c r="GM45" i="2" a="1"/>
  <c r="GM45" i="2" s="1"/>
  <c r="FX45" i="2" a="1"/>
  <c r="FX45" i="2" s="1"/>
  <c r="IF45" i="2" a="1"/>
  <c r="IF45" i="2" s="1"/>
  <c r="GP45" i="2" a="1"/>
  <c r="GP45" i="2" s="1"/>
  <c r="FC45" i="2" a="1"/>
  <c r="FC45" i="2" s="1"/>
  <c r="EN45" i="2" a="1"/>
  <c r="EN45" i="2" s="1"/>
  <c r="FF45" i="2" a="1"/>
  <c r="FF45" i="2" s="1"/>
  <c r="EQ45" i="2" a="1"/>
  <c r="EQ45" i="2" s="1"/>
  <c r="GA45" i="2" a="1"/>
  <c r="GA45" i="2" s="1"/>
  <c r="EW45" i="2" a="1"/>
  <c r="EW45" i="2" s="1"/>
  <c r="EH45" i="2" a="1"/>
  <c r="EH45" i="2" s="1"/>
  <c r="FI45" i="2" a="1"/>
  <c r="FI45" i="2" s="1"/>
  <c r="ET45" i="2" a="1"/>
  <c r="ET45" i="2" s="1"/>
  <c r="DV45" i="2" a="1"/>
  <c r="DV45" i="2" s="1"/>
  <c r="EB45" i="2" a="1"/>
  <c r="EB45" i="2" s="1"/>
  <c r="DS45" i="2" a="1"/>
  <c r="DS45" i="2" s="1"/>
  <c r="DP45" i="2" a="1"/>
  <c r="DP45" i="2" s="1"/>
  <c r="EK45" i="2" a="1"/>
  <c r="EK45" i="2" s="1"/>
  <c r="EE45" i="2" a="1"/>
  <c r="EE45" i="2" s="1"/>
  <c r="DG45" i="2" a="1"/>
  <c r="DG45" i="2" s="1"/>
  <c r="DA45" i="2" a="1"/>
  <c r="DA45" i="2" s="1"/>
  <c r="DD45" i="2" a="1"/>
  <c r="DD45" i="2" s="1"/>
  <c r="CU45" i="2" a="1"/>
  <c r="CU45" i="2" s="1"/>
  <c r="CF45" i="2" a="1"/>
  <c r="CF45" i="2" s="1"/>
  <c r="DY45" i="2" a="1"/>
  <c r="DY45" i="2" s="1"/>
  <c r="CO45" i="2" a="1"/>
  <c r="CO45" i="2" s="1"/>
  <c r="CL45" i="2" a="1"/>
  <c r="CL45" i="2" s="1"/>
  <c r="DJ45" i="2" a="1"/>
  <c r="DJ45" i="2" s="1"/>
  <c r="CX45" i="2" a="1"/>
  <c r="CX45" i="2" s="1"/>
  <c r="BK45" i="2" a="1"/>
  <c r="BK45" i="2" s="1"/>
  <c r="AV45" i="2" a="1"/>
  <c r="AV45" i="2" s="1"/>
  <c r="AD45" i="2" a="1"/>
  <c r="AD45" i="2" s="1"/>
  <c r="CI45" i="2" a="1"/>
  <c r="CI45" i="2" s="1"/>
  <c r="BZ45" i="2" a="1"/>
  <c r="BZ45" i="2" s="1"/>
  <c r="AY45" i="2" a="1"/>
  <c r="AY45" i="2" s="1"/>
  <c r="AA45" i="2" a="1"/>
  <c r="AA45" i="2" s="1"/>
  <c r="BH45" i="2" a="1"/>
  <c r="BH45" i="2" s="1"/>
  <c r="BT45" i="2" a="1"/>
  <c r="BT45" i="2" s="1"/>
  <c r="DM45" i="2" a="1"/>
  <c r="DM45" i="2" s="1"/>
  <c r="R45" i="2" a="1"/>
  <c r="R45" i="2" s="1"/>
  <c r="BN45" i="2" a="1"/>
  <c r="BN45" i="2" s="1"/>
  <c r="AM45" i="2" a="1"/>
  <c r="AM45" i="2" s="1"/>
  <c r="AS45" i="2" a="1"/>
  <c r="AS45" i="2" s="1"/>
  <c r="BW45" i="2" a="1"/>
  <c r="BW45" i="2" s="1"/>
  <c r="CC45" i="2" a="1"/>
  <c r="CC45" i="2" s="1"/>
  <c r="AP45" i="2" a="1"/>
  <c r="AP45" i="2" s="1"/>
  <c r="X45" i="2" a="1"/>
  <c r="X45" i="2" s="1"/>
  <c r="AG45" i="2" a="1"/>
  <c r="AG45" i="2" s="1"/>
  <c r="I45" i="2" a="1"/>
  <c r="I45" i="2" s="1"/>
  <c r="CR45" i="2" a="1"/>
  <c r="CR45" i="2" s="1"/>
  <c r="BE45" i="2" a="1"/>
  <c r="BE45" i="2" s="1"/>
  <c r="EZ45" i="2" a="1"/>
  <c r="EZ45" i="2" s="1"/>
  <c r="JD29" i="2" a="1"/>
  <c r="JD29" i="2" s="1"/>
  <c r="IR29" i="2" a="1"/>
  <c r="IR29" i="2" s="1"/>
  <c r="IO29" i="2" a="1"/>
  <c r="IO29" i="2" s="1"/>
  <c r="JA29" i="2" a="1"/>
  <c r="JA29" i="2" s="1"/>
  <c r="IX29" i="2" a="1"/>
  <c r="IX29" i="2" s="1"/>
  <c r="II29" i="2" a="1"/>
  <c r="II29" i="2" s="1"/>
  <c r="IC29" i="2" a="1"/>
  <c r="IC29" i="2" s="1"/>
  <c r="HW29" i="2" a="1"/>
  <c r="HW29" i="2" s="1"/>
  <c r="HT29" i="2" a="1"/>
  <c r="HT29" i="2" s="1"/>
  <c r="IL29" i="2" a="1"/>
  <c r="IL29" i="2" s="1"/>
  <c r="IF29" i="2" a="1"/>
  <c r="IF29" i="2" s="1"/>
  <c r="O29" i="2" a="1"/>
  <c r="O29" i="2" s="1"/>
  <c r="IU29" i="2" a="1"/>
  <c r="IU29" i="2" s="1"/>
  <c r="HN29" i="2" a="1"/>
  <c r="HN29" i="2" s="1"/>
  <c r="HK29" i="2" a="1"/>
  <c r="HK29" i="2" s="1"/>
  <c r="HH29" i="2" a="1"/>
  <c r="HH29" i="2" s="1"/>
  <c r="HE29" i="2" a="1"/>
  <c r="HE29" i="2" s="1"/>
  <c r="HB29" i="2" a="1"/>
  <c r="HB29" i="2" s="1"/>
  <c r="GY29" i="2" a="1"/>
  <c r="GY29" i="2" s="1"/>
  <c r="HZ29" i="2" a="1"/>
  <c r="HZ29" i="2" s="1"/>
  <c r="GP29" i="2" a="1"/>
  <c r="GP29" i="2" s="1"/>
  <c r="HQ29" i="2" a="1"/>
  <c r="HQ29" i="2" s="1"/>
  <c r="GJ29" i="2" a="1"/>
  <c r="GJ29" i="2" s="1"/>
  <c r="FO29" i="2" a="1"/>
  <c r="FO29" i="2" s="1"/>
  <c r="GA29" i="2" a="1"/>
  <c r="GA29" i="2" s="1"/>
  <c r="GV29" i="2" a="1"/>
  <c r="GV29" i="2" s="1"/>
  <c r="FU29" i="2" a="1"/>
  <c r="FU29" i="2" s="1"/>
  <c r="GM29" i="2" a="1"/>
  <c r="GM29" i="2" s="1"/>
  <c r="GG29" i="2" a="1"/>
  <c r="GG29" i="2" s="1"/>
  <c r="FI29" i="2" a="1"/>
  <c r="FI29" i="2" s="1"/>
  <c r="FC29" i="2" a="1"/>
  <c r="FC29" i="2" s="1"/>
  <c r="EZ29" i="2" a="1"/>
  <c r="EZ29" i="2" s="1"/>
  <c r="GD29" i="2" a="1"/>
  <c r="GD29" i="2" s="1"/>
  <c r="FF29" i="2" a="1"/>
  <c r="FF29" i="2" s="1"/>
  <c r="EN29" i="2" a="1"/>
  <c r="EN29" i="2" s="1"/>
  <c r="EK29" i="2" a="1"/>
  <c r="EK29" i="2" s="1"/>
  <c r="FL29" i="2" a="1"/>
  <c r="FL29" i="2" s="1"/>
  <c r="EQ29" i="2" a="1"/>
  <c r="EQ29" i="2" s="1"/>
  <c r="GS29" i="2" a="1"/>
  <c r="GS29" i="2" s="1"/>
  <c r="EW29" i="2" a="1"/>
  <c r="EW29" i="2" s="1"/>
  <c r="EH29" i="2" a="1"/>
  <c r="EH29" i="2" s="1"/>
  <c r="FR29" i="2" a="1"/>
  <c r="FR29" i="2" s="1"/>
  <c r="ET29" i="2" a="1"/>
  <c r="ET29" i="2" s="1"/>
  <c r="DV29" i="2" a="1"/>
  <c r="DV29" i="2" s="1"/>
  <c r="FX29" i="2" a="1"/>
  <c r="FX29" i="2" s="1"/>
  <c r="EB29" i="2" a="1"/>
  <c r="EB29" i="2" s="1"/>
  <c r="DP29" i="2" a="1"/>
  <c r="DP29" i="2" s="1"/>
  <c r="DD29" i="2" a="1"/>
  <c r="DD29" i="2" s="1"/>
  <c r="CX29" i="2" a="1"/>
  <c r="CX29" i="2" s="1"/>
  <c r="DY29" i="2" a="1"/>
  <c r="DY29" i="2" s="1"/>
  <c r="DS29" i="2" a="1"/>
  <c r="DS29" i="2" s="1"/>
  <c r="CU29" i="2" a="1"/>
  <c r="CU29" i="2" s="1"/>
  <c r="EE29" i="2" a="1"/>
  <c r="EE29" i="2" s="1"/>
  <c r="DA29" i="2" a="1"/>
  <c r="DA29" i="2" s="1"/>
  <c r="CF29" i="2" a="1"/>
  <c r="CF29" i="2" s="1"/>
  <c r="DJ29" i="2" a="1"/>
  <c r="DJ29" i="2" s="1"/>
  <c r="CL29" i="2" a="1"/>
  <c r="CL29" i="2" s="1"/>
  <c r="BN29" i="2" a="1"/>
  <c r="BN29" i="2" s="1"/>
  <c r="BH29" i="2" a="1"/>
  <c r="BH29" i="2" s="1"/>
  <c r="AD29" i="2" a="1"/>
  <c r="AD29" i="2" s="1"/>
  <c r="X29" i="2" a="1"/>
  <c r="X29" i="2" s="1"/>
  <c r="DM29" i="2" a="1"/>
  <c r="DM29" i="2" s="1"/>
  <c r="AY29" i="2" a="1"/>
  <c r="AY29" i="2" s="1"/>
  <c r="AA29" i="2" a="1"/>
  <c r="AA29" i="2" s="1"/>
  <c r="CR29" i="2" a="1"/>
  <c r="CR29" i="2" s="1"/>
  <c r="BT29" i="2" a="1"/>
  <c r="BT29" i="2" s="1"/>
  <c r="AV29" i="2" a="1"/>
  <c r="AV29" i="2" s="1"/>
  <c r="DG29" i="2" a="1"/>
  <c r="DG29" i="2" s="1"/>
  <c r="BW29" i="2" a="1"/>
  <c r="BW29" i="2" s="1"/>
  <c r="BQ29" i="2" a="1"/>
  <c r="BQ29" i="2" s="1"/>
  <c r="BK29" i="2" a="1"/>
  <c r="BK29" i="2" s="1"/>
  <c r="BB29" i="2" a="1"/>
  <c r="BB29" i="2" s="1"/>
  <c r="AP29" i="2" a="1"/>
  <c r="AP29" i="2" s="1"/>
  <c r="AG29" i="2" a="1"/>
  <c r="AG29" i="2" s="1"/>
  <c r="L29" i="2" a="1"/>
  <c r="L29" i="2" s="1"/>
  <c r="CO29" i="2" a="1"/>
  <c r="CO29" i="2" s="1"/>
  <c r="BZ29" i="2" a="1"/>
  <c r="BZ29" i="2" s="1"/>
  <c r="CC29" i="2" a="1"/>
  <c r="CC29" i="2" s="1"/>
  <c r="R29" i="2" a="1"/>
  <c r="R29" i="2" s="1"/>
  <c r="I29" i="2" a="1"/>
  <c r="I29" i="2" s="1"/>
  <c r="BE29" i="2" a="1"/>
  <c r="BE29" i="2" s="1"/>
  <c r="AJ29" i="2" a="1"/>
  <c r="AJ29" i="2" s="1"/>
  <c r="JD13" i="2" a="1"/>
  <c r="JD13" i="2" s="1"/>
  <c r="IR13" i="2" a="1"/>
  <c r="IR13" i="2" s="1"/>
  <c r="JA13" i="2" a="1"/>
  <c r="JA13" i="2" s="1"/>
  <c r="IO13" i="2" a="1"/>
  <c r="IO13" i="2" s="1"/>
  <c r="HZ13" i="2" a="1"/>
  <c r="HZ13" i="2" s="1"/>
  <c r="HW13" i="2" a="1"/>
  <c r="HW13" i="2" s="1"/>
  <c r="HT13" i="2" a="1"/>
  <c r="HT13" i="2" s="1"/>
  <c r="IU13" i="2" a="1"/>
  <c r="IU13" i="2" s="1"/>
  <c r="II13" i="2" a="1"/>
  <c r="II13" i="2" s="1"/>
  <c r="IF13" i="2" a="1"/>
  <c r="IF13" i="2" s="1"/>
  <c r="IC13" i="2" a="1"/>
  <c r="IC13" i="2" s="1"/>
  <c r="IX13" i="2" a="1"/>
  <c r="IX13" i="2" s="1"/>
  <c r="HQ13" i="2" a="1"/>
  <c r="HQ13" i="2" s="1"/>
  <c r="HK13" i="2" a="1"/>
  <c r="HK13" i="2" s="1"/>
  <c r="HH13" i="2" a="1"/>
  <c r="HH13" i="2" s="1"/>
  <c r="HE13" i="2" a="1"/>
  <c r="HE13" i="2" s="1"/>
  <c r="HB13" i="2" a="1"/>
  <c r="HB13" i="2" s="1"/>
  <c r="GY13" i="2" a="1"/>
  <c r="GY13" i="2" s="1"/>
  <c r="GP13" i="2" a="1"/>
  <c r="GP13" i="2" s="1"/>
  <c r="IL13" i="2" a="1"/>
  <c r="IL13" i="2" s="1"/>
  <c r="GV13" i="2" a="1"/>
  <c r="GV13" i="2" s="1"/>
  <c r="GS13" i="2" a="1"/>
  <c r="GS13" i="2" s="1"/>
  <c r="HN13" i="2" a="1"/>
  <c r="HN13" i="2" s="1"/>
  <c r="FL13" i="2" a="1"/>
  <c r="FL13" i="2" s="1"/>
  <c r="FX13" i="2" a="1"/>
  <c r="FX13" i="2" s="1"/>
  <c r="GD13" i="2" a="1"/>
  <c r="GD13" i="2" s="1"/>
  <c r="GJ13" i="2" a="1"/>
  <c r="GJ13" i="2" s="1"/>
  <c r="FF13" i="2" a="1"/>
  <c r="FF13" i="2" s="1"/>
  <c r="FC13" i="2" a="1"/>
  <c r="FC13" i="2" s="1"/>
  <c r="FR13" i="2" a="1"/>
  <c r="FR13" i="2" s="1"/>
  <c r="FI13" i="2" a="1"/>
  <c r="FI13" i="2" s="1"/>
  <c r="EK13" i="2" a="1"/>
  <c r="EK13" i="2" s="1"/>
  <c r="DS13" i="2" a="1"/>
  <c r="DS13" i="2" s="1"/>
  <c r="FO13" i="2" a="1"/>
  <c r="FO13" i="2" s="1"/>
  <c r="EW13" i="2" a="1"/>
  <c r="EW13" i="2" s="1"/>
  <c r="EN13" i="2" a="1"/>
  <c r="EN13" i="2" s="1"/>
  <c r="EH13" i="2" a="1"/>
  <c r="EH13" i="2" s="1"/>
  <c r="FU13" i="2" a="1"/>
  <c r="FU13" i="2" s="1"/>
  <c r="DV13" i="2" a="1"/>
  <c r="DV13" i="2" s="1"/>
  <c r="EZ13" i="2" a="1"/>
  <c r="EZ13" i="2" s="1"/>
  <c r="DY13" i="2" a="1"/>
  <c r="DY13" i="2" s="1"/>
  <c r="GM13" i="2" a="1"/>
  <c r="GM13" i="2" s="1"/>
  <c r="DP13" i="2" a="1"/>
  <c r="DP13" i="2" s="1"/>
  <c r="GA13" i="2" a="1"/>
  <c r="GA13" i="2" s="1"/>
  <c r="EB13" i="2" a="1"/>
  <c r="EB13" i="2" s="1"/>
  <c r="DG13" i="2" a="1"/>
  <c r="DG13" i="2" s="1"/>
  <c r="DA13" i="2" a="1"/>
  <c r="DA13" i="2" s="1"/>
  <c r="EQ13" i="2" a="1"/>
  <c r="EQ13" i="2" s="1"/>
  <c r="CX13" i="2" a="1"/>
  <c r="CX13" i="2" s="1"/>
  <c r="DM13" i="2" a="1"/>
  <c r="DM13" i="2" s="1"/>
  <c r="DJ13" i="2" a="1"/>
  <c r="DJ13" i="2" s="1"/>
  <c r="CU13" i="2" a="1"/>
  <c r="CU13" i="2" s="1"/>
  <c r="CO13" i="2" a="1"/>
  <c r="CO13" i="2" s="1"/>
  <c r="GG13" i="2" a="1"/>
  <c r="GG13" i="2" s="1"/>
  <c r="CF13" i="2" a="1"/>
  <c r="CF13" i="2" s="1"/>
  <c r="DD13" i="2" a="1"/>
  <c r="DD13" i="2" s="1"/>
  <c r="CR13" i="2" a="1"/>
  <c r="CR13" i="2" s="1"/>
  <c r="CL13" i="2" a="1"/>
  <c r="CL13" i="2" s="1"/>
  <c r="CC13" i="2" a="1"/>
  <c r="CC13" i="2" s="1"/>
  <c r="BN13" i="2" a="1"/>
  <c r="BN13" i="2" s="1"/>
  <c r="AV13" i="2" a="1"/>
  <c r="AV13" i="2" s="1"/>
  <c r="AD13" i="2" a="1"/>
  <c r="AD13" i="2" s="1"/>
  <c r="BW13" i="2" a="1"/>
  <c r="BW13" i="2" s="1"/>
  <c r="BQ13" i="2" a="1"/>
  <c r="BQ13" i="2" s="1"/>
  <c r="AY13" i="2" a="1"/>
  <c r="AY13" i="2" s="1"/>
  <c r="AA13" i="2" a="1"/>
  <c r="AA13" i="2" s="1"/>
  <c r="BH13" i="2" a="1"/>
  <c r="BH13" i="2" s="1"/>
  <c r="CI13" i="2" a="1"/>
  <c r="CI13" i="2" s="1"/>
  <c r="BZ13" i="2" a="1"/>
  <c r="BZ13" i="2" s="1"/>
  <c r="AP13" i="2" a="1"/>
  <c r="AP13" i="2" s="1"/>
  <c r="ET13" i="2" a="1"/>
  <c r="ET13" i="2" s="1"/>
  <c r="AG13" i="2" a="1"/>
  <c r="AG13" i="2" s="1"/>
  <c r="BT13" i="2" a="1"/>
  <c r="BT13" i="2" s="1"/>
  <c r="BB13" i="2" a="1"/>
  <c r="BB13" i="2" s="1"/>
  <c r="AS13" i="2" a="1"/>
  <c r="AS13" i="2" s="1"/>
  <c r="AJ13" i="2" a="1"/>
  <c r="AJ13" i="2" s="1"/>
  <c r="I13" i="2" a="1"/>
  <c r="I13" i="2" s="1"/>
  <c r="EE13" i="2" a="1"/>
  <c r="EE13" i="2" s="1"/>
  <c r="BE13" i="2" a="1"/>
  <c r="BE13" i="2" s="1"/>
  <c r="JD5" i="2" a="1"/>
  <c r="JD5" i="2" s="1"/>
  <c r="IR5" i="2" a="1"/>
  <c r="IR5" i="2" s="1"/>
  <c r="JA5" i="2" a="1"/>
  <c r="JA5" i="2" s="1"/>
  <c r="IO5" i="2" a="1"/>
  <c r="IO5" i="2" s="1"/>
  <c r="IX5" i="2" a="1"/>
  <c r="IX5" i="2" s="1"/>
  <c r="HZ5" i="2" a="1"/>
  <c r="HZ5" i="2" s="1"/>
  <c r="HW5" i="2" a="1"/>
  <c r="HW5" i="2" s="1"/>
  <c r="HT5" i="2" a="1"/>
  <c r="HT5" i="2" s="1"/>
  <c r="IL5" i="2" a="1"/>
  <c r="IL5" i="2" s="1"/>
  <c r="IC5" i="2" a="1"/>
  <c r="IC5" i="2" s="1"/>
  <c r="IF5" i="2" a="1"/>
  <c r="IF5" i="2" s="1"/>
  <c r="HN5" i="2" a="1"/>
  <c r="HN5" i="2" s="1"/>
  <c r="II5" i="2" a="1"/>
  <c r="II5" i="2" s="1"/>
  <c r="HK5" i="2" a="1"/>
  <c r="HK5" i="2" s="1"/>
  <c r="HH5" i="2" a="1"/>
  <c r="HH5" i="2" s="1"/>
  <c r="HE5" i="2" a="1"/>
  <c r="HE5" i="2" s="1"/>
  <c r="HB5" i="2" a="1"/>
  <c r="HB5" i="2" s="1"/>
  <c r="GY5" i="2" a="1"/>
  <c r="GY5" i="2" s="1"/>
  <c r="GP5" i="2" a="1"/>
  <c r="GP5" i="2" s="1"/>
  <c r="GM5" i="2" a="1"/>
  <c r="GM5" i="2" s="1"/>
  <c r="HQ5" i="2" a="1"/>
  <c r="HQ5" i="2" s="1"/>
  <c r="FR5" i="2" a="1"/>
  <c r="FR5" i="2" s="1"/>
  <c r="IU5" i="2" a="1"/>
  <c r="IU5" i="2" s="1"/>
  <c r="FX5" i="2" a="1"/>
  <c r="FX5" i="2" s="1"/>
  <c r="GJ5" i="2" a="1"/>
  <c r="GJ5" i="2" s="1"/>
  <c r="GV5" i="2" a="1"/>
  <c r="GV5" i="2" s="1"/>
  <c r="FL5" i="2" a="1"/>
  <c r="FL5" i="2" s="1"/>
  <c r="FI5" i="2" a="1"/>
  <c r="FI5" i="2" s="1"/>
  <c r="GG5" i="2" a="1"/>
  <c r="GG5" i="2" s="1"/>
  <c r="GS5" i="2" a="1"/>
  <c r="GS5" i="2" s="1"/>
  <c r="FU5" i="2" a="1"/>
  <c r="FU5" i="2" s="1"/>
  <c r="FO5" i="2" a="1"/>
  <c r="FO5" i="2" s="1"/>
  <c r="EZ5" i="2" a="1"/>
  <c r="EZ5" i="2" s="1"/>
  <c r="EK5" i="2" a="1"/>
  <c r="EK5" i="2" s="1"/>
  <c r="GD5" i="2" a="1"/>
  <c r="GD5" i="2" s="1"/>
  <c r="EW5" i="2" a="1"/>
  <c r="EW5" i="2" s="1"/>
  <c r="EN5" i="2" a="1"/>
  <c r="EN5" i="2" s="1"/>
  <c r="FF5" i="2" a="1"/>
  <c r="FF5" i="2" s="1"/>
  <c r="EQ5" i="2" a="1"/>
  <c r="EQ5" i="2" s="1"/>
  <c r="FC5" i="2" a="1"/>
  <c r="FC5" i="2" s="1"/>
  <c r="EB5" i="2" a="1"/>
  <c r="EB5" i="2" s="1"/>
  <c r="DS5" i="2" a="1"/>
  <c r="DS5" i="2" s="1"/>
  <c r="DP5" i="2" a="1"/>
  <c r="DP5" i="2" s="1"/>
  <c r="DD5" i="2" a="1"/>
  <c r="DD5" i="2" s="1"/>
  <c r="CX5" i="2" a="1"/>
  <c r="CX5" i="2" s="1"/>
  <c r="ET5" i="2" a="1"/>
  <c r="ET5" i="2" s="1"/>
  <c r="EE5" i="2" a="1"/>
  <c r="EE5" i="2" s="1"/>
  <c r="DV5" i="2" a="1"/>
  <c r="DV5" i="2" s="1"/>
  <c r="DJ5" i="2" a="1"/>
  <c r="DJ5" i="2" s="1"/>
  <c r="GA5" i="2" a="1"/>
  <c r="GA5" i="2" s="1"/>
  <c r="DM5" i="2" a="1"/>
  <c r="DM5" i="2" s="1"/>
  <c r="CU5" i="2" a="1"/>
  <c r="CU5" i="2" s="1"/>
  <c r="EH5" i="2" a="1"/>
  <c r="EH5" i="2" s="1"/>
  <c r="DG5" i="2" a="1"/>
  <c r="DG5" i="2" s="1"/>
  <c r="CR5" i="2" a="1"/>
  <c r="CR5" i="2" s="1"/>
  <c r="CL5" i="2" a="1"/>
  <c r="CL5" i="2" s="1"/>
  <c r="CC5" i="2" a="1"/>
  <c r="CC5" i="2" s="1"/>
  <c r="BZ5" i="2" a="1"/>
  <c r="BZ5" i="2" s="1"/>
  <c r="DY5" i="2" a="1"/>
  <c r="DY5" i="2" s="1"/>
  <c r="CF5" i="2" a="1"/>
  <c r="CF5" i="2" s="1"/>
  <c r="CI5" i="2" a="1"/>
  <c r="CI5" i="2" s="1"/>
  <c r="AM5" i="2" a="1"/>
  <c r="AM5" i="2" s="1"/>
  <c r="AG5" i="2" a="1"/>
  <c r="AG5" i="2" s="1"/>
  <c r="BT5" i="2" a="1"/>
  <c r="BT5" i="2" s="1"/>
  <c r="AY5" i="2" a="1"/>
  <c r="AY5" i="2" s="1"/>
  <c r="CO5" i="2" a="1"/>
  <c r="CO5" i="2" s="1"/>
  <c r="BK5" i="2" a="1"/>
  <c r="BK5" i="2" s="1"/>
  <c r="BB5" i="2" a="1"/>
  <c r="BB5" i="2" s="1"/>
  <c r="AP5" i="2" a="1"/>
  <c r="AP5" i="2" s="1"/>
  <c r="AJ5" i="2" a="1"/>
  <c r="AJ5" i="2" s="1"/>
  <c r="AD5" i="2" a="1"/>
  <c r="AD5" i="2" s="1"/>
  <c r="BH5" i="2" a="1"/>
  <c r="BH5" i="2" s="1"/>
  <c r="AV5" i="2" a="1"/>
  <c r="AV5" i="2" s="1"/>
  <c r="AS5" i="2" a="1"/>
  <c r="AS5" i="2" s="1"/>
  <c r="BW5" i="2" a="1"/>
  <c r="BW5" i="2" s="1"/>
  <c r="BN5" i="2" a="1"/>
  <c r="BN5" i="2" s="1"/>
  <c r="I5" i="2" a="1"/>
  <c r="I5" i="2" s="1"/>
  <c r="X5" i="2" a="1"/>
  <c r="X5" i="2" s="1"/>
  <c r="BQ5" i="2" a="1"/>
  <c r="BQ5" i="2" s="1"/>
  <c r="BE5" i="2" a="1"/>
  <c r="BE5" i="2" s="1"/>
  <c r="I50" i="2" a="1"/>
  <c r="I50" i="2" s="1"/>
  <c r="I18" i="2" a="1"/>
  <c r="I18" i="2" s="1"/>
  <c r="R66" i="2" a="1"/>
  <c r="R66" i="2" s="1"/>
  <c r="U25" i="2" a="1"/>
  <c r="U25" i="2" s="1"/>
  <c r="AD66" i="2" a="1"/>
  <c r="AD66" i="2" s="1"/>
  <c r="AG18" i="2" a="1"/>
  <c r="AG18" i="2" s="1"/>
  <c r="AM58" i="2" a="1"/>
  <c r="AM58" i="2" s="1"/>
  <c r="BB45" i="2" a="1"/>
  <c r="BB45" i="2" s="1"/>
  <c r="BH21" i="2" a="1"/>
  <c r="BH21" i="2" s="1"/>
  <c r="CF58" i="2" a="1"/>
  <c r="CF58" i="2" s="1"/>
  <c r="O34" i="2" a="1"/>
  <c r="O34" i="2" s="1"/>
  <c r="JD34" i="2" a="1"/>
  <c r="JD34" i="2" s="1"/>
  <c r="IU34" i="2" a="1"/>
  <c r="IU34" i="2" s="1"/>
  <c r="II34" i="2" a="1"/>
  <c r="II34" i="2" s="1"/>
  <c r="IR34" i="2" a="1"/>
  <c r="IR34" i="2" s="1"/>
  <c r="IO34" i="2" a="1"/>
  <c r="IO34" i="2" s="1"/>
  <c r="IX34" i="2" a="1"/>
  <c r="IX34" i="2" s="1"/>
  <c r="IL34" i="2" a="1"/>
  <c r="IL34" i="2" s="1"/>
  <c r="JA34" i="2" a="1"/>
  <c r="JA34" i="2" s="1"/>
  <c r="HZ34" i="2" a="1"/>
  <c r="HZ34" i="2" s="1"/>
  <c r="HQ34" i="2" a="1"/>
  <c r="HQ34" i="2" s="1"/>
  <c r="HT34" i="2" a="1"/>
  <c r="HT34" i="2" s="1"/>
  <c r="HN34" i="2" a="1"/>
  <c r="HN34" i="2" s="1"/>
  <c r="HH34" i="2" a="1"/>
  <c r="HH34" i="2" s="1"/>
  <c r="HE34" i="2" a="1"/>
  <c r="HE34" i="2" s="1"/>
  <c r="GM34" i="2" a="1"/>
  <c r="GM34" i="2" s="1"/>
  <c r="IC34" i="2" a="1"/>
  <c r="IC34" i="2" s="1"/>
  <c r="GV34" i="2" a="1"/>
  <c r="GV34" i="2" s="1"/>
  <c r="FX34" i="2" a="1"/>
  <c r="FX34" i="2" s="1"/>
  <c r="GY34" i="2" a="1"/>
  <c r="GY34" i="2" s="1"/>
  <c r="GS34" i="2" a="1"/>
  <c r="GS34" i="2" s="1"/>
  <c r="GP34" i="2" a="1"/>
  <c r="GP34" i="2" s="1"/>
  <c r="FO34" i="2" a="1"/>
  <c r="FO34" i="2" s="1"/>
  <c r="HB34" i="2" a="1"/>
  <c r="HB34" i="2" s="1"/>
  <c r="HW34" i="2" a="1"/>
  <c r="HW34" i="2" s="1"/>
  <c r="HK34" i="2" a="1"/>
  <c r="HK34" i="2" s="1"/>
  <c r="GJ34" i="2" a="1"/>
  <c r="GJ34" i="2" s="1"/>
  <c r="GD34" i="2" a="1"/>
  <c r="GD34" i="2" s="1"/>
  <c r="FI34" i="2" a="1"/>
  <c r="FI34" i="2" s="1"/>
  <c r="EZ34" i="2" a="1"/>
  <c r="EZ34" i="2" s="1"/>
  <c r="FL34" i="2" a="1"/>
  <c r="FL34" i="2" s="1"/>
  <c r="FR34" i="2" a="1"/>
  <c r="FR34" i="2" s="1"/>
  <c r="FC34" i="2" a="1"/>
  <c r="FC34" i="2" s="1"/>
  <c r="GG34" i="2" a="1"/>
  <c r="GG34" i="2" s="1"/>
  <c r="IF34" i="2" a="1"/>
  <c r="IF34" i="2" s="1"/>
  <c r="FF34" i="2" a="1"/>
  <c r="FF34" i="2" s="1"/>
  <c r="EK34" i="2" a="1"/>
  <c r="EK34" i="2" s="1"/>
  <c r="EN34" i="2" a="1"/>
  <c r="EN34" i="2" s="1"/>
  <c r="ET34" i="2" a="1"/>
  <c r="ET34" i="2" s="1"/>
  <c r="FU34" i="2" a="1"/>
  <c r="FU34" i="2" s="1"/>
  <c r="DM34" i="2" a="1"/>
  <c r="DM34" i="2" s="1"/>
  <c r="DG34" i="2" a="1"/>
  <c r="DG34" i="2" s="1"/>
  <c r="DA34" i="2" a="1"/>
  <c r="DA34" i="2" s="1"/>
  <c r="GA34" i="2" a="1"/>
  <c r="GA34" i="2" s="1"/>
  <c r="EE34" i="2" a="1"/>
  <c r="EE34" i="2" s="1"/>
  <c r="DV34" i="2" a="1"/>
  <c r="DV34" i="2" s="1"/>
  <c r="DS34" i="2" a="1"/>
  <c r="DS34" i="2" s="1"/>
  <c r="EW34" i="2" a="1"/>
  <c r="EW34" i="2" s="1"/>
  <c r="EQ34" i="2" a="1"/>
  <c r="EQ34" i="2" s="1"/>
  <c r="EH34" i="2" a="1"/>
  <c r="EH34" i="2" s="1"/>
  <c r="DY34" i="2" a="1"/>
  <c r="DY34" i="2" s="1"/>
  <c r="DJ34" i="2" a="1"/>
  <c r="DJ34" i="2" s="1"/>
  <c r="CR34" i="2" a="1"/>
  <c r="CR34" i="2" s="1"/>
  <c r="EB34" i="2" a="1"/>
  <c r="EB34" i="2" s="1"/>
  <c r="DP34" i="2" a="1"/>
  <c r="DP34" i="2" s="1"/>
  <c r="DD34" i="2" a="1"/>
  <c r="DD34" i="2" s="1"/>
  <c r="CC34" i="2" a="1"/>
  <c r="CC34" i="2" s="1"/>
  <c r="BT34" i="2" a="1"/>
  <c r="BT34" i="2" s="1"/>
  <c r="CO34" i="2" a="1"/>
  <c r="CO34" i="2" s="1"/>
  <c r="CI34" i="2" a="1"/>
  <c r="CI34" i="2" s="1"/>
  <c r="BW34" i="2" a="1"/>
  <c r="BW34" i="2" s="1"/>
  <c r="CX34" i="2" a="1"/>
  <c r="CX34" i="2" s="1"/>
  <c r="CL34" i="2" a="1"/>
  <c r="CL34" i="2" s="1"/>
  <c r="BZ34" i="2" a="1"/>
  <c r="BZ34" i="2" s="1"/>
  <c r="BQ34" i="2" a="1"/>
  <c r="BQ34" i="2" s="1"/>
  <c r="AA34" i="2" a="1"/>
  <c r="AA34" i="2" s="1"/>
  <c r="BH34" i="2" a="1"/>
  <c r="BH34" i="2" s="1"/>
  <c r="BE34" i="2" a="1"/>
  <c r="BE34" i="2" s="1"/>
  <c r="AS34" i="2" a="1"/>
  <c r="AS34" i="2" s="1"/>
  <c r="X34" i="2" a="1"/>
  <c r="X34" i="2" s="1"/>
  <c r="BK34" i="2" a="1"/>
  <c r="BK34" i="2" s="1"/>
  <c r="AP34" i="2" a="1"/>
  <c r="AP34" i="2" s="1"/>
  <c r="AG34" i="2" a="1"/>
  <c r="AG34" i="2" s="1"/>
  <c r="U34" i="2" a="1"/>
  <c r="U34" i="2" s="1"/>
  <c r="AV34" i="2" a="1"/>
  <c r="AV34" i="2" s="1"/>
  <c r="AD34" i="2" a="1"/>
  <c r="AD34" i="2" s="1"/>
  <c r="AJ34" i="2" a="1"/>
  <c r="AJ34" i="2" s="1"/>
  <c r="L34" i="2" a="1"/>
  <c r="L34" i="2" s="1"/>
  <c r="CF34" i="2" a="1"/>
  <c r="CF34" i="2" s="1"/>
  <c r="BB34" i="2" a="1"/>
  <c r="BB34" i="2" s="1"/>
  <c r="AM34" i="2" a="1"/>
  <c r="AM34" i="2" s="1"/>
  <c r="R26" i="2" a="1"/>
  <c r="R26" i="2" s="1"/>
  <c r="O73" i="2" a="1"/>
  <c r="O73" i="2" s="1"/>
  <c r="IU73" i="2" a="1"/>
  <c r="IU73" i="2" s="1"/>
  <c r="JD73" i="2" a="1"/>
  <c r="JD73" i="2" s="1"/>
  <c r="II73" i="2" a="1"/>
  <c r="II73" i="2" s="1"/>
  <c r="IR73" i="2" a="1"/>
  <c r="IR73" i="2" s="1"/>
  <c r="IX73" i="2" a="1"/>
  <c r="IX73" i="2" s="1"/>
  <c r="IC73" i="2" a="1"/>
  <c r="IC73" i="2" s="1"/>
  <c r="IF73" i="2" a="1"/>
  <c r="IF73" i="2" s="1"/>
  <c r="IL73" i="2" a="1"/>
  <c r="IL73" i="2" s="1"/>
  <c r="HQ73" i="2" a="1"/>
  <c r="HQ73" i="2" s="1"/>
  <c r="JA73" i="2" a="1"/>
  <c r="JA73" i="2" s="1"/>
  <c r="IO73" i="2" a="1"/>
  <c r="IO73" i="2" s="1"/>
  <c r="GM73" i="2" a="1"/>
  <c r="GM73" i="2" s="1"/>
  <c r="HT73" i="2" a="1"/>
  <c r="HT73" i="2" s="1"/>
  <c r="GP73" i="2" a="1"/>
  <c r="GP73" i="2" s="1"/>
  <c r="HN73" i="2" a="1"/>
  <c r="HN73" i="2" s="1"/>
  <c r="GS73" i="2" a="1"/>
  <c r="GS73" i="2" s="1"/>
  <c r="HK73" i="2" a="1"/>
  <c r="HK73" i="2" s="1"/>
  <c r="GV73" i="2" a="1"/>
  <c r="GV73" i="2" s="1"/>
  <c r="FL73" i="2" a="1"/>
  <c r="FL73" i="2" s="1"/>
  <c r="FI73" i="2" a="1"/>
  <c r="FI73" i="2" s="1"/>
  <c r="HZ73" i="2" a="1"/>
  <c r="HZ73" i="2" s="1"/>
  <c r="HH73" i="2" a="1"/>
  <c r="HH73" i="2" s="1"/>
  <c r="GY73" i="2" a="1"/>
  <c r="GY73" i="2" s="1"/>
  <c r="FR73" i="2" a="1"/>
  <c r="FR73" i="2" s="1"/>
  <c r="HW73" i="2" a="1"/>
  <c r="HW73" i="2" s="1"/>
  <c r="GJ73" i="2" a="1"/>
  <c r="GJ73" i="2" s="1"/>
  <c r="GG73" i="2" a="1"/>
  <c r="GG73" i="2" s="1"/>
  <c r="GD73" i="2" a="1"/>
  <c r="GD73" i="2" s="1"/>
  <c r="HE73" i="2" a="1"/>
  <c r="HE73" i="2" s="1"/>
  <c r="GA73" i="2" a="1"/>
  <c r="GA73" i="2" s="1"/>
  <c r="FO73" i="2" a="1"/>
  <c r="FO73" i="2" s="1"/>
  <c r="FU73" i="2" a="1"/>
  <c r="FU73" i="2" s="1"/>
  <c r="FC73" i="2" a="1"/>
  <c r="FC73" i="2" s="1"/>
  <c r="FX73" i="2" a="1"/>
  <c r="FX73" i="2" s="1"/>
  <c r="EK73" i="2" a="1"/>
  <c r="EK73" i="2" s="1"/>
  <c r="EN73" i="2" a="1"/>
  <c r="EN73" i="2" s="1"/>
  <c r="DS73" i="2" a="1"/>
  <c r="DS73" i="2" s="1"/>
  <c r="FF73" i="2" a="1"/>
  <c r="FF73" i="2" s="1"/>
  <c r="EZ73" i="2" a="1"/>
  <c r="EZ73" i="2" s="1"/>
  <c r="EQ73" i="2" a="1"/>
  <c r="EQ73" i="2" s="1"/>
  <c r="HB73" i="2" a="1"/>
  <c r="HB73" i="2" s="1"/>
  <c r="ET73" i="2" a="1"/>
  <c r="ET73" i="2" s="1"/>
  <c r="DV73" i="2" a="1"/>
  <c r="DV73" i="2" s="1"/>
  <c r="DD73" i="2" a="1"/>
  <c r="DD73" i="2" s="1"/>
  <c r="EE73" i="2" a="1"/>
  <c r="EE73" i="2" s="1"/>
  <c r="DJ73" i="2" a="1"/>
  <c r="DJ73" i="2" s="1"/>
  <c r="DY73" i="2" a="1"/>
  <c r="DY73" i="2" s="1"/>
  <c r="EH73" i="2" a="1"/>
  <c r="EH73" i="2" s="1"/>
  <c r="DG73" i="2" a="1"/>
  <c r="DG73" i="2" s="1"/>
  <c r="CU73" i="2" a="1"/>
  <c r="CU73" i="2" s="1"/>
  <c r="CO73" i="2" a="1"/>
  <c r="CO73" i="2" s="1"/>
  <c r="EW73" i="2" a="1"/>
  <c r="EW73" i="2" s="1"/>
  <c r="EB73" i="2" a="1"/>
  <c r="EB73" i="2" s="1"/>
  <c r="CI73" i="2" a="1"/>
  <c r="CI73" i="2" s="1"/>
  <c r="BZ73" i="2" a="1"/>
  <c r="BZ73" i="2" s="1"/>
  <c r="CX73" i="2" a="1"/>
  <c r="CX73" i="2" s="1"/>
  <c r="CC73" i="2" a="1"/>
  <c r="CC73" i="2" s="1"/>
  <c r="BT73" i="2" a="1"/>
  <c r="BT73" i="2" s="1"/>
  <c r="AY73" i="2" a="1"/>
  <c r="AY73" i="2" s="1"/>
  <c r="AD73" i="2" a="1"/>
  <c r="AD73" i="2" s="1"/>
  <c r="BQ73" i="2" a="1"/>
  <c r="BQ73" i="2" s="1"/>
  <c r="CL73" i="2" a="1"/>
  <c r="CL73" i="2" s="1"/>
  <c r="AM73" i="2" a="1"/>
  <c r="AM73" i="2" s="1"/>
  <c r="X73" i="2" a="1"/>
  <c r="X73" i="2" s="1"/>
  <c r="DA73" i="2" a="1"/>
  <c r="DA73" i="2" s="1"/>
  <c r="BE73" i="2" a="1"/>
  <c r="BE73" i="2" s="1"/>
  <c r="AA73" i="2" a="1"/>
  <c r="AA73" i="2" s="1"/>
  <c r="AP73" i="2" a="1"/>
  <c r="AP73" i="2" s="1"/>
  <c r="BH73" i="2" a="1"/>
  <c r="BH73" i="2" s="1"/>
  <c r="AG73" i="2" a="1"/>
  <c r="AG73" i="2" s="1"/>
  <c r="R73" i="2" a="1"/>
  <c r="R73" i="2" s="1"/>
  <c r="DM73" i="2" a="1"/>
  <c r="DM73" i="2" s="1"/>
  <c r="CF73" i="2" a="1"/>
  <c r="CF73" i="2" s="1"/>
  <c r="BW73" i="2" a="1"/>
  <c r="BW73" i="2" s="1"/>
  <c r="BN73" i="2" a="1"/>
  <c r="BN73" i="2" s="1"/>
  <c r="AV73" i="2" a="1"/>
  <c r="AV73" i="2" s="1"/>
  <c r="AS73" i="2" a="1"/>
  <c r="AS73" i="2" s="1"/>
  <c r="AJ73" i="2" a="1"/>
  <c r="AJ73" i="2" s="1"/>
  <c r="O57" i="2" a="1"/>
  <c r="O57" i="2" s="1"/>
  <c r="IU57" i="2" a="1"/>
  <c r="IU57" i="2" s="1"/>
  <c r="IO57" i="2" a="1"/>
  <c r="IO57" i="2" s="1"/>
  <c r="II57" i="2" a="1"/>
  <c r="II57" i="2" s="1"/>
  <c r="JD57" i="2" a="1"/>
  <c r="JD57" i="2" s="1"/>
  <c r="IR57" i="2" a="1"/>
  <c r="IR57" i="2" s="1"/>
  <c r="JA57" i="2" a="1"/>
  <c r="JA57" i="2" s="1"/>
  <c r="IC57" i="2" a="1"/>
  <c r="IC57" i="2" s="1"/>
  <c r="HZ57" i="2" a="1"/>
  <c r="HZ57" i="2" s="1"/>
  <c r="HQ57" i="2" a="1"/>
  <c r="HQ57" i="2" s="1"/>
  <c r="HW57" i="2" a="1"/>
  <c r="HW57" i="2" s="1"/>
  <c r="HN57" i="2" a="1"/>
  <c r="HN57" i="2" s="1"/>
  <c r="IL57" i="2" a="1"/>
  <c r="IL57" i="2" s="1"/>
  <c r="HT57" i="2" a="1"/>
  <c r="HT57" i="2" s="1"/>
  <c r="HB57" i="2" a="1"/>
  <c r="HB57" i="2" s="1"/>
  <c r="IF57" i="2" a="1"/>
  <c r="IF57" i="2" s="1"/>
  <c r="HH57" i="2" a="1"/>
  <c r="HH57" i="2" s="1"/>
  <c r="GV57" i="2" a="1"/>
  <c r="GV57" i="2" s="1"/>
  <c r="FO57" i="2" a="1"/>
  <c r="FO57" i="2" s="1"/>
  <c r="GS57" i="2" a="1"/>
  <c r="GS57" i="2" s="1"/>
  <c r="FU57" i="2" a="1"/>
  <c r="FU57" i="2" s="1"/>
  <c r="IX57" i="2" a="1"/>
  <c r="IX57" i="2" s="1"/>
  <c r="HE57" i="2" a="1"/>
  <c r="HE57" i="2" s="1"/>
  <c r="GP57" i="2" a="1"/>
  <c r="GP57" i="2" s="1"/>
  <c r="GJ57" i="2" a="1"/>
  <c r="GJ57" i="2" s="1"/>
  <c r="FL57" i="2" a="1"/>
  <c r="FL57" i="2" s="1"/>
  <c r="GD57" i="2" a="1"/>
  <c r="GD57" i="2" s="1"/>
  <c r="FX57" i="2" a="1"/>
  <c r="FX57" i="2" s="1"/>
  <c r="FR57" i="2" a="1"/>
  <c r="FR57" i="2" s="1"/>
  <c r="FI57" i="2" a="1"/>
  <c r="FI57" i="2" s="1"/>
  <c r="FC57" i="2" a="1"/>
  <c r="FC57" i="2" s="1"/>
  <c r="EZ57" i="2" a="1"/>
  <c r="EZ57" i="2" s="1"/>
  <c r="GY57" i="2" a="1"/>
  <c r="GY57" i="2" s="1"/>
  <c r="GA57" i="2" a="1"/>
  <c r="GA57" i="2" s="1"/>
  <c r="ET57" i="2" a="1"/>
  <c r="ET57" i="2" s="1"/>
  <c r="GG57" i="2" a="1"/>
  <c r="GG57" i="2" s="1"/>
  <c r="EK57" i="2" a="1"/>
  <c r="EK57" i="2" s="1"/>
  <c r="DS57" i="2" a="1"/>
  <c r="DS57" i="2" s="1"/>
  <c r="EN57" i="2" a="1"/>
  <c r="EN57" i="2" s="1"/>
  <c r="EQ57" i="2" a="1"/>
  <c r="EQ57" i="2" s="1"/>
  <c r="FF57" i="2" a="1"/>
  <c r="FF57" i="2" s="1"/>
  <c r="EB57" i="2" a="1"/>
  <c r="EB57" i="2" s="1"/>
  <c r="DG57" i="2" a="1"/>
  <c r="DG57" i="2" s="1"/>
  <c r="DA57" i="2" a="1"/>
  <c r="DA57" i="2" s="1"/>
  <c r="DJ57" i="2" a="1"/>
  <c r="DJ57" i="2" s="1"/>
  <c r="EW57" i="2" a="1"/>
  <c r="EW57" i="2" s="1"/>
  <c r="EH57" i="2" a="1"/>
  <c r="EH57" i="2" s="1"/>
  <c r="EE57" i="2" a="1"/>
  <c r="EE57" i="2" s="1"/>
  <c r="DV57" i="2" a="1"/>
  <c r="DV57" i="2" s="1"/>
  <c r="DY57" i="2" a="1"/>
  <c r="DY57" i="2" s="1"/>
  <c r="DD57" i="2" a="1"/>
  <c r="DD57" i="2" s="1"/>
  <c r="CX57" i="2" a="1"/>
  <c r="CX57" i="2" s="1"/>
  <c r="CU57" i="2" a="1"/>
  <c r="CU57" i="2" s="1"/>
  <c r="CR57" i="2" a="1"/>
  <c r="CR57" i="2" s="1"/>
  <c r="DM57" i="2" a="1"/>
  <c r="DM57" i="2" s="1"/>
  <c r="HK57" i="2" a="1"/>
  <c r="HK57" i="2" s="1"/>
  <c r="CO57" i="2" a="1"/>
  <c r="CO57" i="2" s="1"/>
  <c r="CF57" i="2" a="1"/>
  <c r="CF57" i="2" s="1"/>
  <c r="CC57" i="2" a="1"/>
  <c r="CC57" i="2" s="1"/>
  <c r="BT57" i="2" a="1"/>
  <c r="BT57" i="2" s="1"/>
  <c r="GM57" i="2" a="1"/>
  <c r="GM57" i="2" s="1"/>
  <c r="BZ57" i="2" a="1"/>
  <c r="BZ57" i="2" s="1"/>
  <c r="BQ57" i="2" a="1"/>
  <c r="BQ57" i="2" s="1"/>
  <c r="BH57" i="2" a="1"/>
  <c r="BH57" i="2" s="1"/>
  <c r="AY57" i="2" a="1"/>
  <c r="AY57" i="2" s="1"/>
  <c r="DP57" i="2" a="1"/>
  <c r="DP57" i="2" s="1"/>
  <c r="AA57" i="2" a="1"/>
  <c r="AA57" i="2" s="1"/>
  <c r="BE57" i="2" a="1"/>
  <c r="BE57" i="2" s="1"/>
  <c r="BB57" i="2" a="1"/>
  <c r="BB57" i="2" s="1"/>
  <c r="AV57" i="2" a="1"/>
  <c r="AV57" i="2" s="1"/>
  <c r="AS57" i="2" a="1"/>
  <c r="AS57" i="2" s="1"/>
  <c r="AP57" i="2" a="1"/>
  <c r="AP57" i="2" s="1"/>
  <c r="AG57" i="2" a="1"/>
  <c r="AG57" i="2" s="1"/>
  <c r="CI57" i="2" a="1"/>
  <c r="CI57" i="2" s="1"/>
  <c r="BK57" i="2" a="1"/>
  <c r="BK57" i="2" s="1"/>
  <c r="L57" i="2" a="1"/>
  <c r="L57" i="2" s="1"/>
  <c r="I57" i="2" a="1"/>
  <c r="I57" i="2" s="1"/>
  <c r="CL57" i="2" a="1"/>
  <c r="CL57" i="2" s="1"/>
  <c r="AJ57" i="2" a="1"/>
  <c r="AJ57" i="2" s="1"/>
  <c r="X57" i="2" a="1"/>
  <c r="X57" i="2" s="1"/>
  <c r="BN57" i="2" a="1"/>
  <c r="BN57" i="2" s="1"/>
  <c r="IX41" i="2" a="1"/>
  <c r="IX41" i="2" s="1"/>
  <c r="O41" i="2" a="1"/>
  <c r="O41" i="2" s="1"/>
  <c r="IL41" i="2" a="1"/>
  <c r="IL41" i="2" s="1"/>
  <c r="IU41" i="2" a="1"/>
  <c r="IU41" i="2" s="1"/>
  <c r="JD41" i="2" a="1"/>
  <c r="JD41" i="2" s="1"/>
  <c r="IO41" i="2" a="1"/>
  <c r="IO41" i="2" s="1"/>
  <c r="JA41" i="2" a="1"/>
  <c r="JA41" i="2" s="1"/>
  <c r="II41" i="2" a="1"/>
  <c r="II41" i="2" s="1"/>
  <c r="IR41" i="2" a="1"/>
  <c r="IR41" i="2" s="1"/>
  <c r="HZ41" i="2" a="1"/>
  <c r="HZ41" i="2" s="1"/>
  <c r="HQ41" i="2" a="1"/>
  <c r="HQ41" i="2" s="1"/>
  <c r="IF41" i="2" a="1"/>
  <c r="IF41" i="2" s="1"/>
  <c r="IC41" i="2" a="1"/>
  <c r="IC41" i="2" s="1"/>
  <c r="HW41" i="2" a="1"/>
  <c r="HW41" i="2" s="1"/>
  <c r="GM41" i="2" a="1"/>
  <c r="GM41" i="2" s="1"/>
  <c r="HB41" i="2" a="1"/>
  <c r="HB41" i="2" s="1"/>
  <c r="FX41" i="2" a="1"/>
  <c r="FX41" i="2" s="1"/>
  <c r="HN41" i="2" a="1"/>
  <c r="HN41" i="2" s="1"/>
  <c r="HK41" i="2" a="1"/>
  <c r="HK41" i="2" s="1"/>
  <c r="GA41" i="2" a="1"/>
  <c r="GA41" i="2" s="1"/>
  <c r="FO41" i="2" a="1"/>
  <c r="FO41" i="2" s="1"/>
  <c r="GY41" i="2" a="1"/>
  <c r="GY41" i="2" s="1"/>
  <c r="GJ41" i="2" a="1"/>
  <c r="GJ41" i="2" s="1"/>
  <c r="GV41" i="2" a="1"/>
  <c r="GV41" i="2" s="1"/>
  <c r="GG41" i="2" a="1"/>
  <c r="GG41" i="2" s="1"/>
  <c r="FU41" i="2" a="1"/>
  <c r="FU41" i="2" s="1"/>
  <c r="FC41" i="2" a="1"/>
  <c r="FC41" i="2" s="1"/>
  <c r="HH41" i="2" a="1"/>
  <c r="HH41" i="2" s="1"/>
  <c r="GS41" i="2" a="1"/>
  <c r="GS41" i="2" s="1"/>
  <c r="GD41" i="2" a="1"/>
  <c r="GD41" i="2" s="1"/>
  <c r="FR41" i="2" a="1"/>
  <c r="FR41" i="2" s="1"/>
  <c r="FI41" i="2" a="1"/>
  <c r="FI41" i="2" s="1"/>
  <c r="ET41" i="2" a="1"/>
  <c r="ET41" i="2" s="1"/>
  <c r="GP41" i="2" a="1"/>
  <c r="GP41" i="2" s="1"/>
  <c r="EZ41" i="2" a="1"/>
  <c r="EZ41" i="2" s="1"/>
  <c r="EK41" i="2" a="1"/>
  <c r="EK41" i="2" s="1"/>
  <c r="HT41" i="2" a="1"/>
  <c r="HT41" i="2" s="1"/>
  <c r="EN41" i="2" a="1"/>
  <c r="EN41" i="2" s="1"/>
  <c r="DY41" i="2" a="1"/>
  <c r="DY41" i="2" s="1"/>
  <c r="HE41" i="2" a="1"/>
  <c r="HE41" i="2" s="1"/>
  <c r="DD41" i="2" a="1"/>
  <c r="DD41" i="2" s="1"/>
  <c r="EW41" i="2" a="1"/>
  <c r="EW41" i="2" s="1"/>
  <c r="EQ41" i="2" a="1"/>
  <c r="EQ41" i="2" s="1"/>
  <c r="EH41" i="2" a="1"/>
  <c r="EH41" i="2" s="1"/>
  <c r="DJ41" i="2" a="1"/>
  <c r="DJ41" i="2" s="1"/>
  <c r="EB41" i="2" a="1"/>
  <c r="EB41" i="2" s="1"/>
  <c r="FF41" i="2" a="1"/>
  <c r="FF41" i="2" s="1"/>
  <c r="DS41" i="2" a="1"/>
  <c r="DS41" i="2" s="1"/>
  <c r="DP41" i="2" a="1"/>
  <c r="DP41" i="2" s="1"/>
  <c r="DA41" i="2" a="1"/>
  <c r="DA41" i="2" s="1"/>
  <c r="CU41" i="2" a="1"/>
  <c r="CU41" i="2" s="1"/>
  <c r="DV41" i="2" a="1"/>
  <c r="DV41" i="2" s="1"/>
  <c r="DM41" i="2" a="1"/>
  <c r="DM41" i="2" s="1"/>
  <c r="DG41" i="2" a="1"/>
  <c r="DG41" i="2" s="1"/>
  <c r="CO41" i="2" a="1"/>
  <c r="CO41" i="2" s="1"/>
  <c r="EE41" i="2" a="1"/>
  <c r="EE41" i="2" s="1"/>
  <c r="FL41" i="2" a="1"/>
  <c r="FL41" i="2" s="1"/>
  <c r="BZ41" i="2" a="1"/>
  <c r="BZ41" i="2" s="1"/>
  <c r="CC41" i="2" a="1"/>
  <c r="CC41" i="2" s="1"/>
  <c r="BT41" i="2" a="1"/>
  <c r="BT41" i="2" s="1"/>
  <c r="AY41" i="2" a="1"/>
  <c r="AY41" i="2" s="1"/>
  <c r="BQ41" i="2" a="1"/>
  <c r="BQ41" i="2" s="1"/>
  <c r="CX41" i="2" a="1"/>
  <c r="CX41" i="2" s="1"/>
  <c r="CR41" i="2" a="1"/>
  <c r="CR41" i="2" s="1"/>
  <c r="CI41" i="2" a="1"/>
  <c r="CI41" i="2" s="1"/>
  <c r="CF41" i="2" a="1"/>
  <c r="CF41" i="2" s="1"/>
  <c r="BH41" i="2" a="1"/>
  <c r="BH41" i="2" s="1"/>
  <c r="BW41" i="2" a="1"/>
  <c r="BW41" i="2" s="1"/>
  <c r="AG41" i="2" a="1"/>
  <c r="AG41" i="2" s="1"/>
  <c r="BE41" i="2" a="1"/>
  <c r="BE41" i="2" s="1"/>
  <c r="AJ41" i="2" a="1"/>
  <c r="AJ41" i="2" s="1"/>
  <c r="BB41" i="2" a="1"/>
  <c r="BB41" i="2" s="1"/>
  <c r="R41" i="2" a="1"/>
  <c r="R41" i="2" s="1"/>
  <c r="I41" i="2" a="1"/>
  <c r="I41" i="2" s="1"/>
  <c r="X41" i="2" a="1"/>
  <c r="X41" i="2" s="1"/>
  <c r="CL41" i="2" a="1"/>
  <c r="CL41" i="2" s="1"/>
  <c r="BN41" i="2" a="1"/>
  <c r="BN41" i="2" s="1"/>
  <c r="AS41" i="2" a="1"/>
  <c r="AS41" i="2" s="1"/>
  <c r="AM41" i="2" a="1"/>
  <c r="AM41" i="2" s="1"/>
  <c r="JD61" i="2" a="1"/>
  <c r="JD61" i="2" s="1"/>
  <c r="IR61" i="2" a="1"/>
  <c r="IR61" i="2" s="1"/>
  <c r="JA61" i="2" a="1"/>
  <c r="JA61" i="2" s="1"/>
  <c r="IX61" i="2" a="1"/>
  <c r="IX61" i="2" s="1"/>
  <c r="IL61" i="2" a="1"/>
  <c r="IL61" i="2" s="1"/>
  <c r="IU61" i="2" a="1"/>
  <c r="IU61" i="2" s="1"/>
  <c r="IO61" i="2" a="1"/>
  <c r="IO61" i="2" s="1"/>
  <c r="HW61" i="2" a="1"/>
  <c r="HW61" i="2" s="1"/>
  <c r="HT61" i="2" a="1"/>
  <c r="HT61" i="2" s="1"/>
  <c r="O61" i="2" a="1"/>
  <c r="O61" i="2" s="1"/>
  <c r="HQ61" i="2" a="1"/>
  <c r="HQ61" i="2" s="1"/>
  <c r="HN61" i="2" a="1"/>
  <c r="HN61" i="2" s="1"/>
  <c r="GS61" i="2" a="1"/>
  <c r="GS61" i="2" s="1"/>
  <c r="HK61" i="2" a="1"/>
  <c r="HK61" i="2" s="1"/>
  <c r="HH61" i="2" a="1"/>
  <c r="HH61" i="2" s="1"/>
  <c r="HE61" i="2" a="1"/>
  <c r="HE61" i="2" s="1"/>
  <c r="HB61" i="2" a="1"/>
  <c r="HB61" i="2" s="1"/>
  <c r="GY61" i="2" a="1"/>
  <c r="GY61" i="2" s="1"/>
  <c r="GV61" i="2" a="1"/>
  <c r="GV61" i="2" s="1"/>
  <c r="II61" i="2" a="1"/>
  <c r="II61" i="2" s="1"/>
  <c r="IF61" i="2" a="1"/>
  <c r="IF61" i="2" s="1"/>
  <c r="GJ61" i="2" a="1"/>
  <c r="GJ61" i="2" s="1"/>
  <c r="IC61" i="2" a="1"/>
  <c r="IC61" i="2" s="1"/>
  <c r="GD61" i="2" a="1"/>
  <c r="GD61" i="2" s="1"/>
  <c r="FR61" i="2" a="1"/>
  <c r="FR61" i="2" s="1"/>
  <c r="GP61" i="2" a="1"/>
  <c r="GP61" i="2" s="1"/>
  <c r="GM61" i="2" a="1"/>
  <c r="GM61" i="2" s="1"/>
  <c r="GA61" i="2" a="1"/>
  <c r="GA61" i="2" s="1"/>
  <c r="FX61" i="2" a="1"/>
  <c r="FX61" i="2" s="1"/>
  <c r="HZ61" i="2" a="1"/>
  <c r="HZ61" i="2" s="1"/>
  <c r="FL61" i="2" a="1"/>
  <c r="FL61" i="2" s="1"/>
  <c r="FO61" i="2" a="1"/>
  <c r="FO61" i="2" s="1"/>
  <c r="GG61" i="2" a="1"/>
  <c r="GG61" i="2" s="1"/>
  <c r="FU61" i="2" a="1"/>
  <c r="FU61" i="2" s="1"/>
  <c r="FC61" i="2" a="1"/>
  <c r="FC61" i="2" s="1"/>
  <c r="EZ61" i="2" a="1"/>
  <c r="EZ61" i="2" s="1"/>
  <c r="EW61" i="2" a="1"/>
  <c r="EW61" i="2" s="1"/>
  <c r="EH61" i="2" a="1"/>
  <c r="EH61" i="2" s="1"/>
  <c r="ET61" i="2" a="1"/>
  <c r="ET61" i="2" s="1"/>
  <c r="DV61" i="2" a="1"/>
  <c r="DV61" i="2" s="1"/>
  <c r="EE61" i="2" a="1"/>
  <c r="EE61" i="2" s="1"/>
  <c r="EQ61" i="2" a="1"/>
  <c r="EQ61" i="2" s="1"/>
  <c r="DP61" i="2" a="1"/>
  <c r="DP61" i="2" s="1"/>
  <c r="DY61" i="2" a="1"/>
  <c r="DY61" i="2" s="1"/>
  <c r="DD61" i="2" a="1"/>
  <c r="DD61" i="2" s="1"/>
  <c r="DA61" i="2" a="1"/>
  <c r="DA61" i="2" s="1"/>
  <c r="FI61" i="2" a="1"/>
  <c r="FI61" i="2" s="1"/>
  <c r="CU61" i="2" a="1"/>
  <c r="CU61" i="2" s="1"/>
  <c r="DJ61" i="2" a="1"/>
  <c r="DJ61" i="2" s="1"/>
  <c r="EB61" i="2" a="1"/>
  <c r="EB61" i="2" s="1"/>
  <c r="DM61" i="2" a="1"/>
  <c r="DM61" i="2" s="1"/>
  <c r="CF61" i="2" a="1"/>
  <c r="CF61" i="2" s="1"/>
  <c r="DG61" i="2" a="1"/>
  <c r="DG61" i="2" s="1"/>
  <c r="CX61" i="2" a="1"/>
  <c r="CX61" i="2" s="1"/>
  <c r="FF61" i="2" a="1"/>
  <c r="FF61" i="2" s="1"/>
  <c r="DS61" i="2" a="1"/>
  <c r="DS61" i="2" s="1"/>
  <c r="CL61" i="2" a="1"/>
  <c r="CL61" i="2" s="1"/>
  <c r="BK61" i="2" a="1"/>
  <c r="BK61" i="2" s="1"/>
  <c r="BH61" i="2" a="1"/>
  <c r="BH61" i="2" s="1"/>
  <c r="AD61" i="2" a="1"/>
  <c r="AD61" i="2" s="1"/>
  <c r="AA61" i="2" a="1"/>
  <c r="AA61" i="2" s="1"/>
  <c r="X61" i="2" a="1"/>
  <c r="X61" i="2" s="1"/>
  <c r="EN61" i="2" a="1"/>
  <c r="EN61" i="2" s="1"/>
  <c r="CO61" i="2" a="1"/>
  <c r="CO61" i="2" s="1"/>
  <c r="AY61" i="2" a="1"/>
  <c r="AY61" i="2" s="1"/>
  <c r="AV61" i="2" a="1"/>
  <c r="AV61" i="2" s="1"/>
  <c r="CI61" i="2" a="1"/>
  <c r="CI61" i="2" s="1"/>
  <c r="CC61" i="2" a="1"/>
  <c r="CC61" i="2" s="1"/>
  <c r="BW61" i="2" a="1"/>
  <c r="BW61" i="2" s="1"/>
  <c r="AJ61" i="2" a="1"/>
  <c r="AJ61" i="2" s="1"/>
  <c r="AM61" i="2" a="1"/>
  <c r="AM61" i="2" s="1"/>
  <c r="L61" i="2" a="1"/>
  <c r="L61" i="2" s="1"/>
  <c r="I61" i="2" a="1"/>
  <c r="I61" i="2" s="1"/>
  <c r="BN61" i="2" a="1"/>
  <c r="BN61" i="2" s="1"/>
  <c r="CR61" i="2" a="1"/>
  <c r="CR61" i="2" s="1"/>
  <c r="BZ61" i="2" a="1"/>
  <c r="BZ61" i="2" s="1"/>
  <c r="EK61" i="2" a="1"/>
  <c r="EK61" i="2" s="1"/>
  <c r="BB61" i="2" a="1"/>
  <c r="BB61" i="2" s="1"/>
  <c r="BT61" i="2" a="1"/>
  <c r="BT61" i="2" s="1"/>
  <c r="BQ61" i="2" a="1"/>
  <c r="BQ61" i="2" s="1"/>
  <c r="BE61" i="2" a="1"/>
  <c r="BE61" i="2" s="1"/>
  <c r="AP61" i="2" a="1"/>
  <c r="AP61" i="2" s="1"/>
  <c r="AG61" i="2" a="1"/>
  <c r="AG61" i="2" s="1"/>
  <c r="IR37" i="2" a="1"/>
  <c r="IR37" i="2" s="1"/>
  <c r="JA37" i="2" a="1"/>
  <c r="JA37" i="2" s="1"/>
  <c r="IX37" i="2" a="1"/>
  <c r="IX37" i="2" s="1"/>
  <c r="IO37" i="2" a="1"/>
  <c r="IO37" i="2" s="1"/>
  <c r="O37" i="2" a="1"/>
  <c r="O37" i="2" s="1"/>
  <c r="IU37" i="2" a="1"/>
  <c r="IU37" i="2" s="1"/>
  <c r="HW37" i="2" a="1"/>
  <c r="HW37" i="2" s="1"/>
  <c r="HT37" i="2" a="1"/>
  <c r="HT37" i="2" s="1"/>
  <c r="IF37" i="2" a="1"/>
  <c r="IF37" i="2" s="1"/>
  <c r="HN37" i="2" a="1"/>
  <c r="HN37" i="2" s="1"/>
  <c r="HK37" i="2" a="1"/>
  <c r="HK37" i="2" s="1"/>
  <c r="HH37" i="2" a="1"/>
  <c r="HH37" i="2" s="1"/>
  <c r="HE37" i="2" a="1"/>
  <c r="HE37" i="2" s="1"/>
  <c r="HB37" i="2" a="1"/>
  <c r="HB37" i="2" s="1"/>
  <c r="GY37" i="2" a="1"/>
  <c r="GY37" i="2" s="1"/>
  <c r="GS37" i="2" a="1"/>
  <c r="GS37" i="2" s="1"/>
  <c r="GP37" i="2" a="1"/>
  <c r="GP37" i="2" s="1"/>
  <c r="HQ37" i="2" a="1"/>
  <c r="HQ37" i="2" s="1"/>
  <c r="IL37" i="2" a="1"/>
  <c r="IL37" i="2" s="1"/>
  <c r="IC37" i="2" a="1"/>
  <c r="IC37" i="2" s="1"/>
  <c r="GJ37" i="2" a="1"/>
  <c r="GJ37" i="2" s="1"/>
  <c r="FU37" i="2" a="1"/>
  <c r="FU37" i="2" s="1"/>
  <c r="HZ37" i="2" a="1"/>
  <c r="HZ37" i="2" s="1"/>
  <c r="GG37" i="2" a="1"/>
  <c r="GG37" i="2" s="1"/>
  <c r="FL37" i="2" a="1"/>
  <c r="FL37" i="2" s="1"/>
  <c r="II37" i="2" a="1"/>
  <c r="II37" i="2" s="1"/>
  <c r="FX37" i="2" a="1"/>
  <c r="FX37" i="2" s="1"/>
  <c r="FR37" i="2" a="1"/>
  <c r="FR37" i="2" s="1"/>
  <c r="FF37" i="2" a="1"/>
  <c r="FF37" i="2" s="1"/>
  <c r="GV37" i="2" a="1"/>
  <c r="GV37" i="2" s="1"/>
  <c r="JD37" i="2" a="1"/>
  <c r="JD37" i="2" s="1"/>
  <c r="GA37" i="2" a="1"/>
  <c r="GA37" i="2" s="1"/>
  <c r="EN37" i="2" a="1"/>
  <c r="EN37" i="2" s="1"/>
  <c r="GM37" i="2" a="1"/>
  <c r="GM37" i="2" s="1"/>
  <c r="FC37" i="2" a="1"/>
  <c r="FC37" i="2" s="1"/>
  <c r="GD37" i="2" a="1"/>
  <c r="GD37" i="2" s="1"/>
  <c r="EQ37" i="2" a="1"/>
  <c r="EQ37" i="2" s="1"/>
  <c r="FI37" i="2" a="1"/>
  <c r="FI37" i="2" s="1"/>
  <c r="EW37" i="2" a="1"/>
  <c r="EW37" i="2" s="1"/>
  <c r="EH37" i="2" a="1"/>
  <c r="EH37" i="2" s="1"/>
  <c r="ET37" i="2" a="1"/>
  <c r="ET37" i="2" s="1"/>
  <c r="DV37" i="2" a="1"/>
  <c r="DV37" i="2" s="1"/>
  <c r="EE37" i="2" a="1"/>
  <c r="EE37" i="2" s="1"/>
  <c r="DS37" i="2" a="1"/>
  <c r="DS37" i="2" s="1"/>
  <c r="DY37" i="2" a="1"/>
  <c r="DY37" i="2" s="1"/>
  <c r="DP37" i="2" a="1"/>
  <c r="DP37" i="2" s="1"/>
  <c r="DD37" i="2" a="1"/>
  <c r="DD37" i="2" s="1"/>
  <c r="EZ37" i="2" a="1"/>
  <c r="EZ37" i="2" s="1"/>
  <c r="DJ37" i="2" a="1"/>
  <c r="DJ37" i="2" s="1"/>
  <c r="CU37" i="2" a="1"/>
  <c r="CU37" i="2" s="1"/>
  <c r="EK37" i="2" a="1"/>
  <c r="EK37" i="2" s="1"/>
  <c r="FO37" i="2" a="1"/>
  <c r="FO37" i="2" s="1"/>
  <c r="DG37" i="2" a="1"/>
  <c r="DG37" i="2" s="1"/>
  <c r="CR37" i="2" a="1"/>
  <c r="CR37" i="2" s="1"/>
  <c r="DA37" i="2" a="1"/>
  <c r="DA37" i="2" s="1"/>
  <c r="CL37" i="2" a="1"/>
  <c r="CL37" i="2" s="1"/>
  <c r="BZ37" i="2" a="1"/>
  <c r="BZ37" i="2" s="1"/>
  <c r="AM37" i="2" a="1"/>
  <c r="AM37" i="2" s="1"/>
  <c r="AG37" i="2" a="1"/>
  <c r="AG37" i="2" s="1"/>
  <c r="AY37" i="2" a="1"/>
  <c r="AY37" i="2" s="1"/>
  <c r="EB37" i="2" a="1"/>
  <c r="EB37" i="2" s="1"/>
  <c r="DM37" i="2" a="1"/>
  <c r="DM37" i="2" s="1"/>
  <c r="CX37" i="2" a="1"/>
  <c r="CX37" i="2" s="1"/>
  <c r="BT37" i="2" a="1"/>
  <c r="BT37" i="2" s="1"/>
  <c r="BB37" i="2" a="1"/>
  <c r="BB37" i="2" s="1"/>
  <c r="AP37" i="2" a="1"/>
  <c r="AP37" i="2" s="1"/>
  <c r="AJ37" i="2" a="1"/>
  <c r="AJ37" i="2" s="1"/>
  <c r="AD37" i="2" a="1"/>
  <c r="AD37" i="2" s="1"/>
  <c r="CO37" i="2" a="1"/>
  <c r="CO37" i="2" s="1"/>
  <c r="AS37" i="2" a="1"/>
  <c r="AS37" i="2" s="1"/>
  <c r="L37" i="2" a="1"/>
  <c r="L37" i="2" s="1"/>
  <c r="BQ37" i="2" a="1"/>
  <c r="BQ37" i="2" s="1"/>
  <c r="BN37" i="2" a="1"/>
  <c r="BN37" i="2" s="1"/>
  <c r="AA37" i="2" a="1"/>
  <c r="AA37" i="2" s="1"/>
  <c r="CI37" i="2" a="1"/>
  <c r="CI37" i="2" s="1"/>
  <c r="BK37" i="2" a="1"/>
  <c r="BK37" i="2" s="1"/>
  <c r="BH37" i="2" a="1"/>
  <c r="BH37" i="2" s="1"/>
  <c r="AV37" i="2" a="1"/>
  <c r="AV37" i="2" s="1"/>
  <c r="R37" i="2" a="1"/>
  <c r="R37" i="2" s="1"/>
  <c r="I37" i="2" a="1"/>
  <c r="I37" i="2" s="1"/>
  <c r="BE37" i="2" a="1"/>
  <c r="BE37" i="2" s="1"/>
  <c r="JD21" i="2" a="1"/>
  <c r="JD21" i="2" s="1"/>
  <c r="JA21" i="2" a="1"/>
  <c r="JA21" i="2" s="1"/>
  <c r="IR21" i="2" a="1"/>
  <c r="IR21" i="2" s="1"/>
  <c r="IO21" i="2" a="1"/>
  <c r="IO21" i="2" s="1"/>
  <c r="IU21" i="2" a="1"/>
  <c r="IU21" i="2" s="1"/>
  <c r="IL21" i="2" a="1"/>
  <c r="IL21" i="2" s="1"/>
  <c r="IC21" i="2" a="1"/>
  <c r="IC21" i="2" s="1"/>
  <c r="HZ21" i="2" a="1"/>
  <c r="HZ21" i="2" s="1"/>
  <c r="HW21" i="2" a="1"/>
  <c r="HW21" i="2" s="1"/>
  <c r="HT21" i="2" a="1"/>
  <c r="HT21" i="2" s="1"/>
  <c r="IX21" i="2" a="1"/>
  <c r="IX21" i="2" s="1"/>
  <c r="IF21" i="2" a="1"/>
  <c r="IF21" i="2" s="1"/>
  <c r="HQ21" i="2" a="1"/>
  <c r="HQ21" i="2" s="1"/>
  <c r="HK21" i="2" a="1"/>
  <c r="HK21" i="2" s="1"/>
  <c r="HH21" i="2" a="1"/>
  <c r="HH21" i="2" s="1"/>
  <c r="HE21" i="2" a="1"/>
  <c r="HE21" i="2" s="1"/>
  <c r="HB21" i="2" a="1"/>
  <c r="HB21" i="2" s="1"/>
  <c r="GY21" i="2" a="1"/>
  <c r="GY21" i="2" s="1"/>
  <c r="II21" i="2" a="1"/>
  <c r="II21" i="2" s="1"/>
  <c r="GP21" i="2" a="1"/>
  <c r="GP21" i="2" s="1"/>
  <c r="FX21" i="2" a="1"/>
  <c r="FX21" i="2" s="1"/>
  <c r="O21" i="2" a="1"/>
  <c r="O21" i="2" s="1"/>
  <c r="GV21" i="2" a="1"/>
  <c r="GV21" i="2" s="1"/>
  <c r="FO21" i="2" a="1"/>
  <c r="FO21" i="2" s="1"/>
  <c r="GS21" i="2" a="1"/>
  <c r="GS21" i="2" s="1"/>
  <c r="GJ21" i="2" a="1"/>
  <c r="GJ21" i="2" s="1"/>
  <c r="FU21" i="2" a="1"/>
  <c r="FU21" i="2" s="1"/>
  <c r="GD21" i="2" a="1"/>
  <c r="GD21" i="2" s="1"/>
  <c r="GM21" i="2" a="1"/>
  <c r="GM21" i="2" s="1"/>
  <c r="FI21" i="2" a="1"/>
  <c r="FI21" i="2" s="1"/>
  <c r="EK21" i="2" a="1"/>
  <c r="EK21" i="2" s="1"/>
  <c r="GA21" i="2" a="1"/>
  <c r="GA21" i="2" s="1"/>
  <c r="EW21" i="2" a="1"/>
  <c r="EW21" i="2" s="1"/>
  <c r="EQ21" i="2" a="1"/>
  <c r="EQ21" i="2" s="1"/>
  <c r="EN21" i="2" a="1"/>
  <c r="EN21" i="2" s="1"/>
  <c r="EH21" i="2" a="1"/>
  <c r="EH21" i="2" s="1"/>
  <c r="GG21" i="2" a="1"/>
  <c r="GG21" i="2" s="1"/>
  <c r="FL21" i="2" a="1"/>
  <c r="FL21" i="2" s="1"/>
  <c r="EZ21" i="2" a="1"/>
  <c r="EZ21" i="2" s="1"/>
  <c r="ET21" i="2" a="1"/>
  <c r="ET21" i="2" s="1"/>
  <c r="DV21" i="2" a="1"/>
  <c r="DV21" i="2" s="1"/>
  <c r="FR21" i="2" a="1"/>
  <c r="FR21" i="2" s="1"/>
  <c r="EE21" i="2" a="1"/>
  <c r="EE21" i="2" s="1"/>
  <c r="DP21" i="2" a="1"/>
  <c r="DP21" i="2" s="1"/>
  <c r="DG21" i="2" a="1"/>
  <c r="DG21" i="2" s="1"/>
  <c r="DA21" i="2" a="1"/>
  <c r="DA21" i="2" s="1"/>
  <c r="FF21" i="2" a="1"/>
  <c r="FF21" i="2" s="1"/>
  <c r="HN21" i="2" a="1"/>
  <c r="HN21" i="2" s="1"/>
  <c r="FC21" i="2" a="1"/>
  <c r="FC21" i="2" s="1"/>
  <c r="DY21" i="2" a="1"/>
  <c r="DY21" i="2" s="1"/>
  <c r="DS21" i="2" a="1"/>
  <c r="DS21" i="2" s="1"/>
  <c r="DJ21" i="2" a="1"/>
  <c r="DJ21" i="2" s="1"/>
  <c r="EB21" i="2" a="1"/>
  <c r="EB21" i="2" s="1"/>
  <c r="DM21" i="2" a="1"/>
  <c r="DM21" i="2" s="1"/>
  <c r="CX21" i="2" a="1"/>
  <c r="CX21" i="2" s="1"/>
  <c r="CU21" i="2" a="1"/>
  <c r="CU21" i="2" s="1"/>
  <c r="CR21" i="2" a="1"/>
  <c r="CR21" i="2" s="1"/>
  <c r="CO21" i="2" a="1"/>
  <c r="CO21" i="2" s="1"/>
  <c r="CL21" i="2" a="1"/>
  <c r="CL21" i="2" s="1"/>
  <c r="CI21" i="2" a="1"/>
  <c r="CI21" i="2" s="1"/>
  <c r="CF21" i="2" a="1"/>
  <c r="CF21" i="2" s="1"/>
  <c r="CC21" i="2" a="1"/>
  <c r="CC21" i="2" s="1"/>
  <c r="BW21" i="2" a="1"/>
  <c r="BW21" i="2" s="1"/>
  <c r="BT21" i="2" a="1"/>
  <c r="BT21" i="2" s="1"/>
  <c r="BN21" i="2" a="1"/>
  <c r="BN21" i="2" s="1"/>
  <c r="BB21" i="2" a="1"/>
  <c r="BB21" i="2" s="1"/>
  <c r="AP21" i="2" a="1"/>
  <c r="AP21" i="2" s="1"/>
  <c r="AJ21" i="2" a="1"/>
  <c r="AJ21" i="2" s="1"/>
  <c r="AY21" i="2" a="1"/>
  <c r="AY21" i="2" s="1"/>
  <c r="AM21" i="2" a="1"/>
  <c r="AM21" i="2" s="1"/>
  <c r="AG21" i="2" a="1"/>
  <c r="AG21" i="2" s="1"/>
  <c r="AD21" i="2" a="1"/>
  <c r="AD21" i="2" s="1"/>
  <c r="DD21" i="2" a="1"/>
  <c r="DD21" i="2" s="1"/>
  <c r="AA21" i="2" a="1"/>
  <c r="AA21" i="2" s="1"/>
  <c r="AV21" i="2" a="1"/>
  <c r="AV21" i="2" s="1"/>
  <c r="X21" i="2" a="1"/>
  <c r="X21" i="2" s="1"/>
  <c r="BZ21" i="2" a="1"/>
  <c r="BZ21" i="2" s="1"/>
  <c r="AS21" i="2" a="1"/>
  <c r="AS21" i="2" s="1"/>
  <c r="R21" i="2" a="1"/>
  <c r="R21" i="2" s="1"/>
  <c r="L21" i="2" a="1"/>
  <c r="L21" i="2" s="1"/>
  <c r="I21" i="2" a="1"/>
  <c r="I21" i="2" s="1"/>
  <c r="BK21" i="2" a="1"/>
  <c r="BK21" i="2" s="1"/>
  <c r="BE21" i="2" a="1"/>
  <c r="BE21" i="2" s="1"/>
  <c r="I73" i="2" a="1"/>
  <c r="I73" i="2" s="1"/>
  <c r="R18" i="2" a="1"/>
  <c r="R18" i="2" s="1"/>
  <c r="U45" i="2" a="1"/>
  <c r="U45" i="2" s="1"/>
  <c r="U13" i="2" a="1"/>
  <c r="U13" i="2" s="1"/>
  <c r="X53" i="2" a="1"/>
  <c r="X53" i="2" s="1"/>
  <c r="AD65" i="2" a="1"/>
  <c r="AD65" i="2" s="1"/>
  <c r="AJ9" i="2" a="1"/>
  <c r="AJ9" i="2" s="1"/>
  <c r="AM57" i="2" a="1"/>
  <c r="AM57" i="2" s="1"/>
  <c r="AM29" i="2" a="1"/>
  <c r="AM29" i="2" s="1"/>
  <c r="AP25" i="2" a="1"/>
  <c r="AP25" i="2" s="1"/>
  <c r="AS49" i="2" a="1"/>
  <c r="AS49" i="2" s="1"/>
  <c r="AS29" i="2" a="1"/>
  <c r="AS29" i="2" s="1"/>
  <c r="AV41" i="2" a="1"/>
  <c r="AV41" i="2" s="1"/>
  <c r="AY66" i="2" a="1"/>
  <c r="AY66" i="2" s="1"/>
  <c r="AY34" i="2" a="1"/>
  <c r="AY34" i="2" s="1"/>
  <c r="BB73" i="2" a="1"/>
  <c r="BB73" i="2" s="1"/>
  <c r="BB9" i="2" a="1"/>
  <c r="BB9" i="2" s="1"/>
  <c r="BH49" i="2" a="1"/>
  <c r="BH49" i="2" s="1"/>
  <c r="BN26" i="2" a="1"/>
  <c r="BN26" i="2" s="1"/>
  <c r="CR26" i="2" a="1"/>
  <c r="CR26" i="2" s="1"/>
  <c r="JA64" i="2" a="1"/>
  <c r="JA64" i="2" s="1"/>
  <c r="IX64" i="2" a="1"/>
  <c r="IX64" i="2" s="1"/>
  <c r="IO64" i="2" a="1"/>
  <c r="IO64" i="2" s="1"/>
  <c r="IL64" i="2" a="1"/>
  <c r="IL64" i="2" s="1"/>
  <c r="O64" i="2" a="1"/>
  <c r="O64" i="2" s="1"/>
  <c r="IU64" i="2" a="1"/>
  <c r="IU64" i="2" s="1"/>
  <c r="JD64" i="2" a="1"/>
  <c r="JD64" i="2" s="1"/>
  <c r="HZ64" i="2" a="1"/>
  <c r="HZ64" i="2" s="1"/>
  <c r="HQ64" i="2" a="1"/>
  <c r="HQ64" i="2" s="1"/>
  <c r="IR64" i="2" a="1"/>
  <c r="IR64" i="2" s="1"/>
  <c r="II64" i="2" a="1"/>
  <c r="II64" i="2" s="1"/>
  <c r="IC64" i="2" a="1"/>
  <c r="IC64" i="2" s="1"/>
  <c r="HK64" i="2" a="1"/>
  <c r="HK64" i="2" s="1"/>
  <c r="HH64" i="2" a="1"/>
  <c r="HH64" i="2" s="1"/>
  <c r="HE64" i="2" a="1"/>
  <c r="HE64" i="2" s="1"/>
  <c r="IF64" i="2" a="1"/>
  <c r="IF64" i="2" s="1"/>
  <c r="HT64" i="2" a="1"/>
  <c r="HT64" i="2" s="1"/>
  <c r="HW64" i="2" a="1"/>
  <c r="HW64" i="2" s="1"/>
  <c r="GM64" i="2" a="1"/>
  <c r="GM64" i="2" s="1"/>
  <c r="GP64" i="2" a="1"/>
  <c r="GP64" i="2" s="1"/>
  <c r="GY64" i="2" a="1"/>
  <c r="GY64" i="2" s="1"/>
  <c r="HN64" i="2" a="1"/>
  <c r="HN64" i="2" s="1"/>
  <c r="FU64" i="2" a="1"/>
  <c r="FU64" i="2" s="1"/>
  <c r="HB64" i="2" a="1"/>
  <c r="HB64" i="2" s="1"/>
  <c r="GG64" i="2" a="1"/>
  <c r="GG64" i="2" s="1"/>
  <c r="FI64" i="2" a="1"/>
  <c r="FI64" i="2" s="1"/>
  <c r="FC64" i="2" a="1"/>
  <c r="FC64" i="2" s="1"/>
  <c r="FO64" i="2" a="1"/>
  <c r="FO64" i="2" s="1"/>
  <c r="GV64" i="2" a="1"/>
  <c r="GV64" i="2" s="1"/>
  <c r="GD64" i="2" a="1"/>
  <c r="GD64" i="2" s="1"/>
  <c r="FF64" i="2" a="1"/>
  <c r="FF64" i="2" s="1"/>
  <c r="GJ64" i="2" a="1"/>
  <c r="GJ64" i="2" s="1"/>
  <c r="FL64" i="2" a="1"/>
  <c r="FL64" i="2" s="1"/>
  <c r="EW64" i="2" a="1"/>
  <c r="EW64" i="2" s="1"/>
  <c r="EH64" i="2" a="1"/>
  <c r="EH64" i="2" s="1"/>
  <c r="FR64" i="2" a="1"/>
  <c r="FR64" i="2" s="1"/>
  <c r="ET64" i="2" a="1"/>
  <c r="ET64" i="2" s="1"/>
  <c r="DV64" i="2" a="1"/>
  <c r="DV64" i="2" s="1"/>
  <c r="EK64" i="2" a="1"/>
  <c r="EK64" i="2" s="1"/>
  <c r="FX64" i="2" a="1"/>
  <c r="FX64" i="2" s="1"/>
  <c r="EN64" i="2" a="1"/>
  <c r="EN64" i="2" s="1"/>
  <c r="EQ64" i="2" a="1"/>
  <c r="EQ64" i="2" s="1"/>
  <c r="EE64" i="2" a="1"/>
  <c r="EE64" i="2" s="1"/>
  <c r="GS64" i="2" a="1"/>
  <c r="GS64" i="2" s="1"/>
  <c r="DY64" i="2" a="1"/>
  <c r="DY64" i="2" s="1"/>
  <c r="DD64" i="2" a="1"/>
  <c r="DD64" i="2" s="1"/>
  <c r="EZ64" i="2" a="1"/>
  <c r="EZ64" i="2" s="1"/>
  <c r="DP64" i="2" a="1"/>
  <c r="DP64" i="2" s="1"/>
  <c r="DG64" i="2" a="1"/>
  <c r="DG64" i="2" s="1"/>
  <c r="DS64" i="2" a="1"/>
  <c r="DS64" i="2" s="1"/>
  <c r="DA64" i="2" a="1"/>
  <c r="DA64" i="2" s="1"/>
  <c r="CO64" i="2" a="1"/>
  <c r="CO64" i="2" s="1"/>
  <c r="CI64" i="2" a="1"/>
  <c r="CI64" i="2" s="1"/>
  <c r="GA64" i="2" a="1"/>
  <c r="GA64" i="2" s="1"/>
  <c r="CX64" i="2" a="1"/>
  <c r="CX64" i="2" s="1"/>
  <c r="CR64" i="2" a="1"/>
  <c r="CR64" i="2" s="1"/>
  <c r="EB64" i="2" a="1"/>
  <c r="EB64" i="2" s="1"/>
  <c r="CU64" i="2" a="1"/>
  <c r="CU64" i="2" s="1"/>
  <c r="CL64" i="2" a="1"/>
  <c r="CL64" i="2" s="1"/>
  <c r="BZ64" i="2" a="1"/>
  <c r="BZ64" i="2" s="1"/>
  <c r="CF64" i="2" a="1"/>
  <c r="CF64" i="2" s="1"/>
  <c r="CC64" i="2" a="1"/>
  <c r="CC64" i="2" s="1"/>
  <c r="AV64" i="2" a="1"/>
  <c r="AV64" i="2" s="1"/>
  <c r="AM64" i="2" a="1"/>
  <c r="AM64" i="2" s="1"/>
  <c r="AG64" i="2" a="1"/>
  <c r="AG64" i="2" s="1"/>
  <c r="BW64" i="2" a="1"/>
  <c r="BW64" i="2" s="1"/>
  <c r="DM64" i="2" a="1"/>
  <c r="DM64" i="2" s="1"/>
  <c r="DJ64" i="2" a="1"/>
  <c r="DJ64" i="2" s="1"/>
  <c r="BB64" i="2" a="1"/>
  <c r="BB64" i="2" s="1"/>
  <c r="AP64" i="2" a="1"/>
  <c r="AP64" i="2" s="1"/>
  <c r="AJ64" i="2" a="1"/>
  <c r="AJ64" i="2" s="1"/>
  <c r="BQ64" i="2" a="1"/>
  <c r="BQ64" i="2" s="1"/>
  <c r="BN64" i="2" a="1"/>
  <c r="BN64" i="2" s="1"/>
  <c r="BK64" i="2" a="1"/>
  <c r="BK64" i="2" s="1"/>
  <c r="BH64" i="2" a="1"/>
  <c r="BH64" i="2" s="1"/>
  <c r="BE64" i="2" a="1"/>
  <c r="BE64" i="2" s="1"/>
  <c r="JD8" i="2" a="1"/>
  <c r="JD8" i="2" s="1"/>
  <c r="JA8" i="2" a="1"/>
  <c r="JA8" i="2" s="1"/>
  <c r="IX8" i="2" a="1"/>
  <c r="IX8" i="2" s="1"/>
  <c r="IU8" i="2" a="1"/>
  <c r="IU8" i="2" s="1"/>
  <c r="II8" i="2" a="1"/>
  <c r="II8" i="2" s="1"/>
  <c r="IO8" i="2" a="1"/>
  <c r="IO8" i="2" s="1"/>
  <c r="IR8" i="2" a="1"/>
  <c r="IR8" i="2" s="1"/>
  <c r="IF8" i="2" a="1"/>
  <c r="IF8" i="2" s="1"/>
  <c r="HK8" i="2" a="1"/>
  <c r="HK8" i="2" s="1"/>
  <c r="HH8" i="2" a="1"/>
  <c r="HH8" i="2" s="1"/>
  <c r="IC8" i="2" a="1"/>
  <c r="IC8" i="2" s="1"/>
  <c r="HZ8" i="2" a="1"/>
  <c r="HZ8" i="2" s="1"/>
  <c r="HQ8" i="2" a="1"/>
  <c r="HQ8" i="2" s="1"/>
  <c r="GP8" i="2" a="1"/>
  <c r="GP8" i="2" s="1"/>
  <c r="GS8" i="2" a="1"/>
  <c r="GS8" i="2" s="1"/>
  <c r="HT8" i="2" a="1"/>
  <c r="HT8" i="2" s="1"/>
  <c r="HE8" i="2" a="1"/>
  <c r="HE8" i="2" s="1"/>
  <c r="FO8" i="2" a="1"/>
  <c r="FO8" i="2" s="1"/>
  <c r="IL8" i="2" a="1"/>
  <c r="IL8" i="2" s="1"/>
  <c r="GV8" i="2" a="1"/>
  <c r="GV8" i="2" s="1"/>
  <c r="GJ8" i="2" a="1"/>
  <c r="GJ8" i="2" s="1"/>
  <c r="HW8" i="2" a="1"/>
  <c r="HW8" i="2" s="1"/>
  <c r="GY8" i="2" a="1"/>
  <c r="GY8" i="2" s="1"/>
  <c r="FU8" i="2" a="1"/>
  <c r="FU8" i="2" s="1"/>
  <c r="GM8" i="2" a="1"/>
  <c r="GM8" i="2" s="1"/>
  <c r="GG8" i="2" a="1"/>
  <c r="GG8" i="2" s="1"/>
  <c r="GA8" i="2" a="1"/>
  <c r="GA8" i="2" s="1"/>
  <c r="FL8" i="2" a="1"/>
  <c r="FL8" i="2" s="1"/>
  <c r="HN8" i="2" a="1"/>
  <c r="HN8" i="2" s="1"/>
  <c r="GD8" i="2" a="1"/>
  <c r="GD8" i="2" s="1"/>
  <c r="FF8" i="2" a="1"/>
  <c r="FF8" i="2" s="1"/>
  <c r="FC8" i="2" a="1"/>
  <c r="FC8" i="2" s="1"/>
  <c r="EW8" i="2" a="1"/>
  <c r="EW8" i="2" s="1"/>
  <c r="EN8" i="2" a="1"/>
  <c r="EN8" i="2" s="1"/>
  <c r="EH8" i="2" a="1"/>
  <c r="EH8" i="2" s="1"/>
  <c r="FR8" i="2" a="1"/>
  <c r="FR8" i="2" s="1"/>
  <c r="HB8" i="2" a="1"/>
  <c r="HB8" i="2" s="1"/>
  <c r="FX8" i="2" a="1"/>
  <c r="FX8" i="2" s="1"/>
  <c r="EQ8" i="2" a="1"/>
  <c r="EQ8" i="2" s="1"/>
  <c r="DV8" i="2" a="1"/>
  <c r="DV8" i="2" s="1"/>
  <c r="ET8" i="2" a="1"/>
  <c r="ET8" i="2" s="1"/>
  <c r="FI8" i="2" a="1"/>
  <c r="FI8" i="2" s="1"/>
  <c r="EB8" i="2" a="1"/>
  <c r="EB8" i="2" s="1"/>
  <c r="DJ8" i="2" a="1"/>
  <c r="DJ8" i="2" s="1"/>
  <c r="EZ8" i="2" a="1"/>
  <c r="EZ8" i="2" s="1"/>
  <c r="EK8" i="2" a="1"/>
  <c r="EK8" i="2" s="1"/>
  <c r="EE8" i="2" a="1"/>
  <c r="EE8" i="2" s="1"/>
  <c r="DG8" i="2" a="1"/>
  <c r="DG8" i="2" s="1"/>
  <c r="DA8" i="2" a="1"/>
  <c r="DA8" i="2" s="1"/>
  <c r="DP8" i="2" a="1"/>
  <c r="DP8" i="2" s="1"/>
  <c r="DM8" i="2" a="1"/>
  <c r="DM8" i="2" s="1"/>
  <c r="DS8" i="2" a="1"/>
  <c r="DS8" i="2" s="1"/>
  <c r="DD8" i="2" a="1"/>
  <c r="DD8" i="2" s="1"/>
  <c r="DY8" i="2" a="1"/>
  <c r="DY8" i="2" s="1"/>
  <c r="CI8" i="2" a="1"/>
  <c r="CI8" i="2" s="1"/>
  <c r="CF8" i="2" a="1"/>
  <c r="CF8" i="2" s="1"/>
  <c r="CX8" i="2" a="1"/>
  <c r="CX8" i="2" s="1"/>
  <c r="CC8" i="2" a="1"/>
  <c r="CC8" i="2" s="1"/>
  <c r="BQ8" i="2" a="1"/>
  <c r="BQ8" i="2" s="1"/>
  <c r="CO8" i="2" a="1"/>
  <c r="CO8" i="2" s="1"/>
  <c r="BW8" i="2" a="1"/>
  <c r="BW8" i="2" s="1"/>
  <c r="CL8" i="2" a="1"/>
  <c r="CL8" i="2" s="1"/>
  <c r="BZ8" i="2" a="1"/>
  <c r="BZ8" i="2" s="1"/>
  <c r="AD8" i="2" a="1"/>
  <c r="AD8" i="2" s="1"/>
  <c r="BH8" i="2" a="1"/>
  <c r="BH8" i="2" s="1"/>
  <c r="BT8" i="2" a="1"/>
  <c r="BT8" i="2" s="1"/>
  <c r="BE8" i="2" a="1"/>
  <c r="BE8" i="2" s="1"/>
  <c r="AA40" i="2" a="1"/>
  <c r="AA40" i="2" s="1"/>
  <c r="AA32" i="2" a="1"/>
  <c r="AA32" i="2" s="1"/>
  <c r="AG24" i="2" a="1"/>
  <c r="AG24" i="2" s="1"/>
  <c r="AJ51" i="2" a="1"/>
  <c r="AJ51" i="2" s="1"/>
  <c r="AJ43" i="2" a="1"/>
  <c r="AJ43" i="2" s="1"/>
  <c r="AJ36" i="2" a="1"/>
  <c r="AJ36" i="2" s="1"/>
  <c r="AJ22" i="2" a="1"/>
  <c r="AJ22" i="2" s="1"/>
  <c r="AM63" i="2" a="1"/>
  <c r="AM63" i="2" s="1"/>
  <c r="AM56" i="2" a="1"/>
  <c r="AM56" i="2" s="1"/>
  <c r="AM12" i="2" a="1"/>
  <c r="AM12" i="2" s="1"/>
  <c r="AM4" i="2" a="1"/>
  <c r="AM4" i="2" s="1"/>
  <c r="AP68" i="2" a="1"/>
  <c r="AP68" i="2" s="1"/>
  <c r="AP54" i="2" a="1"/>
  <c r="AP54" i="2" s="1"/>
  <c r="AP24" i="2" a="1"/>
  <c r="AP24" i="2" s="1"/>
  <c r="AS67" i="2" a="1"/>
  <c r="AS67" i="2" s="1"/>
  <c r="AS48" i="2" a="1"/>
  <c r="AS48" i="2" s="1"/>
  <c r="AS35" i="2" a="1"/>
  <c r="AS35" i="2" s="1"/>
  <c r="AS16" i="2" a="1"/>
  <c r="AS16" i="2" s="1"/>
  <c r="AV63" i="2" a="1"/>
  <c r="AV63" i="2" s="1"/>
  <c r="AV51" i="2" a="1"/>
  <c r="AV51" i="2" s="1"/>
  <c r="AV38" i="2" a="1"/>
  <c r="AV38" i="2" s="1"/>
  <c r="AV12" i="2" a="1"/>
  <c r="AV12" i="2" s="1"/>
  <c r="AY64" i="2" a="1"/>
  <c r="AY64" i="2" s="1"/>
  <c r="AY48" i="2" a="1"/>
  <c r="AY48" i="2" s="1"/>
  <c r="AY32" i="2" a="1"/>
  <c r="AY32" i="2" s="1"/>
  <c r="AY24" i="2" a="1"/>
  <c r="AY24" i="2" s="1"/>
  <c r="AY8" i="2" a="1"/>
  <c r="AY8" i="2" s="1"/>
  <c r="BB52" i="2" a="1"/>
  <c r="BB52" i="2" s="1"/>
  <c r="BB43" i="2" a="1"/>
  <c r="BB43" i="2" s="1"/>
  <c r="BH28" i="2" a="1"/>
  <c r="BH28" i="2" s="1"/>
  <c r="BH19" i="2" a="1"/>
  <c r="BH19" i="2" s="1"/>
  <c r="BK60" i="2" a="1"/>
  <c r="BK60" i="2" s="1"/>
  <c r="BK30" i="2" a="1"/>
  <c r="BK30" i="2" s="1"/>
  <c r="BK11" i="2" a="1"/>
  <c r="BK11" i="2" s="1"/>
  <c r="BN8" i="2" a="1"/>
  <c r="BN8" i="2" s="1"/>
  <c r="BQ70" i="2" a="1"/>
  <c r="BQ70" i="2" s="1"/>
  <c r="BZ51" i="2" a="1"/>
  <c r="BZ51" i="2" s="1"/>
  <c r="BZ7" i="2" a="1"/>
  <c r="BZ7" i="2" s="1"/>
  <c r="CC63" i="2" a="1"/>
  <c r="CC63" i="2" s="1"/>
  <c r="CC19" i="2" a="1"/>
  <c r="CC19" i="2" s="1"/>
  <c r="CI43" i="2" a="1"/>
  <c r="CI43" i="2" s="1"/>
  <c r="CL24" i="2" a="1"/>
  <c r="CL24" i="2" s="1"/>
  <c r="CO59" i="2" a="1"/>
  <c r="CO59" i="2" s="1"/>
  <c r="CR68" i="2" a="1"/>
  <c r="CR68" i="2" s="1"/>
  <c r="CU8" i="2" a="1"/>
  <c r="CU8" i="2" s="1"/>
  <c r="DG68" i="2" a="1"/>
  <c r="DG68" i="2" s="1"/>
  <c r="DM20" i="2" a="1"/>
  <c r="DM20" i="2" s="1"/>
  <c r="DS52" i="2" a="1"/>
  <c r="DS52" i="2" s="1"/>
  <c r="FF59" i="2" a="1"/>
  <c r="FF59" i="2" s="1"/>
  <c r="JA72" i="2" a="1"/>
  <c r="JA72" i="2" s="1"/>
  <c r="IX72" i="2" a="1"/>
  <c r="IX72" i="2" s="1"/>
  <c r="IO72" i="2" a="1"/>
  <c r="IO72" i="2" s="1"/>
  <c r="IL72" i="2" a="1"/>
  <c r="IL72" i="2" s="1"/>
  <c r="O72" i="2" a="1"/>
  <c r="O72" i="2" s="1"/>
  <c r="IU72" i="2" a="1"/>
  <c r="IU72" i="2" s="1"/>
  <c r="JD72" i="2" a="1"/>
  <c r="JD72" i="2" s="1"/>
  <c r="IR72" i="2" a="1"/>
  <c r="IR72" i="2" s="1"/>
  <c r="HZ72" i="2" a="1"/>
  <c r="HZ72" i="2" s="1"/>
  <c r="IC72" i="2" a="1"/>
  <c r="IC72" i="2" s="1"/>
  <c r="HK72" i="2" a="1"/>
  <c r="HK72" i="2" s="1"/>
  <c r="HH72" i="2" a="1"/>
  <c r="HH72" i="2" s="1"/>
  <c r="HE72" i="2" a="1"/>
  <c r="HE72" i="2" s="1"/>
  <c r="II72" i="2" a="1"/>
  <c r="II72" i="2" s="1"/>
  <c r="HQ72" i="2" a="1"/>
  <c r="HQ72" i="2" s="1"/>
  <c r="IF72" i="2" a="1"/>
  <c r="IF72" i="2" s="1"/>
  <c r="HT72" i="2" a="1"/>
  <c r="HT72" i="2" s="1"/>
  <c r="GP72" i="2" a="1"/>
  <c r="GP72" i="2" s="1"/>
  <c r="GM72" i="2" a="1"/>
  <c r="GM72" i="2" s="1"/>
  <c r="GS72" i="2" a="1"/>
  <c r="GS72" i="2" s="1"/>
  <c r="GV72" i="2" a="1"/>
  <c r="GV72" i="2" s="1"/>
  <c r="FU72" i="2" a="1"/>
  <c r="FU72" i="2" s="1"/>
  <c r="FL72" i="2" a="1"/>
  <c r="FL72" i="2" s="1"/>
  <c r="GY72" i="2" a="1"/>
  <c r="GY72" i="2" s="1"/>
  <c r="FI72" i="2" a="1"/>
  <c r="FI72" i="2" s="1"/>
  <c r="HB72" i="2" a="1"/>
  <c r="HB72" i="2" s="1"/>
  <c r="GA72" i="2" a="1"/>
  <c r="GA72" i="2" s="1"/>
  <c r="FF72" i="2" a="1"/>
  <c r="FF72" i="2" s="1"/>
  <c r="GJ72" i="2" a="1"/>
  <c r="GJ72" i="2" s="1"/>
  <c r="GG72" i="2" a="1"/>
  <c r="GG72" i="2" s="1"/>
  <c r="FO72" i="2" a="1"/>
  <c r="FO72" i="2" s="1"/>
  <c r="HW72" i="2" a="1"/>
  <c r="HW72" i="2" s="1"/>
  <c r="GD72" i="2" a="1"/>
  <c r="GD72" i="2" s="1"/>
  <c r="FR72" i="2" a="1"/>
  <c r="FR72" i="2" s="1"/>
  <c r="EW72" i="2" a="1"/>
  <c r="EW72" i="2" s="1"/>
  <c r="ET72" i="2" a="1"/>
  <c r="ET72" i="2" s="1"/>
  <c r="EH72" i="2" a="1"/>
  <c r="EH72" i="2" s="1"/>
  <c r="HN72" i="2" a="1"/>
  <c r="HN72" i="2" s="1"/>
  <c r="FX72" i="2" a="1"/>
  <c r="FX72" i="2" s="1"/>
  <c r="EK72" i="2" a="1"/>
  <c r="EK72" i="2" s="1"/>
  <c r="FC72" i="2" a="1"/>
  <c r="FC72" i="2" s="1"/>
  <c r="EN72" i="2" a="1"/>
  <c r="EN72" i="2" s="1"/>
  <c r="DS72" i="2" a="1"/>
  <c r="DS72" i="2" s="1"/>
  <c r="EZ72" i="2" a="1"/>
  <c r="EZ72" i="2" s="1"/>
  <c r="EQ72" i="2" a="1"/>
  <c r="EQ72" i="2" s="1"/>
  <c r="EB72" i="2" a="1"/>
  <c r="EB72" i="2" s="1"/>
  <c r="DJ72" i="2" a="1"/>
  <c r="DJ72" i="2" s="1"/>
  <c r="DV72" i="2" a="1"/>
  <c r="DV72" i="2" s="1"/>
  <c r="EE72" i="2" a="1"/>
  <c r="EE72" i="2" s="1"/>
  <c r="DG72" i="2" a="1"/>
  <c r="DG72" i="2" s="1"/>
  <c r="DA72" i="2" a="1"/>
  <c r="DA72" i="2" s="1"/>
  <c r="DM72" i="2" a="1"/>
  <c r="DM72" i="2" s="1"/>
  <c r="CF72" i="2" a="1"/>
  <c r="CF72" i="2" s="1"/>
  <c r="CI72" i="2" a="1"/>
  <c r="CI72" i="2" s="1"/>
  <c r="CR72" i="2" a="1"/>
  <c r="CR72" i="2" s="1"/>
  <c r="BW72" i="2" a="1"/>
  <c r="BW72" i="2" s="1"/>
  <c r="AD72" i="2" a="1"/>
  <c r="AD72" i="2" s="1"/>
  <c r="CU72" i="2" a="1"/>
  <c r="CU72" i="2" s="1"/>
  <c r="CC72" i="2" a="1"/>
  <c r="CC72" i="2" s="1"/>
  <c r="BK72" i="2" a="1"/>
  <c r="BK72" i="2" s="1"/>
  <c r="BH72" i="2" a="1"/>
  <c r="BH72" i="2" s="1"/>
  <c r="AA72" i="2" a="1"/>
  <c r="AA72" i="2" s="1"/>
  <c r="CL72" i="2" a="1"/>
  <c r="CL72" i="2" s="1"/>
  <c r="BN72" i="2" a="1"/>
  <c r="BN72" i="2" s="1"/>
  <c r="BE72" i="2" a="1"/>
  <c r="BE72" i="2" s="1"/>
  <c r="JA56" i="2" a="1"/>
  <c r="JA56" i="2" s="1"/>
  <c r="IX56" i="2" a="1"/>
  <c r="IX56" i="2" s="1"/>
  <c r="IL56" i="2" a="1"/>
  <c r="IL56" i="2" s="1"/>
  <c r="O56" i="2" a="1"/>
  <c r="O56" i="2" s="1"/>
  <c r="IO56" i="2" a="1"/>
  <c r="IO56" i="2" s="1"/>
  <c r="IU56" i="2" a="1"/>
  <c r="IU56" i="2" s="1"/>
  <c r="JD56" i="2" a="1"/>
  <c r="JD56" i="2" s="1"/>
  <c r="II56" i="2" a="1"/>
  <c r="II56" i="2" s="1"/>
  <c r="IC56" i="2" a="1"/>
  <c r="IC56" i="2" s="1"/>
  <c r="HZ56" i="2" a="1"/>
  <c r="HZ56" i="2" s="1"/>
  <c r="HQ56" i="2" a="1"/>
  <c r="HQ56" i="2" s="1"/>
  <c r="HK56" i="2" a="1"/>
  <c r="HK56" i="2" s="1"/>
  <c r="HH56" i="2" a="1"/>
  <c r="HH56" i="2" s="1"/>
  <c r="HE56" i="2" a="1"/>
  <c r="HE56" i="2" s="1"/>
  <c r="IR56" i="2" a="1"/>
  <c r="IR56" i="2" s="1"/>
  <c r="HW56" i="2" a="1"/>
  <c r="HW56" i="2" s="1"/>
  <c r="HN56" i="2" a="1"/>
  <c r="HN56" i="2" s="1"/>
  <c r="GM56" i="2" a="1"/>
  <c r="GM56" i="2" s="1"/>
  <c r="HT56" i="2" a="1"/>
  <c r="HT56" i="2" s="1"/>
  <c r="HB56" i="2" a="1"/>
  <c r="HB56" i="2" s="1"/>
  <c r="IF56" i="2" a="1"/>
  <c r="IF56" i="2" s="1"/>
  <c r="GV56" i="2" a="1"/>
  <c r="GV56" i="2" s="1"/>
  <c r="FO56" i="2" a="1"/>
  <c r="FO56" i="2" s="1"/>
  <c r="FU56" i="2" a="1"/>
  <c r="FU56" i="2" s="1"/>
  <c r="GP56" i="2" a="1"/>
  <c r="GP56" i="2" s="1"/>
  <c r="GJ56" i="2" a="1"/>
  <c r="GJ56" i="2" s="1"/>
  <c r="GD56" i="2" a="1"/>
  <c r="GD56" i="2" s="1"/>
  <c r="FR56" i="2" a="1"/>
  <c r="FR56" i="2" s="1"/>
  <c r="FL56" i="2" a="1"/>
  <c r="FL56" i="2" s="1"/>
  <c r="GY56" i="2" a="1"/>
  <c r="GY56" i="2" s="1"/>
  <c r="FX56" i="2" a="1"/>
  <c r="FX56" i="2" s="1"/>
  <c r="FI56" i="2" a="1"/>
  <c r="FI56" i="2" s="1"/>
  <c r="FC56" i="2" a="1"/>
  <c r="FC56" i="2" s="1"/>
  <c r="GA56" i="2" a="1"/>
  <c r="GA56" i="2" s="1"/>
  <c r="EZ56" i="2" a="1"/>
  <c r="EZ56" i="2" s="1"/>
  <c r="EW56" i="2" a="1"/>
  <c r="EW56" i="2" s="1"/>
  <c r="EH56" i="2" a="1"/>
  <c r="EH56" i="2" s="1"/>
  <c r="GS56" i="2" a="1"/>
  <c r="GS56" i="2" s="1"/>
  <c r="FF56" i="2" a="1"/>
  <c r="FF56" i="2" s="1"/>
  <c r="ET56" i="2" a="1"/>
  <c r="ET56" i="2" s="1"/>
  <c r="DV56" i="2" a="1"/>
  <c r="DV56" i="2" s="1"/>
  <c r="GG56" i="2" a="1"/>
  <c r="GG56" i="2" s="1"/>
  <c r="EK56" i="2" a="1"/>
  <c r="EK56" i="2" s="1"/>
  <c r="EN56" i="2" a="1"/>
  <c r="EN56" i="2" s="1"/>
  <c r="DJ56" i="2" a="1"/>
  <c r="DJ56" i="2" s="1"/>
  <c r="EB56" i="2" a="1"/>
  <c r="EB56" i="2" s="1"/>
  <c r="DS56" i="2" a="1"/>
  <c r="DS56" i="2" s="1"/>
  <c r="EQ56" i="2" a="1"/>
  <c r="EQ56" i="2" s="1"/>
  <c r="DD56" i="2" a="1"/>
  <c r="DD56" i="2" s="1"/>
  <c r="DG56" i="2" a="1"/>
  <c r="DG56" i="2" s="1"/>
  <c r="EE56" i="2" a="1"/>
  <c r="EE56" i="2" s="1"/>
  <c r="DY56" i="2" a="1"/>
  <c r="DY56" i="2" s="1"/>
  <c r="DP56" i="2" a="1"/>
  <c r="DP56" i="2" s="1"/>
  <c r="CI56" i="2" a="1"/>
  <c r="CI56" i="2" s="1"/>
  <c r="CF56" i="2" a="1"/>
  <c r="CF56" i="2" s="1"/>
  <c r="CR56" i="2" a="1"/>
  <c r="CR56" i="2" s="1"/>
  <c r="CX56" i="2" a="1"/>
  <c r="CX56" i="2" s="1"/>
  <c r="CC56" i="2" a="1"/>
  <c r="CC56" i="2" s="1"/>
  <c r="BH56" i="2" a="1"/>
  <c r="BH56" i="2" s="1"/>
  <c r="X56" i="2" a="1"/>
  <c r="X56" i="2" s="1"/>
  <c r="DA56" i="2" a="1"/>
  <c r="DA56" i="2" s="1"/>
  <c r="BK56" i="2" a="1"/>
  <c r="BK56" i="2" s="1"/>
  <c r="AD56" i="2" a="1"/>
  <c r="AD56" i="2" s="1"/>
  <c r="CU56" i="2" a="1"/>
  <c r="CU56" i="2" s="1"/>
  <c r="CO56" i="2" a="1"/>
  <c r="CO56" i="2" s="1"/>
  <c r="CL56" i="2" a="1"/>
  <c r="CL56" i="2" s="1"/>
  <c r="BZ56" i="2" a="1"/>
  <c r="BZ56" i="2" s="1"/>
  <c r="BN56" i="2" a="1"/>
  <c r="BN56" i="2" s="1"/>
  <c r="BE56" i="2" a="1"/>
  <c r="BE56" i="2" s="1"/>
  <c r="IX40" i="2" a="1"/>
  <c r="IX40" i="2" s="1"/>
  <c r="O40" i="2" a="1"/>
  <c r="O40" i="2" s="1"/>
  <c r="IL40" i="2" a="1"/>
  <c r="IL40" i="2" s="1"/>
  <c r="IU40" i="2" a="1"/>
  <c r="IU40" i="2" s="1"/>
  <c r="JD40" i="2" a="1"/>
  <c r="JD40" i="2" s="1"/>
  <c r="IO40" i="2" a="1"/>
  <c r="IO40" i="2" s="1"/>
  <c r="II40" i="2" a="1"/>
  <c r="II40" i="2" s="1"/>
  <c r="JA40" i="2" a="1"/>
  <c r="JA40" i="2" s="1"/>
  <c r="HT40" i="2" a="1"/>
  <c r="HT40" i="2" s="1"/>
  <c r="HK40" i="2" a="1"/>
  <c r="HK40" i="2" s="1"/>
  <c r="HH40" i="2" a="1"/>
  <c r="HH40" i="2" s="1"/>
  <c r="HQ40" i="2" a="1"/>
  <c r="HQ40" i="2" s="1"/>
  <c r="GV40" i="2" a="1"/>
  <c r="GV40" i="2" s="1"/>
  <c r="IR40" i="2" a="1"/>
  <c r="IR40" i="2" s="1"/>
  <c r="IF40" i="2" a="1"/>
  <c r="IF40" i="2" s="1"/>
  <c r="IC40" i="2" a="1"/>
  <c r="IC40" i="2" s="1"/>
  <c r="HW40" i="2" a="1"/>
  <c r="HW40" i="2" s="1"/>
  <c r="HZ40" i="2" a="1"/>
  <c r="HZ40" i="2" s="1"/>
  <c r="GY40" i="2" a="1"/>
  <c r="GY40" i="2" s="1"/>
  <c r="GP40" i="2" a="1"/>
  <c r="GP40" i="2" s="1"/>
  <c r="FR40" i="2" a="1"/>
  <c r="FR40" i="2" s="1"/>
  <c r="HB40" i="2" a="1"/>
  <c r="HB40" i="2" s="1"/>
  <c r="GM40" i="2" a="1"/>
  <c r="GM40" i="2" s="1"/>
  <c r="FX40" i="2" a="1"/>
  <c r="FX40" i="2" s="1"/>
  <c r="GA40" i="2" a="1"/>
  <c r="GA40" i="2" s="1"/>
  <c r="GJ40" i="2" a="1"/>
  <c r="GJ40" i="2" s="1"/>
  <c r="FO40" i="2" a="1"/>
  <c r="FO40" i="2" s="1"/>
  <c r="FI40" i="2" a="1"/>
  <c r="FI40" i="2" s="1"/>
  <c r="GG40" i="2" a="1"/>
  <c r="GG40" i="2" s="1"/>
  <c r="FU40" i="2" a="1"/>
  <c r="FU40" i="2" s="1"/>
  <c r="HN40" i="2" a="1"/>
  <c r="HN40" i="2" s="1"/>
  <c r="GS40" i="2" a="1"/>
  <c r="GS40" i="2" s="1"/>
  <c r="FC40" i="2" a="1"/>
  <c r="FC40" i="2" s="1"/>
  <c r="HE40" i="2" a="1"/>
  <c r="HE40" i="2" s="1"/>
  <c r="FL40" i="2" a="1"/>
  <c r="FL40" i="2" s="1"/>
  <c r="EW40" i="2" a="1"/>
  <c r="EW40" i="2" s="1"/>
  <c r="EH40" i="2" a="1"/>
  <c r="EH40" i="2" s="1"/>
  <c r="GD40" i="2" a="1"/>
  <c r="GD40" i="2" s="1"/>
  <c r="ET40" i="2" a="1"/>
  <c r="ET40" i="2" s="1"/>
  <c r="DV40" i="2" a="1"/>
  <c r="DV40" i="2" s="1"/>
  <c r="EZ40" i="2" a="1"/>
  <c r="EZ40" i="2" s="1"/>
  <c r="EK40" i="2" a="1"/>
  <c r="EK40" i="2" s="1"/>
  <c r="DS40" i="2" a="1"/>
  <c r="DS40" i="2" s="1"/>
  <c r="DY40" i="2" a="1"/>
  <c r="DY40" i="2" s="1"/>
  <c r="DJ40" i="2" a="1"/>
  <c r="DJ40" i="2" s="1"/>
  <c r="EQ40" i="2" a="1"/>
  <c r="EQ40" i="2" s="1"/>
  <c r="EB40" i="2" a="1"/>
  <c r="EB40" i="2" s="1"/>
  <c r="DG40" i="2" a="1"/>
  <c r="DG40" i="2" s="1"/>
  <c r="DA40" i="2" a="1"/>
  <c r="DA40" i="2" s="1"/>
  <c r="EN40" i="2" a="1"/>
  <c r="EN40" i="2" s="1"/>
  <c r="DM40" i="2" a="1"/>
  <c r="DM40" i="2" s="1"/>
  <c r="DP40" i="2" a="1"/>
  <c r="DP40" i="2" s="1"/>
  <c r="FF40" i="2" a="1"/>
  <c r="FF40" i="2" s="1"/>
  <c r="CI40" i="2" a="1"/>
  <c r="CI40" i="2" s="1"/>
  <c r="CF40" i="2" a="1"/>
  <c r="CF40" i="2" s="1"/>
  <c r="BQ40" i="2" a="1"/>
  <c r="BQ40" i="2" s="1"/>
  <c r="CX40" i="2" a="1"/>
  <c r="CX40" i="2" s="1"/>
  <c r="CO40" i="2" a="1"/>
  <c r="CO40" i="2" s="1"/>
  <c r="BW40" i="2" a="1"/>
  <c r="BW40" i="2" s="1"/>
  <c r="EE40" i="2" a="1"/>
  <c r="EE40" i="2" s="1"/>
  <c r="CU40" i="2" a="1"/>
  <c r="CU40" i="2" s="1"/>
  <c r="BT40" i="2" a="1"/>
  <c r="BT40" i="2" s="1"/>
  <c r="BK40" i="2" a="1"/>
  <c r="BK40" i="2" s="1"/>
  <c r="AD40" i="2" a="1"/>
  <c r="AD40" i="2" s="1"/>
  <c r="CR40" i="2" a="1"/>
  <c r="CR40" i="2" s="1"/>
  <c r="BZ40" i="2" a="1"/>
  <c r="BZ40" i="2" s="1"/>
  <c r="BH40" i="2" a="1"/>
  <c r="BH40" i="2" s="1"/>
  <c r="BN40" i="2" a="1"/>
  <c r="BN40" i="2" s="1"/>
  <c r="BE40" i="2" a="1"/>
  <c r="BE40" i="2" s="1"/>
  <c r="IX32" i="2" a="1"/>
  <c r="IX32" i="2" s="1"/>
  <c r="O32" i="2" a="1"/>
  <c r="O32" i="2" s="1"/>
  <c r="IL32" i="2" a="1"/>
  <c r="IL32" i="2" s="1"/>
  <c r="IU32" i="2" a="1"/>
  <c r="IU32" i="2" s="1"/>
  <c r="II32" i="2" a="1"/>
  <c r="II32" i="2" s="1"/>
  <c r="IR32" i="2" a="1"/>
  <c r="IR32" i="2" s="1"/>
  <c r="IO32" i="2" a="1"/>
  <c r="IO32" i="2" s="1"/>
  <c r="IF32" i="2" a="1"/>
  <c r="IF32" i="2" s="1"/>
  <c r="HW32" i="2" a="1"/>
  <c r="HW32" i="2" s="1"/>
  <c r="HN32" i="2" a="1"/>
  <c r="HN32" i="2" s="1"/>
  <c r="HK32" i="2" a="1"/>
  <c r="HK32" i="2" s="1"/>
  <c r="HH32" i="2" a="1"/>
  <c r="HH32" i="2" s="1"/>
  <c r="IC32" i="2" a="1"/>
  <c r="IC32" i="2" s="1"/>
  <c r="HZ32" i="2" a="1"/>
  <c r="HZ32" i="2" s="1"/>
  <c r="GV32" i="2" a="1"/>
  <c r="GV32" i="2" s="1"/>
  <c r="HQ32" i="2" a="1"/>
  <c r="HQ32" i="2" s="1"/>
  <c r="HB32" i="2" a="1"/>
  <c r="HB32" i="2" s="1"/>
  <c r="JA32" i="2" a="1"/>
  <c r="JA32" i="2" s="1"/>
  <c r="FL32" i="2" a="1"/>
  <c r="FL32" i="2" s="1"/>
  <c r="HE32" i="2" a="1"/>
  <c r="HE32" i="2" s="1"/>
  <c r="GM32" i="2" a="1"/>
  <c r="GM32" i="2" s="1"/>
  <c r="GD32" i="2" a="1"/>
  <c r="GD32" i="2" s="1"/>
  <c r="FR32" i="2" a="1"/>
  <c r="FR32" i="2" s="1"/>
  <c r="HT32" i="2" a="1"/>
  <c r="HT32" i="2" s="1"/>
  <c r="GG32" i="2" a="1"/>
  <c r="GG32" i="2" s="1"/>
  <c r="FO32" i="2" a="1"/>
  <c r="FO32" i="2" s="1"/>
  <c r="GY32" i="2" a="1"/>
  <c r="GY32" i="2" s="1"/>
  <c r="GP32" i="2" a="1"/>
  <c r="GP32" i="2" s="1"/>
  <c r="FU32" i="2" a="1"/>
  <c r="FU32" i="2" s="1"/>
  <c r="JD32" i="2" a="1"/>
  <c r="JD32" i="2" s="1"/>
  <c r="GJ32" i="2" a="1"/>
  <c r="GJ32" i="2" s="1"/>
  <c r="FX32" i="2" a="1"/>
  <c r="FX32" i="2" s="1"/>
  <c r="GA32" i="2" a="1"/>
  <c r="GA32" i="2" s="1"/>
  <c r="EW32" i="2" a="1"/>
  <c r="EW32" i="2" s="1"/>
  <c r="EH32" i="2" a="1"/>
  <c r="EH32" i="2" s="1"/>
  <c r="ET32" i="2" a="1"/>
  <c r="ET32" i="2" s="1"/>
  <c r="DV32" i="2" a="1"/>
  <c r="DV32" i="2" s="1"/>
  <c r="GS32" i="2" a="1"/>
  <c r="GS32" i="2" s="1"/>
  <c r="FF32" i="2" a="1"/>
  <c r="FF32" i="2" s="1"/>
  <c r="FC32" i="2" a="1"/>
  <c r="FC32" i="2" s="1"/>
  <c r="EK32" i="2" a="1"/>
  <c r="EK32" i="2" s="1"/>
  <c r="FI32" i="2" a="1"/>
  <c r="FI32" i="2" s="1"/>
  <c r="EB32" i="2" a="1"/>
  <c r="EB32" i="2" s="1"/>
  <c r="DD32" i="2" a="1"/>
  <c r="DD32" i="2" s="1"/>
  <c r="EN32" i="2" a="1"/>
  <c r="EN32" i="2" s="1"/>
  <c r="DS32" i="2" a="1"/>
  <c r="DS32" i="2" s="1"/>
  <c r="EE32" i="2" a="1"/>
  <c r="EE32" i="2" s="1"/>
  <c r="DA32" i="2" a="1"/>
  <c r="DA32" i="2" s="1"/>
  <c r="EZ32" i="2" a="1"/>
  <c r="EZ32" i="2" s="1"/>
  <c r="EQ32" i="2" a="1"/>
  <c r="EQ32" i="2" s="1"/>
  <c r="DM32" i="2" a="1"/>
  <c r="DM32" i="2" s="1"/>
  <c r="CO32" i="2" a="1"/>
  <c r="CO32" i="2" s="1"/>
  <c r="DJ32" i="2" a="1"/>
  <c r="DJ32" i="2" s="1"/>
  <c r="CR32" i="2" a="1"/>
  <c r="CR32" i="2" s="1"/>
  <c r="CF32" i="2" a="1"/>
  <c r="CF32" i="2" s="1"/>
  <c r="BQ32" i="2" a="1"/>
  <c r="BQ32" i="2" s="1"/>
  <c r="DP32" i="2" a="1"/>
  <c r="DP32" i="2" s="1"/>
  <c r="CU32" i="2" a="1"/>
  <c r="CU32" i="2" s="1"/>
  <c r="CL32" i="2" a="1"/>
  <c r="CL32" i="2" s="1"/>
  <c r="BZ32" i="2" a="1"/>
  <c r="BZ32" i="2" s="1"/>
  <c r="DG32" i="2" a="1"/>
  <c r="DG32" i="2" s="1"/>
  <c r="DY32" i="2" a="1"/>
  <c r="DY32" i="2" s="1"/>
  <c r="BW32" i="2" a="1"/>
  <c r="BW32" i="2" s="1"/>
  <c r="AV32" i="2" a="1"/>
  <c r="AV32" i="2" s="1"/>
  <c r="AM32" i="2" a="1"/>
  <c r="AM32" i="2" s="1"/>
  <c r="AG32" i="2" a="1"/>
  <c r="AG32" i="2" s="1"/>
  <c r="CX32" i="2" a="1"/>
  <c r="CX32" i="2" s="1"/>
  <c r="BB32" i="2" a="1"/>
  <c r="BB32" i="2" s="1"/>
  <c r="AP32" i="2" a="1"/>
  <c r="AP32" i="2" s="1"/>
  <c r="AJ32" i="2" a="1"/>
  <c r="AJ32" i="2" s="1"/>
  <c r="CC32" i="2" a="1"/>
  <c r="CC32" i="2" s="1"/>
  <c r="BE32" i="2" a="1"/>
  <c r="BE32" i="2" s="1"/>
  <c r="JA16" i="2" a="1"/>
  <c r="JA16" i="2" s="1"/>
  <c r="IX16" i="2" a="1"/>
  <c r="IX16" i="2" s="1"/>
  <c r="IU16" i="2" a="1"/>
  <c r="IU16" i="2" s="1"/>
  <c r="II16" i="2" a="1"/>
  <c r="II16" i="2" s="1"/>
  <c r="JD16" i="2" a="1"/>
  <c r="JD16" i="2" s="1"/>
  <c r="IL16" i="2" a="1"/>
  <c r="IL16" i="2" s="1"/>
  <c r="IR16" i="2" a="1"/>
  <c r="IR16" i="2" s="1"/>
  <c r="HQ16" i="2" a="1"/>
  <c r="HQ16" i="2" s="1"/>
  <c r="HK16" i="2" a="1"/>
  <c r="HK16" i="2" s="1"/>
  <c r="HH16" i="2" a="1"/>
  <c r="HH16" i="2" s="1"/>
  <c r="HW16" i="2" a="1"/>
  <c r="HW16" i="2" s="1"/>
  <c r="IF16" i="2" a="1"/>
  <c r="IF16" i="2" s="1"/>
  <c r="GS16" i="2" a="1"/>
  <c r="GS16" i="2" s="1"/>
  <c r="HN16" i="2" a="1"/>
  <c r="HN16" i="2" s="1"/>
  <c r="HZ16" i="2" a="1"/>
  <c r="HZ16" i="2" s="1"/>
  <c r="GP16" i="2" a="1"/>
  <c r="GP16" i="2" s="1"/>
  <c r="HB16" i="2" a="1"/>
  <c r="HB16" i="2" s="1"/>
  <c r="GJ16" i="2" a="1"/>
  <c r="GJ16" i="2" s="1"/>
  <c r="FU16" i="2" a="1"/>
  <c r="FU16" i="2" s="1"/>
  <c r="IO16" i="2" a="1"/>
  <c r="IO16" i="2" s="1"/>
  <c r="HT16" i="2" a="1"/>
  <c r="HT16" i="2" s="1"/>
  <c r="GM16" i="2" a="1"/>
  <c r="GM16" i="2" s="1"/>
  <c r="GG16" i="2" a="1"/>
  <c r="GG16" i="2" s="1"/>
  <c r="GA16" i="2" a="1"/>
  <c r="GA16" i="2" s="1"/>
  <c r="FX16" i="2" a="1"/>
  <c r="FX16" i="2" s="1"/>
  <c r="FR16" i="2" a="1"/>
  <c r="FR16" i="2" s="1"/>
  <c r="FL16" i="2" a="1"/>
  <c r="FL16" i="2" s="1"/>
  <c r="HE16" i="2" a="1"/>
  <c r="HE16" i="2" s="1"/>
  <c r="EW16" i="2" a="1"/>
  <c r="EW16" i="2" s="1"/>
  <c r="EN16" i="2" a="1"/>
  <c r="EN16" i="2" s="1"/>
  <c r="EH16" i="2" a="1"/>
  <c r="EH16" i="2" s="1"/>
  <c r="EQ16" i="2" a="1"/>
  <c r="EQ16" i="2" s="1"/>
  <c r="DV16" i="2" a="1"/>
  <c r="DV16" i="2" s="1"/>
  <c r="FO16" i="2" a="1"/>
  <c r="FO16" i="2" s="1"/>
  <c r="ET16" i="2" a="1"/>
  <c r="ET16" i="2" s="1"/>
  <c r="FF16" i="2" a="1"/>
  <c r="FF16" i="2" s="1"/>
  <c r="FC16" i="2" a="1"/>
  <c r="FC16" i="2" s="1"/>
  <c r="EZ16" i="2" a="1"/>
  <c r="EZ16" i="2" s="1"/>
  <c r="DY16" i="2" a="1"/>
  <c r="DY16" i="2" s="1"/>
  <c r="DS16" i="2" a="1"/>
  <c r="DS16" i="2" s="1"/>
  <c r="GV16" i="2" a="1"/>
  <c r="GV16" i="2" s="1"/>
  <c r="DG16" i="2" a="1"/>
  <c r="DG16" i="2" s="1"/>
  <c r="DA16" i="2" a="1"/>
  <c r="DA16" i="2" s="1"/>
  <c r="EB16" i="2" a="1"/>
  <c r="EB16" i="2" s="1"/>
  <c r="IC16" i="2" a="1"/>
  <c r="IC16" i="2" s="1"/>
  <c r="GD16" i="2" a="1"/>
  <c r="GD16" i="2" s="1"/>
  <c r="FI16" i="2" a="1"/>
  <c r="FI16" i="2" s="1"/>
  <c r="EE16" i="2" a="1"/>
  <c r="EE16" i="2" s="1"/>
  <c r="DD16" i="2" a="1"/>
  <c r="DD16" i="2" s="1"/>
  <c r="DP16" i="2" a="1"/>
  <c r="DP16" i="2" s="1"/>
  <c r="DM16" i="2" a="1"/>
  <c r="DM16" i="2" s="1"/>
  <c r="CR16" i="2" a="1"/>
  <c r="CR16" i="2" s="1"/>
  <c r="EK16" i="2" a="1"/>
  <c r="EK16" i="2" s="1"/>
  <c r="CO16" i="2" a="1"/>
  <c r="CO16" i="2" s="1"/>
  <c r="BQ16" i="2" a="1"/>
  <c r="BQ16" i="2" s="1"/>
  <c r="CL16" i="2" a="1"/>
  <c r="CL16" i="2" s="1"/>
  <c r="CI16" i="2" a="1"/>
  <c r="CI16" i="2" s="1"/>
  <c r="CC16" i="2" a="1"/>
  <c r="CC16" i="2" s="1"/>
  <c r="BT16" i="2" a="1"/>
  <c r="BT16" i="2" s="1"/>
  <c r="DJ16" i="2" a="1"/>
  <c r="DJ16" i="2" s="1"/>
  <c r="BB16" i="2" a="1"/>
  <c r="BB16" i="2" s="1"/>
  <c r="AP16" i="2" a="1"/>
  <c r="AP16" i="2" s="1"/>
  <c r="AJ16" i="2" a="1"/>
  <c r="AJ16" i="2" s="1"/>
  <c r="CF16" i="2" a="1"/>
  <c r="CF16" i="2" s="1"/>
  <c r="BZ16" i="2" a="1"/>
  <c r="BZ16" i="2" s="1"/>
  <c r="AV16" i="2" a="1"/>
  <c r="AV16" i="2" s="1"/>
  <c r="AM16" i="2" a="1"/>
  <c r="AM16" i="2" s="1"/>
  <c r="AG16" i="2" a="1"/>
  <c r="AG16" i="2" s="1"/>
  <c r="CU16" i="2" a="1"/>
  <c r="CU16" i="2" s="1"/>
  <c r="BE16" i="2" a="1"/>
  <c r="BE16" i="2" s="1"/>
  <c r="X62" i="2" a="1"/>
  <c r="X62" i="2" s="1"/>
  <c r="X46" i="2" a="1"/>
  <c r="X46" i="2" s="1"/>
  <c r="AD64" i="2" a="1"/>
  <c r="AD64" i="2" s="1"/>
  <c r="IX71" i="2" a="1"/>
  <c r="IX71" i="2" s="1"/>
  <c r="IO71" i="2" a="1"/>
  <c r="IO71" i="2" s="1"/>
  <c r="IL71" i="2" a="1"/>
  <c r="IL71" i="2" s="1"/>
  <c r="O71" i="2" a="1"/>
  <c r="O71" i="2" s="1"/>
  <c r="IU71" i="2" a="1"/>
  <c r="IU71" i="2" s="1"/>
  <c r="JD71" i="2" a="1"/>
  <c r="JD71" i="2" s="1"/>
  <c r="II71" i="2" a="1"/>
  <c r="II71" i="2" s="1"/>
  <c r="JA71" i="2" a="1"/>
  <c r="JA71" i="2" s="1"/>
  <c r="IR71" i="2" a="1"/>
  <c r="IR71" i="2" s="1"/>
  <c r="HZ71" i="2" a="1"/>
  <c r="HZ71" i="2" s="1"/>
  <c r="IC71" i="2" a="1"/>
  <c r="IC71" i="2" s="1"/>
  <c r="HW71" i="2" a="1"/>
  <c r="HW71" i="2" s="1"/>
  <c r="HK71" i="2" a="1"/>
  <c r="HK71" i="2" s="1"/>
  <c r="HH71" i="2" a="1"/>
  <c r="HH71" i="2" s="1"/>
  <c r="HE71" i="2" a="1"/>
  <c r="HE71" i="2" s="1"/>
  <c r="HQ71" i="2" a="1"/>
  <c r="HQ71" i="2" s="1"/>
  <c r="HB71" i="2" a="1"/>
  <c r="HB71" i="2" s="1"/>
  <c r="GS71" i="2" a="1"/>
  <c r="GS71" i="2" s="1"/>
  <c r="GV71" i="2" a="1"/>
  <c r="GV71" i="2" s="1"/>
  <c r="FO71" i="2" a="1"/>
  <c r="FO71" i="2" s="1"/>
  <c r="GP71" i="2" a="1"/>
  <c r="GP71" i="2" s="1"/>
  <c r="FU71" i="2" a="1"/>
  <c r="FU71" i="2" s="1"/>
  <c r="GM71" i="2" a="1"/>
  <c r="GM71" i="2" s="1"/>
  <c r="GY71" i="2" a="1"/>
  <c r="GY71" i="2" s="1"/>
  <c r="FR71" i="2" a="1"/>
  <c r="FR71" i="2" s="1"/>
  <c r="FL71" i="2" a="1"/>
  <c r="FL71" i="2" s="1"/>
  <c r="IF71" i="2" a="1"/>
  <c r="IF71" i="2" s="1"/>
  <c r="FX71" i="2" a="1"/>
  <c r="FX71" i="2" s="1"/>
  <c r="GA71" i="2" a="1"/>
  <c r="GA71" i="2" s="1"/>
  <c r="FF71" i="2" a="1"/>
  <c r="FF71" i="2" s="1"/>
  <c r="HT71" i="2" a="1"/>
  <c r="HT71" i="2" s="1"/>
  <c r="GJ71" i="2" a="1"/>
  <c r="GJ71" i="2" s="1"/>
  <c r="GG71" i="2" a="1"/>
  <c r="GG71" i="2" s="1"/>
  <c r="EW71" i="2" a="1"/>
  <c r="EW71" i="2" s="1"/>
  <c r="ET71" i="2" a="1"/>
  <c r="ET71" i="2" s="1"/>
  <c r="EH71" i="2" a="1"/>
  <c r="EH71" i="2" s="1"/>
  <c r="EE71" i="2" a="1"/>
  <c r="EE71" i="2" s="1"/>
  <c r="EB71" i="2" a="1"/>
  <c r="EB71" i="2" s="1"/>
  <c r="DY71" i="2" a="1"/>
  <c r="DY71" i="2" s="1"/>
  <c r="DV71" i="2" a="1"/>
  <c r="DV71" i="2" s="1"/>
  <c r="HN71" i="2" a="1"/>
  <c r="HN71" i="2" s="1"/>
  <c r="GD71" i="2" a="1"/>
  <c r="GD71" i="2" s="1"/>
  <c r="EK71" i="2" a="1"/>
  <c r="EK71" i="2" s="1"/>
  <c r="FC71" i="2" a="1"/>
  <c r="FC71" i="2" s="1"/>
  <c r="EN71" i="2" a="1"/>
  <c r="EN71" i="2" s="1"/>
  <c r="DS71" i="2" a="1"/>
  <c r="DS71" i="2" s="1"/>
  <c r="DG71" i="2" a="1"/>
  <c r="DG71" i="2" s="1"/>
  <c r="DA71" i="2" a="1"/>
  <c r="DA71" i="2" s="1"/>
  <c r="EZ71" i="2" a="1"/>
  <c r="EZ71" i="2" s="1"/>
  <c r="FI71" i="2" a="1"/>
  <c r="FI71" i="2" s="1"/>
  <c r="DP71" i="2" a="1"/>
  <c r="DP71" i="2" s="1"/>
  <c r="DJ71" i="2" a="1"/>
  <c r="DJ71" i="2" s="1"/>
  <c r="CX71" i="2" a="1"/>
  <c r="CX71" i="2" s="1"/>
  <c r="CR71" i="2" a="1"/>
  <c r="CR71" i="2" s="1"/>
  <c r="EQ71" i="2" a="1"/>
  <c r="EQ71" i="2" s="1"/>
  <c r="DD71" i="2" a="1"/>
  <c r="DD71" i="2" s="1"/>
  <c r="CO71" i="2" a="1"/>
  <c r="CO71" i="2" s="1"/>
  <c r="CC71" i="2" a="1"/>
  <c r="CC71" i="2" s="1"/>
  <c r="BT71" i="2" a="1"/>
  <c r="BT71" i="2" s="1"/>
  <c r="CU71" i="2" a="1"/>
  <c r="CU71" i="2" s="1"/>
  <c r="BB71" i="2" a="1"/>
  <c r="BB71" i="2" s="1"/>
  <c r="AV71" i="2" a="1"/>
  <c r="AV71" i="2" s="1"/>
  <c r="AP71" i="2" a="1"/>
  <c r="AP71" i="2" s="1"/>
  <c r="AJ71" i="2" a="1"/>
  <c r="AJ71" i="2" s="1"/>
  <c r="BQ71" i="2" a="1"/>
  <c r="BQ71" i="2" s="1"/>
  <c r="AM71" i="2" a="1"/>
  <c r="AM71" i="2" s="1"/>
  <c r="AG71" i="2" a="1"/>
  <c r="AG71" i="2" s="1"/>
  <c r="CI71" i="2" a="1"/>
  <c r="CI71" i="2" s="1"/>
  <c r="BZ71" i="2" a="1"/>
  <c r="BZ71" i="2" s="1"/>
  <c r="AY71" i="2" a="1"/>
  <c r="AY71" i="2" s="1"/>
  <c r="IX63" i="2" a="1"/>
  <c r="IX63" i="2" s="1"/>
  <c r="IO63" i="2" a="1"/>
  <c r="IO63" i="2" s="1"/>
  <c r="IL63" i="2" a="1"/>
  <c r="IL63" i="2" s="1"/>
  <c r="O63" i="2" a="1"/>
  <c r="O63" i="2" s="1"/>
  <c r="IU63" i="2" a="1"/>
  <c r="IU63" i="2" s="1"/>
  <c r="JD63" i="2" a="1"/>
  <c r="JD63" i="2" s="1"/>
  <c r="II63" i="2" a="1"/>
  <c r="II63" i="2" s="1"/>
  <c r="JA63" i="2" a="1"/>
  <c r="JA63" i="2" s="1"/>
  <c r="HZ63" i="2" a="1"/>
  <c r="HZ63" i="2" s="1"/>
  <c r="HQ63" i="2" a="1"/>
  <c r="HQ63" i="2" s="1"/>
  <c r="IR63" i="2" a="1"/>
  <c r="IR63" i="2" s="1"/>
  <c r="HN63" i="2" a="1"/>
  <c r="HN63" i="2" s="1"/>
  <c r="HK63" i="2" a="1"/>
  <c r="HK63" i="2" s="1"/>
  <c r="HH63" i="2" a="1"/>
  <c r="HH63" i="2" s="1"/>
  <c r="HE63" i="2" a="1"/>
  <c r="HE63" i="2" s="1"/>
  <c r="IF63" i="2" a="1"/>
  <c r="IF63" i="2" s="1"/>
  <c r="HT63" i="2" a="1"/>
  <c r="HT63" i="2" s="1"/>
  <c r="IC63" i="2" a="1"/>
  <c r="IC63" i="2" s="1"/>
  <c r="GS63" i="2" a="1"/>
  <c r="GS63" i="2" s="1"/>
  <c r="GP63" i="2" a="1"/>
  <c r="GP63" i="2" s="1"/>
  <c r="GM63" i="2" a="1"/>
  <c r="GM63" i="2" s="1"/>
  <c r="GY63" i="2" a="1"/>
  <c r="GY63" i="2" s="1"/>
  <c r="FO63" i="2" a="1"/>
  <c r="FO63" i="2" s="1"/>
  <c r="FU63" i="2" a="1"/>
  <c r="FU63" i="2" s="1"/>
  <c r="GA63" i="2" a="1"/>
  <c r="GA63" i="2" s="1"/>
  <c r="HB63" i="2" a="1"/>
  <c r="HB63" i="2" s="1"/>
  <c r="GG63" i="2" a="1"/>
  <c r="GG63" i="2" s="1"/>
  <c r="FI63" i="2" a="1"/>
  <c r="FI63" i="2" s="1"/>
  <c r="FC63" i="2" a="1"/>
  <c r="FC63" i="2" s="1"/>
  <c r="GV63" i="2" a="1"/>
  <c r="GV63" i="2" s="1"/>
  <c r="HW63" i="2" a="1"/>
  <c r="HW63" i="2" s="1"/>
  <c r="GJ63" i="2" a="1"/>
  <c r="GJ63" i="2" s="1"/>
  <c r="FL63" i="2" a="1"/>
  <c r="FL63" i="2" s="1"/>
  <c r="EW63" i="2" a="1"/>
  <c r="EW63" i="2" s="1"/>
  <c r="EH63" i="2" a="1"/>
  <c r="EH63" i="2" s="1"/>
  <c r="EE63" i="2" a="1"/>
  <c r="EE63" i="2" s="1"/>
  <c r="EB63" i="2" a="1"/>
  <c r="EB63" i="2" s="1"/>
  <c r="DY63" i="2" a="1"/>
  <c r="DY63" i="2" s="1"/>
  <c r="FF63" i="2" a="1"/>
  <c r="FF63" i="2" s="1"/>
  <c r="ET63" i="2" a="1"/>
  <c r="ET63" i="2" s="1"/>
  <c r="DV63" i="2" a="1"/>
  <c r="DV63" i="2" s="1"/>
  <c r="GD63" i="2" a="1"/>
  <c r="GD63" i="2" s="1"/>
  <c r="FR63" i="2" a="1"/>
  <c r="FR63" i="2" s="1"/>
  <c r="FX63" i="2" a="1"/>
  <c r="FX63" i="2" s="1"/>
  <c r="EN63" i="2" a="1"/>
  <c r="EN63" i="2" s="1"/>
  <c r="EK63" i="2" a="1"/>
  <c r="EK63" i="2" s="1"/>
  <c r="DS63" i="2" a="1"/>
  <c r="DS63" i="2" s="1"/>
  <c r="EZ63" i="2" a="1"/>
  <c r="EZ63" i="2" s="1"/>
  <c r="EQ63" i="2" a="1"/>
  <c r="EQ63" i="2" s="1"/>
  <c r="DP63" i="2" a="1"/>
  <c r="DP63" i="2" s="1"/>
  <c r="DG63" i="2" a="1"/>
  <c r="DG63" i="2" s="1"/>
  <c r="DA63" i="2" a="1"/>
  <c r="DA63" i="2" s="1"/>
  <c r="CF63" i="2" a="1"/>
  <c r="CF63" i="2" s="1"/>
  <c r="CU63" i="2" a="1"/>
  <c r="CU63" i="2" s="1"/>
  <c r="DJ63" i="2" a="1"/>
  <c r="DJ63" i="2" s="1"/>
  <c r="DD63" i="2" a="1"/>
  <c r="DD63" i="2" s="1"/>
  <c r="BT63" i="2" a="1"/>
  <c r="BT63" i="2" s="1"/>
  <c r="CX63" i="2" a="1"/>
  <c r="CX63" i="2" s="1"/>
  <c r="CR63" i="2" a="1"/>
  <c r="CR63" i="2" s="1"/>
  <c r="CL63" i="2" a="1"/>
  <c r="CL63" i="2" s="1"/>
  <c r="BZ63" i="2" a="1"/>
  <c r="BZ63" i="2" s="1"/>
  <c r="AY63" i="2" a="1"/>
  <c r="AY63" i="2" s="1"/>
  <c r="IX55" i="2" a="1"/>
  <c r="IX55" i="2" s="1"/>
  <c r="IL55" i="2" a="1"/>
  <c r="IL55" i="2" s="1"/>
  <c r="O55" i="2" a="1"/>
  <c r="O55" i="2" s="1"/>
  <c r="IO55" i="2" a="1"/>
  <c r="IO55" i="2" s="1"/>
  <c r="IU55" i="2" a="1"/>
  <c r="IU55" i="2" s="1"/>
  <c r="JD55" i="2" a="1"/>
  <c r="JD55" i="2" s="1"/>
  <c r="JA55" i="2" a="1"/>
  <c r="JA55" i="2" s="1"/>
  <c r="IF55" i="2" a="1"/>
  <c r="IF55" i="2" s="1"/>
  <c r="IC55" i="2" a="1"/>
  <c r="IC55" i="2" s="1"/>
  <c r="HK55" i="2" a="1"/>
  <c r="HK55" i="2" s="1"/>
  <c r="HH55" i="2" a="1"/>
  <c r="HH55" i="2" s="1"/>
  <c r="IR55" i="2" a="1"/>
  <c r="IR55" i="2" s="1"/>
  <c r="HZ55" i="2" a="1"/>
  <c r="HZ55" i="2" s="1"/>
  <c r="HW55" i="2" a="1"/>
  <c r="HW55" i="2" s="1"/>
  <c r="HN55" i="2" a="1"/>
  <c r="HN55" i="2" s="1"/>
  <c r="GV55" i="2" a="1"/>
  <c r="GV55" i="2" s="1"/>
  <c r="GM55" i="2" a="1"/>
  <c r="GM55" i="2" s="1"/>
  <c r="HT55" i="2" a="1"/>
  <c r="HT55" i="2" s="1"/>
  <c r="HB55" i="2" a="1"/>
  <c r="HB55" i="2" s="1"/>
  <c r="GA55" i="2" a="1"/>
  <c r="GA55" i="2" s="1"/>
  <c r="FX55" i="2" a="1"/>
  <c r="FX55" i="2" s="1"/>
  <c r="HQ55" i="2" a="1"/>
  <c r="HQ55" i="2" s="1"/>
  <c r="FO55" i="2" a="1"/>
  <c r="FO55" i="2" s="1"/>
  <c r="GS55" i="2" a="1"/>
  <c r="GS55" i="2" s="1"/>
  <c r="GG55" i="2" a="1"/>
  <c r="GG55" i="2" s="1"/>
  <c r="FU55" i="2" a="1"/>
  <c r="FU55" i="2" s="1"/>
  <c r="HE55" i="2" a="1"/>
  <c r="HE55" i="2" s="1"/>
  <c r="GP55" i="2" a="1"/>
  <c r="GP55" i="2" s="1"/>
  <c r="GJ55" i="2" a="1"/>
  <c r="GJ55" i="2" s="1"/>
  <c r="GD55" i="2" a="1"/>
  <c r="GD55" i="2" s="1"/>
  <c r="FL55" i="2" a="1"/>
  <c r="FL55" i="2" s="1"/>
  <c r="II55" i="2" a="1"/>
  <c r="II55" i="2" s="1"/>
  <c r="FC55" i="2" a="1"/>
  <c r="FC55" i="2" s="1"/>
  <c r="EZ55" i="2" a="1"/>
  <c r="EZ55" i="2" s="1"/>
  <c r="EW55" i="2" a="1"/>
  <c r="EW55" i="2" s="1"/>
  <c r="EH55" i="2" a="1"/>
  <c r="EH55" i="2" s="1"/>
  <c r="EE55" i="2" a="1"/>
  <c r="EE55" i="2" s="1"/>
  <c r="EB55" i="2" a="1"/>
  <c r="EB55" i="2" s="1"/>
  <c r="DY55" i="2" a="1"/>
  <c r="DY55" i="2" s="1"/>
  <c r="FF55" i="2" a="1"/>
  <c r="FF55" i="2" s="1"/>
  <c r="ET55" i="2" a="1"/>
  <c r="ET55" i="2" s="1"/>
  <c r="DV55" i="2" a="1"/>
  <c r="DV55" i="2" s="1"/>
  <c r="GY55" i="2" a="1"/>
  <c r="GY55" i="2" s="1"/>
  <c r="FI55" i="2" a="1"/>
  <c r="FI55" i="2" s="1"/>
  <c r="FR55" i="2" a="1"/>
  <c r="FR55" i="2" s="1"/>
  <c r="EK55" i="2" a="1"/>
  <c r="EK55" i="2" s="1"/>
  <c r="DS55" i="2" a="1"/>
  <c r="DS55" i="2" s="1"/>
  <c r="DP55" i="2" a="1"/>
  <c r="DP55" i="2" s="1"/>
  <c r="EN55" i="2" a="1"/>
  <c r="EN55" i="2" s="1"/>
  <c r="DD55" i="2" a="1"/>
  <c r="DD55" i="2" s="1"/>
  <c r="EQ55" i="2" a="1"/>
  <c r="EQ55" i="2" s="1"/>
  <c r="DA55" i="2" a="1"/>
  <c r="DA55" i="2" s="1"/>
  <c r="CO55" i="2" a="1"/>
  <c r="CO55" i="2" s="1"/>
  <c r="DJ55" i="2" a="1"/>
  <c r="DJ55" i="2" s="1"/>
  <c r="DG55" i="2" a="1"/>
  <c r="DG55" i="2" s="1"/>
  <c r="CX55" i="2" a="1"/>
  <c r="CX55" i="2" s="1"/>
  <c r="CR55" i="2" a="1"/>
  <c r="CR55" i="2" s="1"/>
  <c r="BZ55" i="2" a="1"/>
  <c r="BZ55" i="2" s="1"/>
  <c r="BT55" i="2" a="1"/>
  <c r="BT55" i="2" s="1"/>
  <c r="AM55" i="2" a="1"/>
  <c r="AM55" i="2" s="1"/>
  <c r="AG55" i="2" a="1"/>
  <c r="AG55" i="2" s="1"/>
  <c r="AA55" i="2" a="1"/>
  <c r="AA55" i="2" s="1"/>
  <c r="DM55" i="2" a="1"/>
  <c r="DM55" i="2" s="1"/>
  <c r="CI55" i="2" a="1"/>
  <c r="CI55" i="2" s="1"/>
  <c r="CF55" i="2" a="1"/>
  <c r="CF55" i="2" s="1"/>
  <c r="BW55" i="2" a="1"/>
  <c r="BW55" i="2" s="1"/>
  <c r="CU55" i="2" a="1"/>
  <c r="CU55" i="2" s="1"/>
  <c r="CL55" i="2" a="1"/>
  <c r="CL55" i="2" s="1"/>
  <c r="BB55" i="2" a="1"/>
  <c r="BB55" i="2" s="1"/>
  <c r="AV55" i="2" a="1"/>
  <c r="AV55" i="2" s="1"/>
  <c r="AP55" i="2" a="1"/>
  <c r="AP55" i="2" s="1"/>
  <c r="AJ55" i="2" a="1"/>
  <c r="AJ55" i="2" s="1"/>
  <c r="BQ55" i="2" a="1"/>
  <c r="BQ55" i="2" s="1"/>
  <c r="AY55" i="2" a="1"/>
  <c r="AY55" i="2" s="1"/>
  <c r="IX47" i="2" a="1"/>
  <c r="IX47" i="2" s="1"/>
  <c r="O47" i="2" a="1"/>
  <c r="O47" i="2" s="1"/>
  <c r="IL47" i="2" a="1"/>
  <c r="IL47" i="2" s="1"/>
  <c r="IU47" i="2" a="1"/>
  <c r="IU47" i="2" s="1"/>
  <c r="IR47" i="2" a="1"/>
  <c r="IR47" i="2" s="1"/>
  <c r="IO47" i="2" a="1"/>
  <c r="IO47" i="2" s="1"/>
  <c r="JD47" i="2" a="1"/>
  <c r="JD47" i="2" s="1"/>
  <c r="HQ47" i="2" a="1"/>
  <c r="HQ47" i="2" s="1"/>
  <c r="II47" i="2" a="1"/>
  <c r="II47" i="2" s="1"/>
  <c r="HK47" i="2" a="1"/>
  <c r="HK47" i="2" s="1"/>
  <c r="HH47" i="2" a="1"/>
  <c r="HH47" i="2" s="1"/>
  <c r="GV47" i="2" a="1"/>
  <c r="GV47" i="2" s="1"/>
  <c r="JA47" i="2" a="1"/>
  <c r="JA47" i="2" s="1"/>
  <c r="HT47" i="2" a="1"/>
  <c r="HT47" i="2" s="1"/>
  <c r="HN47" i="2" a="1"/>
  <c r="HN47" i="2" s="1"/>
  <c r="GJ47" i="2" a="1"/>
  <c r="GJ47" i="2" s="1"/>
  <c r="HZ47" i="2" a="1"/>
  <c r="HZ47" i="2" s="1"/>
  <c r="HE47" i="2" a="1"/>
  <c r="HE47" i="2" s="1"/>
  <c r="GD47" i="2" a="1"/>
  <c r="GD47" i="2" s="1"/>
  <c r="FR47" i="2" a="1"/>
  <c r="FR47" i="2" s="1"/>
  <c r="IF47" i="2" a="1"/>
  <c r="IF47" i="2" s="1"/>
  <c r="HW47" i="2" a="1"/>
  <c r="HW47" i="2" s="1"/>
  <c r="GS47" i="2" a="1"/>
  <c r="GS47" i="2" s="1"/>
  <c r="GP47" i="2" a="1"/>
  <c r="GP47" i="2" s="1"/>
  <c r="GM47" i="2" a="1"/>
  <c r="GM47" i="2" s="1"/>
  <c r="GY47" i="2" a="1"/>
  <c r="GY47" i="2" s="1"/>
  <c r="GA47" i="2" a="1"/>
  <c r="GA47" i="2" s="1"/>
  <c r="FX47" i="2" a="1"/>
  <c r="FX47" i="2" s="1"/>
  <c r="FC47" i="2" a="1"/>
  <c r="FC47" i="2" s="1"/>
  <c r="FL47" i="2" a="1"/>
  <c r="FL47" i="2" s="1"/>
  <c r="IC47" i="2" a="1"/>
  <c r="IC47" i="2" s="1"/>
  <c r="FF47" i="2" a="1"/>
  <c r="FF47" i="2" s="1"/>
  <c r="EQ47" i="2" a="1"/>
  <c r="EQ47" i="2" s="1"/>
  <c r="FO47" i="2" a="1"/>
  <c r="FO47" i="2" s="1"/>
  <c r="EW47" i="2" a="1"/>
  <c r="EW47" i="2" s="1"/>
  <c r="EH47" i="2" a="1"/>
  <c r="EH47" i="2" s="1"/>
  <c r="EE47" i="2" a="1"/>
  <c r="EE47" i="2" s="1"/>
  <c r="EB47" i="2" a="1"/>
  <c r="EB47" i="2" s="1"/>
  <c r="DY47" i="2" a="1"/>
  <c r="DY47" i="2" s="1"/>
  <c r="ET47" i="2" a="1"/>
  <c r="ET47" i="2" s="1"/>
  <c r="DV47" i="2" a="1"/>
  <c r="DV47" i="2" s="1"/>
  <c r="FU47" i="2" a="1"/>
  <c r="FU47" i="2" s="1"/>
  <c r="FI47" i="2" a="1"/>
  <c r="FI47" i="2" s="1"/>
  <c r="EZ47" i="2" a="1"/>
  <c r="EZ47" i="2" s="1"/>
  <c r="EK47" i="2" a="1"/>
  <c r="EK47" i="2" s="1"/>
  <c r="DS47" i="2" a="1"/>
  <c r="DS47" i="2" s="1"/>
  <c r="DP47" i="2" a="1"/>
  <c r="DP47" i="2" s="1"/>
  <c r="GG47" i="2" a="1"/>
  <c r="GG47" i="2" s="1"/>
  <c r="HB47" i="2" a="1"/>
  <c r="HB47" i="2" s="1"/>
  <c r="DD47" i="2" a="1"/>
  <c r="DD47" i="2" s="1"/>
  <c r="DM47" i="2" a="1"/>
  <c r="DM47" i="2" s="1"/>
  <c r="DA47" i="2" a="1"/>
  <c r="DA47" i="2" s="1"/>
  <c r="CF47" i="2" a="1"/>
  <c r="CF47" i="2" s="1"/>
  <c r="CX47" i="2" a="1"/>
  <c r="CX47" i="2" s="1"/>
  <c r="BW47" i="2" a="1"/>
  <c r="BW47" i="2" s="1"/>
  <c r="CU47" i="2" a="1"/>
  <c r="CU47" i="2" s="1"/>
  <c r="BT47" i="2" a="1"/>
  <c r="BT47" i="2" s="1"/>
  <c r="BH47" i="2" a="1"/>
  <c r="BH47" i="2" s="1"/>
  <c r="X47" i="2" a="1"/>
  <c r="X47" i="2" s="1"/>
  <c r="DJ47" i="2" a="1"/>
  <c r="DJ47" i="2" s="1"/>
  <c r="CR47" i="2" a="1"/>
  <c r="CR47" i="2" s="1"/>
  <c r="CO47" i="2" a="1"/>
  <c r="CO47" i="2" s="1"/>
  <c r="CL47" i="2" a="1"/>
  <c r="CL47" i="2" s="1"/>
  <c r="AY47" i="2" a="1"/>
  <c r="AY47" i="2" s="1"/>
  <c r="JA39" i="2" a="1"/>
  <c r="JA39" i="2" s="1"/>
  <c r="IX39" i="2" a="1"/>
  <c r="IX39" i="2" s="1"/>
  <c r="O39" i="2" a="1"/>
  <c r="O39" i="2" s="1"/>
  <c r="IL39" i="2" a="1"/>
  <c r="IL39" i="2" s="1"/>
  <c r="IU39" i="2" a="1"/>
  <c r="IU39" i="2" s="1"/>
  <c r="II39" i="2" a="1"/>
  <c r="II39" i="2" s="1"/>
  <c r="IO39" i="2" a="1"/>
  <c r="IO39" i="2" s="1"/>
  <c r="HT39" i="2" a="1"/>
  <c r="HT39" i="2" s="1"/>
  <c r="HK39" i="2" a="1"/>
  <c r="HK39" i="2" s="1"/>
  <c r="HH39" i="2" a="1"/>
  <c r="HH39" i="2" s="1"/>
  <c r="HQ39" i="2" a="1"/>
  <c r="HQ39" i="2" s="1"/>
  <c r="GV39" i="2" a="1"/>
  <c r="GV39" i="2" s="1"/>
  <c r="JD39" i="2" a="1"/>
  <c r="JD39" i="2" s="1"/>
  <c r="IR39" i="2" a="1"/>
  <c r="IR39" i="2" s="1"/>
  <c r="IF39" i="2" a="1"/>
  <c r="IF39" i="2" s="1"/>
  <c r="IC39" i="2" a="1"/>
  <c r="IC39" i="2" s="1"/>
  <c r="HW39" i="2" a="1"/>
  <c r="HW39" i="2" s="1"/>
  <c r="GS39" i="2" a="1"/>
  <c r="GS39" i="2" s="1"/>
  <c r="GJ39" i="2" a="1"/>
  <c r="GJ39" i="2" s="1"/>
  <c r="GY39" i="2" a="1"/>
  <c r="GY39" i="2" s="1"/>
  <c r="HZ39" i="2" a="1"/>
  <c r="HZ39" i="2" s="1"/>
  <c r="GP39" i="2" a="1"/>
  <c r="GP39" i="2" s="1"/>
  <c r="GG39" i="2" a="1"/>
  <c r="GG39" i="2" s="1"/>
  <c r="FL39" i="2" a="1"/>
  <c r="FL39" i="2" s="1"/>
  <c r="GD39" i="2" a="1"/>
  <c r="GD39" i="2" s="1"/>
  <c r="FR39" i="2" a="1"/>
  <c r="FR39" i="2" s="1"/>
  <c r="HB39" i="2" a="1"/>
  <c r="HB39" i="2" s="1"/>
  <c r="GM39" i="2" a="1"/>
  <c r="GM39" i="2" s="1"/>
  <c r="GA39" i="2" a="1"/>
  <c r="GA39" i="2" s="1"/>
  <c r="FU39" i="2" a="1"/>
  <c r="FU39" i="2" s="1"/>
  <c r="FO39" i="2" a="1"/>
  <c r="FO39" i="2" s="1"/>
  <c r="EQ39" i="2" a="1"/>
  <c r="EQ39" i="2" s="1"/>
  <c r="HE39" i="2" a="1"/>
  <c r="HE39" i="2" s="1"/>
  <c r="FI39" i="2" a="1"/>
  <c r="FI39" i="2" s="1"/>
  <c r="EW39" i="2" a="1"/>
  <c r="EW39" i="2" s="1"/>
  <c r="EH39" i="2" a="1"/>
  <c r="EH39" i="2" s="1"/>
  <c r="EE39" i="2" a="1"/>
  <c r="EE39" i="2" s="1"/>
  <c r="EB39" i="2" a="1"/>
  <c r="EB39" i="2" s="1"/>
  <c r="DY39" i="2" a="1"/>
  <c r="DY39" i="2" s="1"/>
  <c r="FX39" i="2" a="1"/>
  <c r="FX39" i="2" s="1"/>
  <c r="ET39" i="2" a="1"/>
  <c r="ET39" i="2" s="1"/>
  <c r="DV39" i="2" a="1"/>
  <c r="DV39" i="2" s="1"/>
  <c r="HN39" i="2" a="1"/>
  <c r="HN39" i="2" s="1"/>
  <c r="EN39" i="2" a="1"/>
  <c r="EN39" i="2" s="1"/>
  <c r="DP39" i="2" a="1"/>
  <c r="DP39" i="2" s="1"/>
  <c r="EZ39" i="2" a="1"/>
  <c r="EZ39" i="2" s="1"/>
  <c r="DG39" i="2" a="1"/>
  <c r="DG39" i="2" s="1"/>
  <c r="DA39" i="2" a="1"/>
  <c r="DA39" i="2" s="1"/>
  <c r="FF39" i="2" a="1"/>
  <c r="FF39" i="2" s="1"/>
  <c r="DS39" i="2" a="1"/>
  <c r="DS39" i="2" s="1"/>
  <c r="CX39" i="2" a="1"/>
  <c r="CX39" i="2" s="1"/>
  <c r="FC39" i="2" a="1"/>
  <c r="FC39" i="2" s="1"/>
  <c r="DM39" i="2" a="1"/>
  <c r="DM39" i="2" s="1"/>
  <c r="DD39" i="2" a="1"/>
  <c r="DD39" i="2" s="1"/>
  <c r="CR39" i="2" a="1"/>
  <c r="CR39" i="2" s="1"/>
  <c r="CO39" i="2" a="1"/>
  <c r="CO39" i="2" s="1"/>
  <c r="CI39" i="2" a="1"/>
  <c r="CI39" i="2" s="1"/>
  <c r="CF39" i="2" a="1"/>
  <c r="CF39" i="2" s="1"/>
  <c r="CC39" i="2" a="1"/>
  <c r="CC39" i="2" s="1"/>
  <c r="BT39" i="2" a="1"/>
  <c r="BT39" i="2" s="1"/>
  <c r="DJ39" i="2" a="1"/>
  <c r="DJ39" i="2" s="1"/>
  <c r="BB39" i="2" a="1"/>
  <c r="BB39" i="2" s="1"/>
  <c r="AV39" i="2" a="1"/>
  <c r="AV39" i="2" s="1"/>
  <c r="AP39" i="2" a="1"/>
  <c r="AP39" i="2" s="1"/>
  <c r="AJ39" i="2" a="1"/>
  <c r="AJ39" i="2" s="1"/>
  <c r="AA39" i="2" a="1"/>
  <c r="AA39" i="2" s="1"/>
  <c r="EK39" i="2" a="1"/>
  <c r="EK39" i="2" s="1"/>
  <c r="AM39" i="2" a="1"/>
  <c r="AM39" i="2" s="1"/>
  <c r="AG39" i="2" a="1"/>
  <c r="AG39" i="2" s="1"/>
  <c r="CL39" i="2" a="1"/>
  <c r="CL39" i="2" s="1"/>
  <c r="BW39" i="2" a="1"/>
  <c r="BW39" i="2" s="1"/>
  <c r="AY39" i="2" a="1"/>
  <c r="AY39" i="2" s="1"/>
  <c r="JD31" i="2" a="1"/>
  <c r="JD31" i="2" s="1"/>
  <c r="JA31" i="2" a="1"/>
  <c r="JA31" i="2" s="1"/>
  <c r="IX31" i="2" a="1"/>
  <c r="IX31" i="2" s="1"/>
  <c r="O31" i="2" a="1"/>
  <c r="O31" i="2" s="1"/>
  <c r="IR31" i="2" a="1"/>
  <c r="IR31" i="2" s="1"/>
  <c r="IL31" i="2" a="1"/>
  <c r="IL31" i="2" s="1"/>
  <c r="IU31" i="2" a="1"/>
  <c r="IU31" i="2" s="1"/>
  <c r="IO31" i="2" a="1"/>
  <c r="IO31" i="2" s="1"/>
  <c r="II31" i="2" a="1"/>
  <c r="II31" i="2" s="1"/>
  <c r="IF31" i="2" a="1"/>
  <c r="IF31" i="2" s="1"/>
  <c r="HW31" i="2" a="1"/>
  <c r="HW31" i="2" s="1"/>
  <c r="HN31" i="2" a="1"/>
  <c r="HN31" i="2" s="1"/>
  <c r="HK31" i="2" a="1"/>
  <c r="HK31" i="2" s="1"/>
  <c r="HH31" i="2" a="1"/>
  <c r="HH31" i="2" s="1"/>
  <c r="IC31" i="2" a="1"/>
  <c r="IC31" i="2" s="1"/>
  <c r="HZ31" i="2" a="1"/>
  <c r="HZ31" i="2" s="1"/>
  <c r="GP31" i="2" a="1"/>
  <c r="GP31" i="2" s="1"/>
  <c r="GV31" i="2" a="1"/>
  <c r="GV31" i="2" s="1"/>
  <c r="GS31" i="2" a="1"/>
  <c r="GS31" i="2" s="1"/>
  <c r="HB31" i="2" a="1"/>
  <c r="HB31" i="2" s="1"/>
  <c r="GG31" i="2" a="1"/>
  <c r="GG31" i="2" s="1"/>
  <c r="FL31" i="2" a="1"/>
  <c r="FL31" i="2" s="1"/>
  <c r="HE31" i="2" a="1"/>
  <c r="HE31" i="2" s="1"/>
  <c r="GM31" i="2" a="1"/>
  <c r="GM31" i="2" s="1"/>
  <c r="GD31" i="2" a="1"/>
  <c r="GD31" i="2" s="1"/>
  <c r="GA31" i="2" a="1"/>
  <c r="GA31" i="2" s="1"/>
  <c r="HT31" i="2" a="1"/>
  <c r="HT31" i="2" s="1"/>
  <c r="HQ31" i="2" a="1"/>
  <c r="HQ31" i="2" s="1"/>
  <c r="FF31" i="2" a="1"/>
  <c r="FF31" i="2" s="1"/>
  <c r="GY31" i="2" a="1"/>
  <c r="GY31" i="2" s="1"/>
  <c r="FU31" i="2" a="1"/>
  <c r="FU31" i="2" s="1"/>
  <c r="FO31" i="2" a="1"/>
  <c r="FO31" i="2" s="1"/>
  <c r="FI31" i="2" a="1"/>
  <c r="FI31" i="2" s="1"/>
  <c r="EQ31" i="2" a="1"/>
  <c r="EQ31" i="2" s="1"/>
  <c r="EW31" i="2" a="1"/>
  <c r="EW31" i="2" s="1"/>
  <c r="EH31" i="2" a="1"/>
  <c r="EH31" i="2" s="1"/>
  <c r="EE31" i="2" a="1"/>
  <c r="EE31" i="2" s="1"/>
  <c r="EB31" i="2" a="1"/>
  <c r="EB31" i="2" s="1"/>
  <c r="DY31" i="2" a="1"/>
  <c r="DY31" i="2" s="1"/>
  <c r="FR31" i="2" a="1"/>
  <c r="FR31" i="2" s="1"/>
  <c r="ET31" i="2" a="1"/>
  <c r="ET31" i="2" s="1"/>
  <c r="DV31" i="2" a="1"/>
  <c r="DV31" i="2" s="1"/>
  <c r="FX31" i="2" a="1"/>
  <c r="FX31" i="2" s="1"/>
  <c r="DP31" i="2" a="1"/>
  <c r="DP31" i="2" s="1"/>
  <c r="FC31" i="2" a="1"/>
  <c r="FC31" i="2" s="1"/>
  <c r="EK31" i="2" a="1"/>
  <c r="EK31" i="2" s="1"/>
  <c r="GJ31" i="2" a="1"/>
  <c r="GJ31" i="2" s="1"/>
  <c r="EN31" i="2" a="1"/>
  <c r="EN31" i="2" s="1"/>
  <c r="DS31" i="2" a="1"/>
  <c r="DS31" i="2" s="1"/>
  <c r="DG31" i="2" a="1"/>
  <c r="DG31" i="2" s="1"/>
  <c r="DA31" i="2" a="1"/>
  <c r="DA31" i="2" s="1"/>
  <c r="DM31" i="2" a="1"/>
  <c r="DM31" i="2" s="1"/>
  <c r="EZ31" i="2" a="1"/>
  <c r="EZ31" i="2" s="1"/>
  <c r="CX31" i="2" a="1"/>
  <c r="CX31" i="2" s="1"/>
  <c r="CF31" i="2" a="1"/>
  <c r="CF31" i="2" s="1"/>
  <c r="DJ31" i="2" a="1"/>
  <c r="DJ31" i="2" s="1"/>
  <c r="CU31" i="2" a="1"/>
  <c r="CU31" i="2" s="1"/>
  <c r="DD31" i="2" a="1"/>
  <c r="DD31" i="2" s="1"/>
  <c r="CR31" i="2" a="1"/>
  <c r="CR31" i="2" s="1"/>
  <c r="CO31" i="2" a="1"/>
  <c r="CO31" i="2" s="1"/>
  <c r="BQ31" i="2" a="1"/>
  <c r="BQ31" i="2" s="1"/>
  <c r="BK31" i="2" a="1"/>
  <c r="BK31" i="2" s="1"/>
  <c r="CC31" i="2" a="1"/>
  <c r="CC31" i="2" s="1"/>
  <c r="BN31" i="2" a="1"/>
  <c r="BN31" i="2" s="1"/>
  <c r="BH31" i="2" a="1"/>
  <c r="BH31" i="2" s="1"/>
  <c r="CI31" i="2" a="1"/>
  <c r="CI31" i="2" s="1"/>
  <c r="AY31" i="2" a="1"/>
  <c r="AY31" i="2" s="1"/>
  <c r="JD23" i="2" a="1"/>
  <c r="JD23" i="2" s="1"/>
  <c r="JA23" i="2" a="1"/>
  <c r="JA23" i="2" s="1"/>
  <c r="O23" i="2" a="1"/>
  <c r="O23" i="2" s="1"/>
  <c r="IX23" i="2" a="1"/>
  <c r="IX23" i="2" s="1"/>
  <c r="IL23" i="2" a="1"/>
  <c r="IL23" i="2" s="1"/>
  <c r="IO23" i="2" a="1"/>
  <c r="IO23" i="2" s="1"/>
  <c r="IF23" i="2" a="1"/>
  <c r="IF23" i="2" s="1"/>
  <c r="IR23" i="2" a="1"/>
  <c r="IR23" i="2" s="1"/>
  <c r="HZ23" i="2" a="1"/>
  <c r="HZ23" i="2" s="1"/>
  <c r="HK23" i="2" a="1"/>
  <c r="HK23" i="2" s="1"/>
  <c r="HH23" i="2" a="1"/>
  <c r="HH23" i="2" s="1"/>
  <c r="II23" i="2" a="1"/>
  <c r="II23" i="2" s="1"/>
  <c r="GP23" i="2" a="1"/>
  <c r="GP23" i="2" s="1"/>
  <c r="HT23" i="2" a="1"/>
  <c r="HT23" i="2" s="1"/>
  <c r="HN23" i="2" a="1"/>
  <c r="HN23" i="2" s="1"/>
  <c r="IU23" i="2" a="1"/>
  <c r="IU23" i="2" s="1"/>
  <c r="GS23" i="2" a="1"/>
  <c r="GS23" i="2" s="1"/>
  <c r="HW23" i="2" a="1"/>
  <c r="HW23" i="2" s="1"/>
  <c r="HE23" i="2" a="1"/>
  <c r="HE23" i="2" s="1"/>
  <c r="GV23" i="2" a="1"/>
  <c r="GV23" i="2" s="1"/>
  <c r="GA23" i="2" a="1"/>
  <c r="GA23" i="2" s="1"/>
  <c r="HQ23" i="2" a="1"/>
  <c r="HQ23" i="2" s="1"/>
  <c r="GY23" i="2" a="1"/>
  <c r="GY23" i="2" s="1"/>
  <c r="FU23" i="2" a="1"/>
  <c r="FU23" i="2" s="1"/>
  <c r="GM23" i="2" a="1"/>
  <c r="GM23" i="2" s="1"/>
  <c r="GG23" i="2" a="1"/>
  <c r="GG23" i="2" s="1"/>
  <c r="FL23" i="2" a="1"/>
  <c r="FL23" i="2" s="1"/>
  <c r="GD23" i="2" a="1"/>
  <c r="GD23" i="2" s="1"/>
  <c r="FO23" i="2" a="1"/>
  <c r="FO23" i="2" s="1"/>
  <c r="FI23" i="2" a="1"/>
  <c r="FI23" i="2" s="1"/>
  <c r="HB23" i="2" a="1"/>
  <c r="HB23" i="2" s="1"/>
  <c r="GJ23" i="2" a="1"/>
  <c r="GJ23" i="2" s="1"/>
  <c r="FX23" i="2" a="1"/>
  <c r="FX23" i="2" s="1"/>
  <c r="FR23" i="2" a="1"/>
  <c r="FR23" i="2" s="1"/>
  <c r="FF23" i="2" a="1"/>
  <c r="FF23" i="2" s="1"/>
  <c r="EZ23" i="2" a="1"/>
  <c r="EZ23" i="2" s="1"/>
  <c r="EW23" i="2" a="1"/>
  <c r="EW23" i="2" s="1"/>
  <c r="EQ23" i="2" a="1"/>
  <c r="EQ23" i="2" s="1"/>
  <c r="EN23" i="2" a="1"/>
  <c r="EN23" i="2" s="1"/>
  <c r="EH23" i="2" a="1"/>
  <c r="EH23" i="2" s="1"/>
  <c r="EE23" i="2" a="1"/>
  <c r="EE23" i="2" s="1"/>
  <c r="EB23" i="2" a="1"/>
  <c r="EB23" i="2" s="1"/>
  <c r="DY23" i="2" a="1"/>
  <c r="DY23" i="2" s="1"/>
  <c r="ET23" i="2" a="1"/>
  <c r="ET23" i="2" s="1"/>
  <c r="DV23" i="2" a="1"/>
  <c r="DV23" i="2" s="1"/>
  <c r="IC23" i="2" a="1"/>
  <c r="IC23" i="2" s="1"/>
  <c r="DP23" i="2" a="1"/>
  <c r="DP23" i="2" s="1"/>
  <c r="FC23" i="2" a="1"/>
  <c r="FC23" i="2" s="1"/>
  <c r="DS23" i="2" a="1"/>
  <c r="DS23" i="2" s="1"/>
  <c r="DD23" i="2" a="1"/>
  <c r="DD23" i="2" s="1"/>
  <c r="CX23" i="2" a="1"/>
  <c r="CX23" i="2" s="1"/>
  <c r="DM23" i="2" a="1"/>
  <c r="DM23" i="2" s="1"/>
  <c r="CO23" i="2" a="1"/>
  <c r="CO23" i="2" s="1"/>
  <c r="EK23" i="2" a="1"/>
  <c r="EK23" i="2" s="1"/>
  <c r="CR23" i="2" a="1"/>
  <c r="CR23" i="2" s="1"/>
  <c r="DG23" i="2" a="1"/>
  <c r="DG23" i="2" s="1"/>
  <c r="BZ23" i="2" a="1"/>
  <c r="BZ23" i="2" s="1"/>
  <c r="CF23" i="2" a="1"/>
  <c r="CF23" i="2" s="1"/>
  <c r="DA23" i="2" a="1"/>
  <c r="DA23" i="2" s="1"/>
  <c r="BW23" i="2" a="1"/>
  <c r="BW23" i="2" s="1"/>
  <c r="AM23" i="2" a="1"/>
  <c r="AM23" i="2" s="1"/>
  <c r="AG23" i="2" a="1"/>
  <c r="AG23" i="2" s="1"/>
  <c r="AA23" i="2" a="1"/>
  <c r="AA23" i="2" s="1"/>
  <c r="DJ23" i="2" a="1"/>
  <c r="DJ23" i="2" s="1"/>
  <c r="BN23" i="2" a="1"/>
  <c r="BN23" i="2" s="1"/>
  <c r="BB23" i="2" a="1"/>
  <c r="BB23" i="2" s="1"/>
  <c r="AV23" i="2" a="1"/>
  <c r="AV23" i="2" s="1"/>
  <c r="AP23" i="2" a="1"/>
  <c r="AP23" i="2" s="1"/>
  <c r="AJ23" i="2" a="1"/>
  <c r="AJ23" i="2" s="1"/>
  <c r="BT23" i="2" a="1"/>
  <c r="BT23" i="2" s="1"/>
  <c r="AY23" i="2" a="1"/>
  <c r="AY23" i="2" s="1"/>
  <c r="JD15" i="2" a="1"/>
  <c r="JD15" i="2" s="1"/>
  <c r="IR15" i="2" a="1"/>
  <c r="IR15" i="2" s="1"/>
  <c r="JA15" i="2" a="1"/>
  <c r="JA15" i="2" s="1"/>
  <c r="IO15" i="2" a="1"/>
  <c r="IO15" i="2" s="1"/>
  <c r="IX15" i="2" a="1"/>
  <c r="IX15" i="2" s="1"/>
  <c r="IL15" i="2" a="1"/>
  <c r="IL15" i="2" s="1"/>
  <c r="IU15" i="2" a="1"/>
  <c r="IU15" i="2" s="1"/>
  <c r="II15" i="2" a="1"/>
  <c r="II15" i="2" s="1"/>
  <c r="IF15" i="2" a="1"/>
  <c r="IF15" i="2" s="1"/>
  <c r="IC15" i="2" a="1"/>
  <c r="IC15" i="2" s="1"/>
  <c r="HT15" i="2" a="1"/>
  <c r="HT15" i="2" s="1"/>
  <c r="HQ15" i="2" a="1"/>
  <c r="HQ15" i="2" s="1"/>
  <c r="HK15" i="2" a="1"/>
  <c r="HK15" i="2" s="1"/>
  <c r="HH15" i="2" a="1"/>
  <c r="HH15" i="2" s="1"/>
  <c r="GP15" i="2" a="1"/>
  <c r="GP15" i="2" s="1"/>
  <c r="HW15" i="2" a="1"/>
  <c r="HW15" i="2" s="1"/>
  <c r="GS15" i="2" a="1"/>
  <c r="GS15" i="2" s="1"/>
  <c r="HN15" i="2" a="1"/>
  <c r="HN15" i="2" s="1"/>
  <c r="GY15" i="2" a="1"/>
  <c r="GY15" i="2" s="1"/>
  <c r="HZ15" i="2" a="1"/>
  <c r="HZ15" i="2" s="1"/>
  <c r="FO15" i="2" a="1"/>
  <c r="FO15" i="2" s="1"/>
  <c r="HB15" i="2" a="1"/>
  <c r="HB15" i="2" s="1"/>
  <c r="GJ15" i="2" a="1"/>
  <c r="GJ15" i="2" s="1"/>
  <c r="GA15" i="2" a="1"/>
  <c r="GA15" i="2" s="1"/>
  <c r="FU15" i="2" a="1"/>
  <c r="FU15" i="2" s="1"/>
  <c r="GV15" i="2" a="1"/>
  <c r="GV15" i="2" s="1"/>
  <c r="FR15" i="2" a="1"/>
  <c r="FR15" i="2" s="1"/>
  <c r="FX15" i="2" a="1"/>
  <c r="FX15" i="2" s="1"/>
  <c r="FL15" i="2" a="1"/>
  <c r="FL15" i="2" s="1"/>
  <c r="GG15" i="2" a="1"/>
  <c r="GG15" i="2" s="1"/>
  <c r="HE15" i="2" a="1"/>
  <c r="HE15" i="2" s="1"/>
  <c r="FI15" i="2" a="1"/>
  <c r="FI15" i="2" s="1"/>
  <c r="GD15" i="2" a="1"/>
  <c r="GD15" i="2" s="1"/>
  <c r="EW15" i="2" a="1"/>
  <c r="EW15" i="2" s="1"/>
  <c r="EN15" i="2" a="1"/>
  <c r="EN15" i="2" s="1"/>
  <c r="EH15" i="2" a="1"/>
  <c r="EH15" i="2" s="1"/>
  <c r="EE15" i="2" a="1"/>
  <c r="EE15" i="2" s="1"/>
  <c r="EB15" i="2" a="1"/>
  <c r="EB15" i="2" s="1"/>
  <c r="DY15" i="2" a="1"/>
  <c r="DY15" i="2" s="1"/>
  <c r="DV15" i="2" a="1"/>
  <c r="DV15" i="2" s="1"/>
  <c r="ET15" i="2" a="1"/>
  <c r="ET15" i="2" s="1"/>
  <c r="EQ15" i="2" a="1"/>
  <c r="EQ15" i="2" s="1"/>
  <c r="GM15" i="2" a="1"/>
  <c r="GM15" i="2" s="1"/>
  <c r="FF15" i="2" a="1"/>
  <c r="FF15" i="2" s="1"/>
  <c r="EK15" i="2" a="1"/>
  <c r="EK15" i="2" s="1"/>
  <c r="DS15" i="2" a="1"/>
  <c r="DS15" i="2" s="1"/>
  <c r="DD15" i="2" a="1"/>
  <c r="DD15" i="2" s="1"/>
  <c r="CX15" i="2" a="1"/>
  <c r="CX15" i="2" s="1"/>
  <c r="EZ15" i="2" a="1"/>
  <c r="EZ15" i="2" s="1"/>
  <c r="DM15" i="2" a="1"/>
  <c r="DM15" i="2" s="1"/>
  <c r="FC15" i="2" a="1"/>
  <c r="FC15" i="2" s="1"/>
  <c r="DP15" i="2" a="1"/>
  <c r="DP15" i="2" s="1"/>
  <c r="DJ15" i="2" a="1"/>
  <c r="DJ15" i="2" s="1"/>
  <c r="DA15" i="2" a="1"/>
  <c r="DA15" i="2" s="1"/>
  <c r="DG15" i="2" a="1"/>
  <c r="DG15" i="2" s="1"/>
  <c r="CF15" i="2" a="1"/>
  <c r="CF15" i="2" s="1"/>
  <c r="CO15" i="2" a="1"/>
  <c r="CO15" i="2" s="1"/>
  <c r="CI15" i="2" a="1"/>
  <c r="CI15" i="2" s="1"/>
  <c r="CC15" i="2" a="1"/>
  <c r="CC15" i="2" s="1"/>
  <c r="BW15" i="2" a="1"/>
  <c r="BW15" i="2" s="1"/>
  <c r="CU15" i="2" a="1"/>
  <c r="CU15" i="2" s="1"/>
  <c r="BZ15" i="2" a="1"/>
  <c r="BZ15" i="2" s="1"/>
  <c r="BH15" i="2" a="1"/>
  <c r="BH15" i="2" s="1"/>
  <c r="X15" i="2" a="1"/>
  <c r="X15" i="2" s="1"/>
  <c r="BQ15" i="2" a="1"/>
  <c r="BQ15" i="2" s="1"/>
  <c r="BN15" i="2" a="1"/>
  <c r="BN15" i="2" s="1"/>
  <c r="BT15" i="2" a="1"/>
  <c r="BT15" i="2" s="1"/>
  <c r="AY15" i="2" a="1"/>
  <c r="AY15" i="2" s="1"/>
  <c r="IR7" i="2" a="1"/>
  <c r="IR7" i="2" s="1"/>
  <c r="JA7" i="2" a="1"/>
  <c r="JA7" i="2" s="1"/>
  <c r="IO7" i="2" a="1"/>
  <c r="IO7" i="2" s="1"/>
  <c r="IX7" i="2" a="1"/>
  <c r="IX7" i="2" s="1"/>
  <c r="IL7" i="2" a="1"/>
  <c r="IL7" i="2" s="1"/>
  <c r="IC7" i="2" a="1"/>
  <c r="IC7" i="2" s="1"/>
  <c r="IF7" i="2" a="1"/>
  <c r="IF7" i="2" s="1"/>
  <c r="JD7" i="2" a="1"/>
  <c r="JD7" i="2" s="1"/>
  <c r="HW7" i="2" a="1"/>
  <c r="HW7" i="2" s="1"/>
  <c r="HN7" i="2" a="1"/>
  <c r="HN7" i="2" s="1"/>
  <c r="II7" i="2" a="1"/>
  <c r="II7" i="2" s="1"/>
  <c r="HK7" i="2" a="1"/>
  <c r="HK7" i="2" s="1"/>
  <c r="HH7" i="2" a="1"/>
  <c r="HH7" i="2" s="1"/>
  <c r="HZ7" i="2" a="1"/>
  <c r="HZ7" i="2" s="1"/>
  <c r="HQ7" i="2" a="1"/>
  <c r="HQ7" i="2" s="1"/>
  <c r="GS7" i="2" a="1"/>
  <c r="GS7" i="2" s="1"/>
  <c r="GP7" i="2" a="1"/>
  <c r="GP7" i="2" s="1"/>
  <c r="HB7" i="2" a="1"/>
  <c r="HB7" i="2" s="1"/>
  <c r="IU7" i="2" a="1"/>
  <c r="IU7" i="2" s="1"/>
  <c r="FX7" i="2" a="1"/>
  <c r="FX7" i="2" s="1"/>
  <c r="FL7" i="2" a="1"/>
  <c r="FL7" i="2" s="1"/>
  <c r="HE7" i="2" a="1"/>
  <c r="HE7" i="2" s="1"/>
  <c r="HT7" i="2" a="1"/>
  <c r="HT7" i="2" s="1"/>
  <c r="GV7" i="2" a="1"/>
  <c r="GV7" i="2" s="1"/>
  <c r="FO7" i="2" a="1"/>
  <c r="FO7" i="2" s="1"/>
  <c r="GM7" i="2" a="1"/>
  <c r="GM7" i="2" s="1"/>
  <c r="GG7" i="2" a="1"/>
  <c r="GG7" i="2" s="1"/>
  <c r="GA7" i="2" a="1"/>
  <c r="GA7" i="2" s="1"/>
  <c r="FU7" i="2" a="1"/>
  <c r="FU7" i="2" s="1"/>
  <c r="GD7" i="2" a="1"/>
  <c r="GD7" i="2" s="1"/>
  <c r="GY7" i="2" a="1"/>
  <c r="GY7" i="2" s="1"/>
  <c r="EZ7" i="2" a="1"/>
  <c r="EZ7" i="2" s="1"/>
  <c r="EK7" i="2" a="1"/>
  <c r="EK7" i="2" s="1"/>
  <c r="EW7" i="2" a="1"/>
  <c r="EW7" i="2" s="1"/>
  <c r="EN7" i="2" a="1"/>
  <c r="EN7" i="2" s="1"/>
  <c r="EH7" i="2" a="1"/>
  <c r="EH7" i="2" s="1"/>
  <c r="EE7" i="2" a="1"/>
  <c r="EE7" i="2" s="1"/>
  <c r="EB7" i="2" a="1"/>
  <c r="EB7" i="2" s="1"/>
  <c r="DY7" i="2" a="1"/>
  <c r="DY7" i="2" s="1"/>
  <c r="FR7" i="2" a="1"/>
  <c r="FR7" i="2" s="1"/>
  <c r="FF7" i="2" a="1"/>
  <c r="FF7" i="2" s="1"/>
  <c r="EQ7" i="2" a="1"/>
  <c r="EQ7" i="2" s="1"/>
  <c r="GJ7" i="2" a="1"/>
  <c r="GJ7" i="2" s="1"/>
  <c r="FC7" i="2" a="1"/>
  <c r="FC7" i="2" s="1"/>
  <c r="FI7" i="2" a="1"/>
  <c r="FI7" i="2" s="1"/>
  <c r="DS7" i="2" a="1"/>
  <c r="DS7" i="2" s="1"/>
  <c r="ET7" i="2" a="1"/>
  <c r="ET7" i="2" s="1"/>
  <c r="DG7" i="2" a="1"/>
  <c r="DG7" i="2" s="1"/>
  <c r="DA7" i="2" a="1"/>
  <c r="DA7" i="2" s="1"/>
  <c r="DV7" i="2" a="1"/>
  <c r="DV7" i="2" s="1"/>
  <c r="DP7" i="2" a="1"/>
  <c r="DP7" i="2" s="1"/>
  <c r="DD7" i="2" a="1"/>
  <c r="DD7" i="2" s="1"/>
  <c r="CR7" i="2" a="1"/>
  <c r="CR7" i="2" s="1"/>
  <c r="DJ7" i="2" a="1"/>
  <c r="DJ7" i="2" s="1"/>
  <c r="CO7" i="2" a="1"/>
  <c r="CO7" i="2" s="1"/>
  <c r="DM7" i="2" a="1"/>
  <c r="DM7" i="2" s="1"/>
  <c r="BT7" i="2" a="1"/>
  <c r="BT7" i="2" s="1"/>
  <c r="CC7" i="2" a="1"/>
  <c r="CC7" i="2" s="1"/>
  <c r="CX7" i="2" a="1"/>
  <c r="CX7" i="2" s="1"/>
  <c r="BK7" i="2" a="1"/>
  <c r="BK7" i="2" s="1"/>
  <c r="BB7" i="2" a="1"/>
  <c r="BB7" i="2" s="1"/>
  <c r="AV7" i="2" a="1"/>
  <c r="AV7" i="2" s="1"/>
  <c r="AP7" i="2" a="1"/>
  <c r="AP7" i="2" s="1"/>
  <c r="AJ7" i="2" a="1"/>
  <c r="AJ7" i="2" s="1"/>
  <c r="AA7" i="2" a="1"/>
  <c r="AA7" i="2" s="1"/>
  <c r="BW7" i="2" a="1"/>
  <c r="BW7" i="2" s="1"/>
  <c r="AM7" i="2" a="1"/>
  <c r="AM7" i="2" s="1"/>
  <c r="AG7" i="2" a="1"/>
  <c r="AG7" i="2" s="1"/>
  <c r="BN7" i="2" a="1"/>
  <c r="BN7" i="2" s="1"/>
  <c r="AY7" i="2" a="1"/>
  <c r="AY7" i="2" s="1"/>
  <c r="I71" i="2" a="1"/>
  <c r="I71" i="2" s="1"/>
  <c r="I62" i="2" a="1"/>
  <c r="I62" i="2" s="1"/>
  <c r="L71" i="2" a="1"/>
  <c r="L71" i="2" s="1"/>
  <c r="L62" i="2" a="1"/>
  <c r="L62" i="2" s="1"/>
  <c r="L48" i="2" a="1"/>
  <c r="L48" i="2" s="1"/>
  <c r="L39" i="2" a="1"/>
  <c r="L39" i="2" s="1"/>
  <c r="L16" i="2" a="1"/>
  <c r="L16" i="2" s="1"/>
  <c r="R64" i="2" a="1"/>
  <c r="R64" i="2" s="1"/>
  <c r="R55" i="2" a="1"/>
  <c r="R55" i="2" s="1"/>
  <c r="R46" i="2" a="1"/>
  <c r="R46" i="2" s="1"/>
  <c r="U72" i="2" a="1"/>
  <c r="U72" i="2" s="1"/>
  <c r="U68" i="2" a="1"/>
  <c r="U68" i="2" s="1"/>
  <c r="U64" i="2" a="1"/>
  <c r="U64" i="2" s="1"/>
  <c r="U60" i="2" a="1"/>
  <c r="U60" i="2" s="1"/>
  <c r="U56" i="2" a="1"/>
  <c r="U56" i="2" s="1"/>
  <c r="U52" i="2" a="1"/>
  <c r="U52" i="2" s="1"/>
  <c r="U48" i="2" a="1"/>
  <c r="U48" i="2" s="1"/>
  <c r="U44" i="2" a="1"/>
  <c r="U44" i="2" s="1"/>
  <c r="U40" i="2" a="1"/>
  <c r="U40" i="2" s="1"/>
  <c r="U36" i="2" a="1"/>
  <c r="U36" i="2" s="1"/>
  <c r="U32" i="2" a="1"/>
  <c r="U32" i="2" s="1"/>
  <c r="U28" i="2" a="1"/>
  <c r="U28" i="2" s="1"/>
  <c r="U24" i="2" a="1"/>
  <c r="U24" i="2" s="1"/>
  <c r="U20" i="2" a="1"/>
  <c r="U20" i="2" s="1"/>
  <c r="U16" i="2" a="1"/>
  <c r="U16" i="2" s="1"/>
  <c r="U12" i="2" a="1"/>
  <c r="U12" i="2" s="1"/>
  <c r="U8" i="2" a="1"/>
  <c r="U8" i="2" s="1"/>
  <c r="U4" i="2" a="1"/>
  <c r="U4" i="2" s="1"/>
  <c r="X40" i="2" a="1"/>
  <c r="X40" i="2" s="1"/>
  <c r="X35" i="2" a="1"/>
  <c r="X35" i="2" s="1"/>
  <c r="X28" i="2" a="1"/>
  <c r="X28" i="2" s="1"/>
  <c r="X4" i="2" a="1"/>
  <c r="X4" i="2" s="1"/>
  <c r="AA68" i="2" a="1"/>
  <c r="AA68" i="2" s="1"/>
  <c r="AA60" i="2" a="1"/>
  <c r="AA60" i="2" s="1"/>
  <c r="AD63" i="2" a="1"/>
  <c r="AD63" i="2" s="1"/>
  <c r="AD38" i="2" a="1"/>
  <c r="AD38" i="2" s="1"/>
  <c r="AD28" i="2" a="1"/>
  <c r="AD28" i="2" s="1"/>
  <c r="AD20" i="2" a="1"/>
  <c r="AD20" i="2" s="1"/>
  <c r="AG67" i="2" a="1"/>
  <c r="AG67" i="2" s="1"/>
  <c r="AG59" i="2" a="1"/>
  <c r="AG59" i="2" s="1"/>
  <c r="AG52" i="2" a="1"/>
  <c r="AG52" i="2" s="1"/>
  <c r="AG38" i="2" a="1"/>
  <c r="AG38" i="2" s="1"/>
  <c r="AG8" i="2" a="1"/>
  <c r="AG8" i="2" s="1"/>
  <c r="AJ72" i="2" a="1"/>
  <c r="AJ72" i="2" s="1"/>
  <c r="AJ28" i="2" a="1"/>
  <c r="AJ28" i="2" s="1"/>
  <c r="AJ20" i="2" a="1"/>
  <c r="AJ20" i="2" s="1"/>
  <c r="AJ6" i="2" a="1"/>
  <c r="AJ6" i="2" s="1"/>
  <c r="AM70" i="2" a="1"/>
  <c r="AM70" i="2" s="1"/>
  <c r="AM40" i="2" a="1"/>
  <c r="AM40" i="2" s="1"/>
  <c r="AM11" i="2" a="1"/>
  <c r="AM11" i="2" s="1"/>
  <c r="AP60" i="2" a="1"/>
  <c r="AP60" i="2" s="1"/>
  <c r="AP52" i="2" a="1"/>
  <c r="AP52" i="2" s="1"/>
  <c r="AP38" i="2" a="1"/>
  <c r="AP38" i="2" s="1"/>
  <c r="AP31" i="2" a="1"/>
  <c r="AP31" i="2" s="1"/>
  <c r="AS60" i="2" a="1"/>
  <c r="AS60" i="2" s="1"/>
  <c r="AS47" i="2" a="1"/>
  <c r="AS47" i="2" s="1"/>
  <c r="AS28" i="2" a="1"/>
  <c r="AS28" i="2" s="1"/>
  <c r="AS15" i="2" a="1"/>
  <c r="AS15" i="2" s="1"/>
  <c r="AV72" i="2" a="1"/>
  <c r="AV72" i="2" s="1"/>
  <c r="AV24" i="2" a="1"/>
  <c r="AV24" i="2" s="1"/>
  <c r="BB70" i="2" a="1"/>
  <c r="BB70" i="2" s="1"/>
  <c r="BB24" i="2" a="1"/>
  <c r="BB24" i="2" s="1"/>
  <c r="BB15" i="2" a="1"/>
  <c r="BB15" i="2" s="1"/>
  <c r="BB6" i="2" a="1"/>
  <c r="BB6" i="2" s="1"/>
  <c r="BH55" i="2" a="1"/>
  <c r="BH55" i="2" s="1"/>
  <c r="BH46" i="2" a="1"/>
  <c r="BH46" i="2" s="1"/>
  <c r="BK20" i="2" a="1"/>
  <c r="BK20" i="2" s="1"/>
  <c r="BN32" i="2" a="1"/>
  <c r="BN32" i="2" s="1"/>
  <c r="BN16" i="2" a="1"/>
  <c r="BN16" i="2" s="1"/>
  <c r="BQ60" i="2" a="1"/>
  <c r="BQ60" i="2" s="1"/>
  <c r="BQ51" i="2" a="1"/>
  <c r="BQ51" i="2" s="1"/>
  <c r="BT60" i="2" a="1"/>
  <c r="BT60" i="2" s="1"/>
  <c r="BT46" i="2" a="1"/>
  <c r="BT46" i="2" s="1"/>
  <c r="BT31" i="2" a="1"/>
  <c r="BT31" i="2" s="1"/>
  <c r="BW71" i="2" a="1"/>
  <c r="BW71" i="2" s="1"/>
  <c r="BW51" i="2" a="1"/>
  <c r="BW51" i="2" s="1"/>
  <c r="BW31" i="2" a="1"/>
  <c r="BW31" i="2" s="1"/>
  <c r="BZ35" i="2" a="1"/>
  <c r="BZ35" i="2" s="1"/>
  <c r="BZ6" i="2" a="1"/>
  <c r="BZ6" i="2" s="1"/>
  <c r="CC47" i="2" a="1"/>
  <c r="CC47" i="2" s="1"/>
  <c r="CF71" i="2" a="1"/>
  <c r="CF71" i="2" s="1"/>
  <c r="CF52" i="2" a="1"/>
  <c r="CF52" i="2" s="1"/>
  <c r="CL40" i="2" a="1"/>
  <c r="CL40" i="2" s="1"/>
  <c r="CL23" i="2" a="1"/>
  <c r="CL23" i="2" s="1"/>
  <c r="CO19" i="2" a="1"/>
  <c r="CO19" i="2" s="1"/>
  <c r="CR67" i="2" a="1"/>
  <c r="CR67" i="2" s="1"/>
  <c r="CR44" i="2" a="1"/>
  <c r="CR44" i="2" s="1"/>
  <c r="CR19" i="2" a="1"/>
  <c r="CR19" i="2" s="1"/>
  <c r="CU68" i="2" a="1"/>
  <c r="CU68" i="2" s="1"/>
  <c r="CU27" i="2" a="1"/>
  <c r="CU27" i="2" s="1"/>
  <c r="CU7" i="2" a="1"/>
  <c r="CU7" i="2" s="1"/>
  <c r="DG67" i="2" a="1"/>
  <c r="DG67" i="2" s="1"/>
  <c r="DM71" i="2" a="1"/>
  <c r="DM71" i="2" s="1"/>
  <c r="DV4" i="2" a="1"/>
  <c r="DV4" i="2" s="1"/>
  <c r="IX48" i="2" a="1"/>
  <c r="IX48" i="2" s="1"/>
  <c r="O48" i="2" a="1"/>
  <c r="O48" i="2" s="1"/>
  <c r="IL48" i="2" a="1"/>
  <c r="IL48" i="2" s="1"/>
  <c r="IU48" i="2" a="1"/>
  <c r="IU48" i="2" s="1"/>
  <c r="JD48" i="2" a="1"/>
  <c r="JD48" i="2" s="1"/>
  <c r="IO48" i="2" a="1"/>
  <c r="IO48" i="2" s="1"/>
  <c r="II48" i="2" a="1"/>
  <c r="II48" i="2" s="1"/>
  <c r="IR48" i="2" a="1"/>
  <c r="IR48" i="2" s="1"/>
  <c r="HZ48" i="2" a="1"/>
  <c r="HZ48" i="2" s="1"/>
  <c r="HK48" i="2" a="1"/>
  <c r="HK48" i="2" s="1"/>
  <c r="HH48" i="2" a="1"/>
  <c r="HH48" i="2" s="1"/>
  <c r="GV48" i="2" a="1"/>
  <c r="GV48" i="2" s="1"/>
  <c r="JA48" i="2" a="1"/>
  <c r="JA48" i="2" s="1"/>
  <c r="HT48" i="2" a="1"/>
  <c r="HT48" i="2" s="1"/>
  <c r="HN48" i="2" a="1"/>
  <c r="HN48" i="2" s="1"/>
  <c r="IF48" i="2" a="1"/>
  <c r="IF48" i="2" s="1"/>
  <c r="HE48" i="2" a="1"/>
  <c r="HE48" i="2" s="1"/>
  <c r="GM48" i="2" a="1"/>
  <c r="GM48" i="2" s="1"/>
  <c r="HW48" i="2" a="1"/>
  <c r="HW48" i="2" s="1"/>
  <c r="GS48" i="2" a="1"/>
  <c r="GS48" i="2" s="1"/>
  <c r="GP48" i="2" a="1"/>
  <c r="GP48" i="2" s="1"/>
  <c r="FX48" i="2" a="1"/>
  <c r="FX48" i="2" s="1"/>
  <c r="GY48" i="2" a="1"/>
  <c r="GY48" i="2" s="1"/>
  <c r="GA48" i="2" a="1"/>
  <c r="GA48" i="2" s="1"/>
  <c r="FO48" i="2" a="1"/>
  <c r="FO48" i="2" s="1"/>
  <c r="GD48" i="2" a="1"/>
  <c r="GD48" i="2" s="1"/>
  <c r="FL48" i="2" a="1"/>
  <c r="FL48" i="2" s="1"/>
  <c r="FR48" i="2" a="1"/>
  <c r="FR48" i="2" s="1"/>
  <c r="FF48" i="2" a="1"/>
  <c r="FF48" i="2" s="1"/>
  <c r="IC48" i="2" a="1"/>
  <c r="IC48" i="2" s="1"/>
  <c r="GG48" i="2" a="1"/>
  <c r="GG48" i="2" s="1"/>
  <c r="FU48" i="2" a="1"/>
  <c r="FU48" i="2" s="1"/>
  <c r="FC48" i="2" a="1"/>
  <c r="FC48" i="2" s="1"/>
  <c r="EW48" i="2" a="1"/>
  <c r="EW48" i="2" s="1"/>
  <c r="EH48" i="2" a="1"/>
  <c r="EH48" i="2" s="1"/>
  <c r="ET48" i="2" a="1"/>
  <c r="ET48" i="2" s="1"/>
  <c r="DV48" i="2" a="1"/>
  <c r="DV48" i="2" s="1"/>
  <c r="FI48" i="2" a="1"/>
  <c r="FI48" i="2" s="1"/>
  <c r="GJ48" i="2" a="1"/>
  <c r="GJ48" i="2" s="1"/>
  <c r="EZ48" i="2" a="1"/>
  <c r="EZ48" i="2" s="1"/>
  <c r="EK48" i="2" a="1"/>
  <c r="EK48" i="2" s="1"/>
  <c r="DS48" i="2" a="1"/>
  <c r="DS48" i="2" s="1"/>
  <c r="HB48" i="2" a="1"/>
  <c r="HB48" i="2" s="1"/>
  <c r="EE48" i="2" a="1"/>
  <c r="EE48" i="2" s="1"/>
  <c r="DG48" i="2" a="1"/>
  <c r="DG48" i="2" s="1"/>
  <c r="DA48" i="2" a="1"/>
  <c r="DA48" i="2" s="1"/>
  <c r="HQ48" i="2" a="1"/>
  <c r="HQ48" i="2" s="1"/>
  <c r="EN48" i="2" a="1"/>
  <c r="EN48" i="2" s="1"/>
  <c r="DY48" i="2" a="1"/>
  <c r="DY48" i="2" s="1"/>
  <c r="DJ48" i="2" a="1"/>
  <c r="DJ48" i="2" s="1"/>
  <c r="DD48" i="2" a="1"/>
  <c r="DD48" i="2" s="1"/>
  <c r="CX48" i="2" a="1"/>
  <c r="CX48" i="2" s="1"/>
  <c r="CR48" i="2" a="1"/>
  <c r="CR48" i="2" s="1"/>
  <c r="CO48" i="2" a="1"/>
  <c r="CO48" i="2" s="1"/>
  <c r="EQ48" i="2" a="1"/>
  <c r="EQ48" i="2" s="1"/>
  <c r="CL48" i="2" a="1"/>
  <c r="CL48" i="2" s="1"/>
  <c r="CC48" i="2" a="1"/>
  <c r="CC48" i="2" s="1"/>
  <c r="BT48" i="2" a="1"/>
  <c r="BT48" i="2" s="1"/>
  <c r="BB48" i="2" a="1"/>
  <c r="BB48" i="2" s="1"/>
  <c r="AP48" i="2" a="1"/>
  <c r="AP48" i="2" s="1"/>
  <c r="AJ48" i="2" a="1"/>
  <c r="AJ48" i="2" s="1"/>
  <c r="BQ48" i="2" a="1"/>
  <c r="BQ48" i="2" s="1"/>
  <c r="BZ48" i="2" a="1"/>
  <c r="BZ48" i="2" s="1"/>
  <c r="BW48" i="2" a="1"/>
  <c r="BW48" i="2" s="1"/>
  <c r="AV48" i="2" a="1"/>
  <c r="AV48" i="2" s="1"/>
  <c r="AM48" i="2" a="1"/>
  <c r="AM48" i="2" s="1"/>
  <c r="AG48" i="2" a="1"/>
  <c r="AG48" i="2" s="1"/>
  <c r="BN48" i="2" a="1"/>
  <c r="BN48" i="2" s="1"/>
  <c r="BK48" i="2" a="1"/>
  <c r="BK48" i="2" s="1"/>
  <c r="BE48" i="2" a="1"/>
  <c r="BE48" i="2" s="1"/>
  <c r="O24" i="2" a="1"/>
  <c r="O24" i="2" s="1"/>
  <c r="IX24" i="2" a="1"/>
  <c r="IX24" i="2" s="1"/>
  <c r="IU24" i="2" a="1"/>
  <c r="IU24" i="2" s="1"/>
  <c r="II24" i="2" a="1"/>
  <c r="II24" i="2" s="1"/>
  <c r="JA24" i="2" a="1"/>
  <c r="JA24" i="2" s="1"/>
  <c r="JD24" i="2" a="1"/>
  <c r="JD24" i="2" s="1"/>
  <c r="IR24" i="2" a="1"/>
  <c r="IR24" i="2" s="1"/>
  <c r="HZ24" i="2" a="1"/>
  <c r="HZ24" i="2" s="1"/>
  <c r="HK24" i="2" a="1"/>
  <c r="HK24" i="2" s="1"/>
  <c r="HH24" i="2" a="1"/>
  <c r="HH24" i="2" s="1"/>
  <c r="HT24" i="2" a="1"/>
  <c r="HT24" i="2" s="1"/>
  <c r="HN24" i="2" a="1"/>
  <c r="HN24" i="2" s="1"/>
  <c r="IL24" i="2" a="1"/>
  <c r="IL24" i="2" s="1"/>
  <c r="GV24" i="2" a="1"/>
  <c r="GV24" i="2" s="1"/>
  <c r="GS24" i="2" a="1"/>
  <c r="GS24" i="2" s="1"/>
  <c r="IO24" i="2" a="1"/>
  <c r="IO24" i="2" s="1"/>
  <c r="HE24" i="2" a="1"/>
  <c r="HE24" i="2" s="1"/>
  <c r="IF24" i="2" a="1"/>
  <c r="IF24" i="2" s="1"/>
  <c r="HQ24" i="2" a="1"/>
  <c r="HQ24" i="2" s="1"/>
  <c r="GY24" i="2" a="1"/>
  <c r="GY24" i="2" s="1"/>
  <c r="GM24" i="2" a="1"/>
  <c r="GM24" i="2" s="1"/>
  <c r="GG24" i="2" a="1"/>
  <c r="GG24" i="2" s="1"/>
  <c r="GD24" i="2" a="1"/>
  <c r="GD24" i="2" s="1"/>
  <c r="FL24" i="2" a="1"/>
  <c r="FL24" i="2" s="1"/>
  <c r="IC24" i="2" a="1"/>
  <c r="IC24" i="2" s="1"/>
  <c r="GP24" i="2" a="1"/>
  <c r="GP24" i="2" s="1"/>
  <c r="FR24" i="2" a="1"/>
  <c r="FR24" i="2" s="1"/>
  <c r="GJ24" i="2" a="1"/>
  <c r="GJ24" i="2" s="1"/>
  <c r="HB24" i="2" a="1"/>
  <c r="HB24" i="2" s="1"/>
  <c r="FX24" i="2" a="1"/>
  <c r="FX24" i="2" s="1"/>
  <c r="FC24" i="2" a="1"/>
  <c r="FC24" i="2" s="1"/>
  <c r="EZ24" i="2" a="1"/>
  <c r="EZ24" i="2" s="1"/>
  <c r="HW24" i="2" a="1"/>
  <c r="HW24" i="2" s="1"/>
  <c r="EW24" i="2" a="1"/>
  <c r="EW24" i="2" s="1"/>
  <c r="EQ24" i="2" a="1"/>
  <c r="EQ24" i="2" s="1"/>
  <c r="EH24" i="2" a="1"/>
  <c r="EH24" i="2" s="1"/>
  <c r="FO24" i="2" a="1"/>
  <c r="FO24" i="2" s="1"/>
  <c r="ET24" i="2" a="1"/>
  <c r="ET24" i="2" s="1"/>
  <c r="DV24" i="2" a="1"/>
  <c r="DV24" i="2" s="1"/>
  <c r="GA24" i="2" a="1"/>
  <c r="GA24" i="2" s="1"/>
  <c r="FU24" i="2" a="1"/>
  <c r="FU24" i="2" s="1"/>
  <c r="FF24" i="2" a="1"/>
  <c r="FF24" i="2" s="1"/>
  <c r="EE24" i="2" a="1"/>
  <c r="EE24" i="2" s="1"/>
  <c r="DS24" i="2" a="1"/>
  <c r="DS24" i="2" s="1"/>
  <c r="DJ24" i="2" a="1"/>
  <c r="DJ24" i="2" s="1"/>
  <c r="DY24" i="2" a="1"/>
  <c r="DY24" i="2" s="1"/>
  <c r="FI24" i="2" a="1"/>
  <c r="FI24" i="2" s="1"/>
  <c r="EK24" i="2" a="1"/>
  <c r="EK24" i="2" s="1"/>
  <c r="DD24" i="2" a="1"/>
  <c r="DD24" i="2" s="1"/>
  <c r="CX24" i="2" a="1"/>
  <c r="CX24" i="2" s="1"/>
  <c r="EB24" i="2" a="1"/>
  <c r="EB24" i="2" s="1"/>
  <c r="DA24" i="2" a="1"/>
  <c r="DA24" i="2" s="1"/>
  <c r="DM24" i="2" a="1"/>
  <c r="DM24" i="2" s="1"/>
  <c r="EN24" i="2" a="1"/>
  <c r="EN24" i="2" s="1"/>
  <c r="DG24" i="2" a="1"/>
  <c r="DG24" i="2" s="1"/>
  <c r="CI24" i="2" a="1"/>
  <c r="CI24" i="2" s="1"/>
  <c r="CF24" i="2" a="1"/>
  <c r="CF24" i="2" s="1"/>
  <c r="BQ24" i="2" a="1"/>
  <c r="BQ24" i="2" s="1"/>
  <c r="CO24" i="2" a="1"/>
  <c r="CO24" i="2" s="1"/>
  <c r="BH24" i="2" a="1"/>
  <c r="BH24" i="2" s="1"/>
  <c r="X24" i="2" a="1"/>
  <c r="X24" i="2" s="1"/>
  <c r="CR24" i="2" a="1"/>
  <c r="CR24" i="2" s="1"/>
  <c r="BW24" i="2" a="1"/>
  <c r="BW24" i="2" s="1"/>
  <c r="AD24" i="2" a="1"/>
  <c r="AD24" i="2" s="1"/>
  <c r="CU24" i="2" a="1"/>
  <c r="CU24" i="2" s="1"/>
  <c r="CC24" i="2" a="1"/>
  <c r="CC24" i="2" s="1"/>
  <c r="BK24" i="2" a="1"/>
  <c r="BK24" i="2" s="1"/>
  <c r="BE24" i="2" a="1"/>
  <c r="BE24" i="2" s="1"/>
  <c r="JA70" i="2" a="1"/>
  <c r="JA70" i="2" s="1"/>
  <c r="IX70" i="2" a="1"/>
  <c r="IX70" i="2" s="1"/>
  <c r="IO70" i="2" a="1"/>
  <c r="IO70" i="2" s="1"/>
  <c r="IL70" i="2" a="1"/>
  <c r="IL70" i="2" s="1"/>
  <c r="O70" i="2" a="1"/>
  <c r="O70" i="2" s="1"/>
  <c r="IU70" i="2" a="1"/>
  <c r="IU70" i="2" s="1"/>
  <c r="IR70" i="2" a="1"/>
  <c r="IR70" i="2" s="1"/>
  <c r="HZ70" i="2" a="1"/>
  <c r="HZ70" i="2" s="1"/>
  <c r="JD70" i="2" a="1"/>
  <c r="JD70" i="2" s="1"/>
  <c r="HW70" i="2" a="1"/>
  <c r="HW70" i="2" s="1"/>
  <c r="II70" i="2" a="1"/>
  <c r="II70" i="2" s="1"/>
  <c r="HK70" i="2" a="1"/>
  <c r="HK70" i="2" s="1"/>
  <c r="HH70" i="2" a="1"/>
  <c r="HH70" i="2" s="1"/>
  <c r="HE70" i="2" a="1"/>
  <c r="HE70" i="2" s="1"/>
  <c r="HB70" i="2" a="1"/>
  <c r="HB70" i="2" s="1"/>
  <c r="GY70" i="2" a="1"/>
  <c r="GY70" i="2" s="1"/>
  <c r="GV70" i="2" a="1"/>
  <c r="GV70" i="2" s="1"/>
  <c r="HQ70" i="2" a="1"/>
  <c r="HQ70" i="2" s="1"/>
  <c r="IC70" i="2" a="1"/>
  <c r="IC70" i="2" s="1"/>
  <c r="GS70" i="2" a="1"/>
  <c r="GS70" i="2" s="1"/>
  <c r="FO70" i="2" a="1"/>
  <c r="FO70" i="2" s="1"/>
  <c r="GP70" i="2" a="1"/>
  <c r="GP70" i="2" s="1"/>
  <c r="FU70" i="2" a="1"/>
  <c r="FU70" i="2" s="1"/>
  <c r="HN70" i="2" a="1"/>
  <c r="HN70" i="2" s="1"/>
  <c r="GM70" i="2" a="1"/>
  <c r="GM70" i="2" s="1"/>
  <c r="GD70" i="2" a="1"/>
  <c r="GD70" i="2" s="1"/>
  <c r="FR70" i="2" a="1"/>
  <c r="FR70" i="2" s="1"/>
  <c r="FL70" i="2" a="1"/>
  <c r="FL70" i="2" s="1"/>
  <c r="IF70" i="2" a="1"/>
  <c r="IF70" i="2" s="1"/>
  <c r="FX70" i="2" a="1"/>
  <c r="FX70" i="2" s="1"/>
  <c r="GA70" i="2" a="1"/>
  <c r="GA70" i="2" s="1"/>
  <c r="HT70" i="2" a="1"/>
  <c r="HT70" i="2" s="1"/>
  <c r="EW70" i="2" a="1"/>
  <c r="EW70" i="2" s="1"/>
  <c r="ET70" i="2" a="1"/>
  <c r="ET70" i="2" s="1"/>
  <c r="EH70" i="2" a="1"/>
  <c r="EH70" i="2" s="1"/>
  <c r="EE70" i="2" a="1"/>
  <c r="EE70" i="2" s="1"/>
  <c r="EB70" i="2" a="1"/>
  <c r="EB70" i="2" s="1"/>
  <c r="DY70" i="2" a="1"/>
  <c r="DY70" i="2" s="1"/>
  <c r="DV70" i="2" a="1"/>
  <c r="DV70" i="2" s="1"/>
  <c r="EK70" i="2" a="1"/>
  <c r="EK70" i="2" s="1"/>
  <c r="FF70" i="2" a="1"/>
  <c r="FF70" i="2" s="1"/>
  <c r="FC70" i="2" a="1"/>
  <c r="FC70" i="2" s="1"/>
  <c r="EN70" i="2" a="1"/>
  <c r="EN70" i="2" s="1"/>
  <c r="GG70" i="2" a="1"/>
  <c r="GG70" i="2" s="1"/>
  <c r="DP70" i="2" a="1"/>
  <c r="DP70" i="2" s="1"/>
  <c r="DS70" i="2" a="1"/>
  <c r="DS70" i="2" s="1"/>
  <c r="DM70" i="2" a="1"/>
  <c r="DM70" i="2" s="1"/>
  <c r="GJ70" i="2" a="1"/>
  <c r="GJ70" i="2" s="1"/>
  <c r="EZ70" i="2" a="1"/>
  <c r="EZ70" i="2" s="1"/>
  <c r="DD70" i="2" a="1"/>
  <c r="DD70" i="2" s="1"/>
  <c r="EQ70" i="2" a="1"/>
  <c r="EQ70" i="2" s="1"/>
  <c r="DJ70" i="2" a="1"/>
  <c r="DJ70" i="2" s="1"/>
  <c r="DA70" i="2" a="1"/>
  <c r="DA70" i="2" s="1"/>
  <c r="CF70" i="2" a="1"/>
  <c r="CF70" i="2" s="1"/>
  <c r="CU70" i="2" a="1"/>
  <c r="CU70" i="2" s="1"/>
  <c r="CO70" i="2" a="1"/>
  <c r="CO70" i="2" s="1"/>
  <c r="CX70" i="2" a="1"/>
  <c r="CX70" i="2" s="1"/>
  <c r="DG70" i="2" a="1"/>
  <c r="DG70" i="2" s="1"/>
  <c r="CR70" i="2" a="1"/>
  <c r="CR70" i="2" s="1"/>
  <c r="BT70" i="2" a="1"/>
  <c r="BT70" i="2" s="1"/>
  <c r="BN70" i="2" a="1"/>
  <c r="BN70" i="2" s="1"/>
  <c r="BE70" i="2" a="1"/>
  <c r="BE70" i="2" s="1"/>
  <c r="AS70" i="2" a="1"/>
  <c r="AS70" i="2" s="1"/>
  <c r="BZ70" i="2" a="1"/>
  <c r="BZ70" i="2" s="1"/>
  <c r="AD70" i="2" a="1"/>
  <c r="AD70" i="2" s="1"/>
  <c r="BW70" i="2" a="1"/>
  <c r="BW70" i="2" s="1"/>
  <c r="BK70" i="2" a="1"/>
  <c r="BK70" i="2" s="1"/>
  <c r="BH70" i="2" a="1"/>
  <c r="BH70" i="2" s="1"/>
  <c r="JA62" i="2" a="1"/>
  <c r="JA62" i="2" s="1"/>
  <c r="IX62" i="2" a="1"/>
  <c r="IX62" i="2" s="1"/>
  <c r="IL62" i="2" a="1"/>
  <c r="IL62" i="2" s="1"/>
  <c r="O62" i="2" a="1"/>
  <c r="O62" i="2" s="1"/>
  <c r="IU62" i="2" a="1"/>
  <c r="IU62" i="2" s="1"/>
  <c r="IO62" i="2" a="1"/>
  <c r="IO62" i="2" s="1"/>
  <c r="II62" i="2" a="1"/>
  <c r="II62" i="2" s="1"/>
  <c r="HZ62" i="2" a="1"/>
  <c r="HZ62" i="2" s="1"/>
  <c r="HQ62" i="2" a="1"/>
  <c r="HQ62" i="2" s="1"/>
  <c r="IR62" i="2" a="1"/>
  <c r="IR62" i="2" s="1"/>
  <c r="HN62" i="2" a="1"/>
  <c r="HN62" i="2" s="1"/>
  <c r="HK62" i="2" a="1"/>
  <c r="HK62" i="2" s="1"/>
  <c r="HH62" i="2" a="1"/>
  <c r="HH62" i="2" s="1"/>
  <c r="HE62" i="2" a="1"/>
  <c r="HE62" i="2" s="1"/>
  <c r="HB62" i="2" a="1"/>
  <c r="HB62" i="2" s="1"/>
  <c r="GY62" i="2" a="1"/>
  <c r="GY62" i="2" s="1"/>
  <c r="GV62" i="2" a="1"/>
  <c r="GV62" i="2" s="1"/>
  <c r="JD62" i="2" a="1"/>
  <c r="JD62" i="2" s="1"/>
  <c r="IF62" i="2" a="1"/>
  <c r="IF62" i="2" s="1"/>
  <c r="HT62" i="2" a="1"/>
  <c r="HT62" i="2" s="1"/>
  <c r="IC62" i="2" a="1"/>
  <c r="IC62" i="2" s="1"/>
  <c r="GS62" i="2" a="1"/>
  <c r="GS62" i="2" s="1"/>
  <c r="GP62" i="2" a="1"/>
  <c r="GP62" i="2" s="1"/>
  <c r="GM62" i="2" a="1"/>
  <c r="GM62" i="2" s="1"/>
  <c r="GA62" i="2" a="1"/>
  <c r="GA62" i="2" s="1"/>
  <c r="FX62" i="2" a="1"/>
  <c r="FX62" i="2" s="1"/>
  <c r="FO62" i="2" a="1"/>
  <c r="FO62" i="2" s="1"/>
  <c r="HW62" i="2" a="1"/>
  <c r="HW62" i="2" s="1"/>
  <c r="GJ62" i="2" a="1"/>
  <c r="GJ62" i="2" s="1"/>
  <c r="FR62" i="2" a="1"/>
  <c r="FR62" i="2" s="1"/>
  <c r="FU62" i="2" a="1"/>
  <c r="FU62" i="2" s="1"/>
  <c r="GG62" i="2" a="1"/>
  <c r="GG62" i="2" s="1"/>
  <c r="EZ62" i="2" a="1"/>
  <c r="EZ62" i="2" s="1"/>
  <c r="FL62" i="2" a="1"/>
  <c r="FL62" i="2" s="1"/>
  <c r="FC62" i="2" a="1"/>
  <c r="FC62" i="2" s="1"/>
  <c r="EW62" i="2" a="1"/>
  <c r="EW62" i="2" s="1"/>
  <c r="EH62" i="2" a="1"/>
  <c r="EH62" i="2" s="1"/>
  <c r="EE62" i="2" a="1"/>
  <c r="EE62" i="2" s="1"/>
  <c r="EB62" i="2" a="1"/>
  <c r="EB62" i="2" s="1"/>
  <c r="DY62" i="2" a="1"/>
  <c r="DY62" i="2" s="1"/>
  <c r="FF62" i="2" a="1"/>
  <c r="FF62" i="2" s="1"/>
  <c r="ET62" i="2" a="1"/>
  <c r="ET62" i="2" s="1"/>
  <c r="GD62" i="2" a="1"/>
  <c r="GD62" i="2" s="1"/>
  <c r="DV62" i="2" a="1"/>
  <c r="DV62" i="2" s="1"/>
  <c r="EQ62" i="2" a="1"/>
  <c r="EQ62" i="2" s="1"/>
  <c r="DP62" i="2" a="1"/>
  <c r="DP62" i="2" s="1"/>
  <c r="DM62" i="2" a="1"/>
  <c r="DM62" i="2" s="1"/>
  <c r="DJ62" i="2" a="1"/>
  <c r="DJ62" i="2" s="1"/>
  <c r="DG62" i="2" a="1"/>
  <c r="DG62" i="2" s="1"/>
  <c r="DA62" i="2" a="1"/>
  <c r="DA62" i="2" s="1"/>
  <c r="EK62" i="2" a="1"/>
  <c r="EK62" i="2" s="1"/>
  <c r="DS62" i="2" a="1"/>
  <c r="DS62" i="2" s="1"/>
  <c r="CX62" i="2" a="1"/>
  <c r="CX62" i="2" s="1"/>
  <c r="CR62" i="2" a="1"/>
  <c r="CR62" i="2" s="1"/>
  <c r="DD62" i="2" a="1"/>
  <c r="DD62" i="2" s="1"/>
  <c r="EN62" i="2" a="1"/>
  <c r="EN62" i="2" s="1"/>
  <c r="CO62" i="2" a="1"/>
  <c r="CO62" i="2" s="1"/>
  <c r="FI62" i="2" a="1"/>
  <c r="FI62" i="2" s="1"/>
  <c r="CC62" i="2" a="1"/>
  <c r="CC62" i="2" s="1"/>
  <c r="BT62" i="2" a="1"/>
  <c r="BT62" i="2" s="1"/>
  <c r="CI62" i="2" a="1"/>
  <c r="CI62" i="2" s="1"/>
  <c r="BW62" i="2" a="1"/>
  <c r="BW62" i="2" s="1"/>
  <c r="BB62" i="2" a="1"/>
  <c r="BB62" i="2" s="1"/>
  <c r="AP62" i="2" a="1"/>
  <c r="AP62" i="2" s="1"/>
  <c r="AJ62" i="2" a="1"/>
  <c r="AJ62" i="2" s="1"/>
  <c r="CU62" i="2" a="1"/>
  <c r="CU62" i="2" s="1"/>
  <c r="BQ62" i="2" a="1"/>
  <c r="BQ62" i="2" s="1"/>
  <c r="BN62" i="2" a="1"/>
  <c r="BN62" i="2" s="1"/>
  <c r="BK62" i="2" a="1"/>
  <c r="BK62" i="2" s="1"/>
  <c r="BH62" i="2" a="1"/>
  <c r="BH62" i="2" s="1"/>
  <c r="BE62" i="2" a="1"/>
  <c r="BE62" i="2" s="1"/>
  <c r="AS62" i="2" a="1"/>
  <c r="AS62" i="2" s="1"/>
  <c r="AD62" i="2" a="1"/>
  <c r="AD62" i="2" s="1"/>
  <c r="AA62" i="2" a="1"/>
  <c r="AA62" i="2" s="1"/>
  <c r="AM62" i="2" a="1"/>
  <c r="AM62" i="2" s="1"/>
  <c r="AG62" i="2" a="1"/>
  <c r="AG62" i="2" s="1"/>
  <c r="JD54" i="2" a="1"/>
  <c r="JD54" i="2" s="1"/>
  <c r="JA54" i="2" a="1"/>
  <c r="JA54" i="2" s="1"/>
  <c r="IX54" i="2" a="1"/>
  <c r="IX54" i="2" s="1"/>
  <c r="IL54" i="2" a="1"/>
  <c r="IL54" i="2" s="1"/>
  <c r="O54" i="2" a="1"/>
  <c r="O54" i="2" s="1"/>
  <c r="IR54" i="2" a="1"/>
  <c r="IR54" i="2" s="1"/>
  <c r="II54" i="2" a="1"/>
  <c r="II54" i="2" s="1"/>
  <c r="IU54" i="2" a="1"/>
  <c r="IU54" i="2" s="1"/>
  <c r="HT54" i="2" a="1"/>
  <c r="HT54" i="2" s="1"/>
  <c r="IF54" i="2" a="1"/>
  <c r="IF54" i="2" s="1"/>
  <c r="IC54" i="2" a="1"/>
  <c r="IC54" i="2" s="1"/>
  <c r="HK54" i="2" a="1"/>
  <c r="HK54" i="2" s="1"/>
  <c r="HH54" i="2" a="1"/>
  <c r="HH54" i="2" s="1"/>
  <c r="HE54" i="2" a="1"/>
  <c r="HE54" i="2" s="1"/>
  <c r="HB54" i="2" a="1"/>
  <c r="HB54" i="2" s="1"/>
  <c r="GY54" i="2" a="1"/>
  <c r="GY54" i="2" s="1"/>
  <c r="GS54" i="2" a="1"/>
  <c r="GS54" i="2" s="1"/>
  <c r="HZ54" i="2" a="1"/>
  <c r="HZ54" i="2" s="1"/>
  <c r="HW54" i="2" a="1"/>
  <c r="HW54" i="2" s="1"/>
  <c r="HN54" i="2" a="1"/>
  <c r="HN54" i="2" s="1"/>
  <c r="GV54" i="2" a="1"/>
  <c r="GV54" i="2" s="1"/>
  <c r="IO54" i="2" a="1"/>
  <c r="IO54" i="2" s="1"/>
  <c r="GJ54" i="2" a="1"/>
  <c r="GJ54" i="2" s="1"/>
  <c r="GM54" i="2" a="1"/>
  <c r="GM54" i="2" s="1"/>
  <c r="GD54" i="2" a="1"/>
  <c r="GD54" i="2" s="1"/>
  <c r="FR54" i="2" a="1"/>
  <c r="FR54" i="2" s="1"/>
  <c r="FX54" i="2" a="1"/>
  <c r="FX54" i="2" s="1"/>
  <c r="HQ54" i="2" a="1"/>
  <c r="HQ54" i="2" s="1"/>
  <c r="GA54" i="2" a="1"/>
  <c r="GA54" i="2" s="1"/>
  <c r="FO54" i="2" a="1"/>
  <c r="FO54" i="2" s="1"/>
  <c r="GG54" i="2" a="1"/>
  <c r="GG54" i="2" s="1"/>
  <c r="FU54" i="2" a="1"/>
  <c r="FU54" i="2" s="1"/>
  <c r="FF54" i="2" a="1"/>
  <c r="FF54" i="2" s="1"/>
  <c r="GP54" i="2" a="1"/>
  <c r="GP54" i="2" s="1"/>
  <c r="FC54" i="2" a="1"/>
  <c r="FC54" i="2" s="1"/>
  <c r="EZ54" i="2" a="1"/>
  <c r="EZ54" i="2" s="1"/>
  <c r="EW54" i="2" a="1"/>
  <c r="EW54" i="2" s="1"/>
  <c r="EH54" i="2" a="1"/>
  <c r="EH54" i="2" s="1"/>
  <c r="EE54" i="2" a="1"/>
  <c r="EE54" i="2" s="1"/>
  <c r="EB54" i="2" a="1"/>
  <c r="EB54" i="2" s="1"/>
  <c r="DY54" i="2" a="1"/>
  <c r="DY54" i="2" s="1"/>
  <c r="FL54" i="2" a="1"/>
  <c r="FL54" i="2" s="1"/>
  <c r="ET54" i="2" a="1"/>
  <c r="ET54" i="2" s="1"/>
  <c r="FI54" i="2" a="1"/>
  <c r="FI54" i="2" s="1"/>
  <c r="DP54" i="2" a="1"/>
  <c r="DP54" i="2" s="1"/>
  <c r="DM54" i="2" a="1"/>
  <c r="DM54" i="2" s="1"/>
  <c r="EN54" i="2" a="1"/>
  <c r="EN54" i="2" s="1"/>
  <c r="DS54" i="2" a="1"/>
  <c r="DS54" i="2" s="1"/>
  <c r="DG54" i="2" a="1"/>
  <c r="DG54" i="2" s="1"/>
  <c r="DA54" i="2" a="1"/>
  <c r="DA54" i="2" s="1"/>
  <c r="EK54" i="2" a="1"/>
  <c r="EK54" i="2" s="1"/>
  <c r="CF54" i="2" a="1"/>
  <c r="CF54" i="2" s="1"/>
  <c r="EQ54" i="2" a="1"/>
  <c r="EQ54" i="2" s="1"/>
  <c r="DV54" i="2" a="1"/>
  <c r="DV54" i="2" s="1"/>
  <c r="CX54" i="2" a="1"/>
  <c r="CX54" i="2" s="1"/>
  <c r="DJ54" i="2" a="1"/>
  <c r="DJ54" i="2" s="1"/>
  <c r="CU54" i="2" a="1"/>
  <c r="CU54" i="2" s="1"/>
  <c r="CI54" i="2" a="1"/>
  <c r="CI54" i="2" s="1"/>
  <c r="BW54" i="2" a="1"/>
  <c r="BW54" i="2" s="1"/>
  <c r="BN54" i="2" a="1"/>
  <c r="BN54" i="2" s="1"/>
  <c r="BE54" i="2" a="1"/>
  <c r="BE54" i="2" s="1"/>
  <c r="AS54" i="2" a="1"/>
  <c r="AS54" i="2" s="1"/>
  <c r="BH54" i="2" a="1"/>
  <c r="BH54" i="2" s="1"/>
  <c r="DD54" i="2" a="1"/>
  <c r="DD54" i="2" s="1"/>
  <c r="CR54" i="2" a="1"/>
  <c r="CR54" i="2" s="1"/>
  <c r="CC54" i="2" a="1"/>
  <c r="CC54" i="2" s="1"/>
  <c r="BK54" i="2" a="1"/>
  <c r="BK54" i="2" s="1"/>
  <c r="JD46" i="2" a="1"/>
  <c r="JD46" i="2" s="1"/>
  <c r="JA46" i="2" a="1"/>
  <c r="JA46" i="2" s="1"/>
  <c r="IX46" i="2" a="1"/>
  <c r="IX46" i="2" s="1"/>
  <c r="O46" i="2" a="1"/>
  <c r="O46" i="2" s="1"/>
  <c r="IL46" i="2" a="1"/>
  <c r="IL46" i="2" s="1"/>
  <c r="IR46" i="2" a="1"/>
  <c r="IR46" i="2" s="1"/>
  <c r="IO46" i="2" a="1"/>
  <c r="IO46" i="2" s="1"/>
  <c r="IU46" i="2" a="1"/>
  <c r="IU46" i="2" s="1"/>
  <c r="IC46" i="2" a="1"/>
  <c r="IC46" i="2" s="1"/>
  <c r="HZ46" i="2" a="1"/>
  <c r="HZ46" i="2" s="1"/>
  <c r="HW46" i="2" a="1"/>
  <c r="HW46" i="2" s="1"/>
  <c r="HQ46" i="2" a="1"/>
  <c r="HQ46" i="2" s="1"/>
  <c r="II46" i="2" a="1"/>
  <c r="II46" i="2" s="1"/>
  <c r="HK46" i="2" a="1"/>
  <c r="HK46" i="2" s="1"/>
  <c r="HH46" i="2" a="1"/>
  <c r="HH46" i="2" s="1"/>
  <c r="HE46" i="2" a="1"/>
  <c r="HE46" i="2" s="1"/>
  <c r="HB46" i="2" a="1"/>
  <c r="HB46" i="2" s="1"/>
  <c r="GY46" i="2" a="1"/>
  <c r="GY46" i="2" s="1"/>
  <c r="GS46" i="2" a="1"/>
  <c r="GS46" i="2" s="1"/>
  <c r="GV46" i="2" a="1"/>
  <c r="GV46" i="2" s="1"/>
  <c r="HN46" i="2" a="1"/>
  <c r="HN46" i="2" s="1"/>
  <c r="GJ46" i="2" a="1"/>
  <c r="GJ46" i="2" s="1"/>
  <c r="GG46" i="2" a="1"/>
  <c r="GG46" i="2" s="1"/>
  <c r="FL46" i="2" a="1"/>
  <c r="FL46" i="2" s="1"/>
  <c r="HT46" i="2" a="1"/>
  <c r="HT46" i="2" s="1"/>
  <c r="GD46" i="2" a="1"/>
  <c r="GD46" i="2" s="1"/>
  <c r="FR46" i="2" a="1"/>
  <c r="FR46" i="2" s="1"/>
  <c r="IF46" i="2" a="1"/>
  <c r="IF46" i="2" s="1"/>
  <c r="GP46" i="2" a="1"/>
  <c r="GP46" i="2" s="1"/>
  <c r="GM46" i="2" a="1"/>
  <c r="GM46" i="2" s="1"/>
  <c r="FI46" i="2" a="1"/>
  <c r="FI46" i="2" s="1"/>
  <c r="FX46" i="2" a="1"/>
  <c r="FX46" i="2" s="1"/>
  <c r="FC46" i="2" a="1"/>
  <c r="FC46" i="2" s="1"/>
  <c r="EZ46" i="2" a="1"/>
  <c r="EZ46" i="2" s="1"/>
  <c r="GA46" i="2" a="1"/>
  <c r="GA46" i="2" s="1"/>
  <c r="FF46" i="2" a="1"/>
  <c r="FF46" i="2" s="1"/>
  <c r="EQ46" i="2" a="1"/>
  <c r="EQ46" i="2" s="1"/>
  <c r="FO46" i="2" a="1"/>
  <c r="FO46" i="2" s="1"/>
  <c r="EW46" i="2" a="1"/>
  <c r="EW46" i="2" s="1"/>
  <c r="EH46" i="2" a="1"/>
  <c r="EH46" i="2" s="1"/>
  <c r="EE46" i="2" a="1"/>
  <c r="EE46" i="2" s="1"/>
  <c r="EB46" i="2" a="1"/>
  <c r="EB46" i="2" s="1"/>
  <c r="DY46" i="2" a="1"/>
  <c r="DY46" i="2" s="1"/>
  <c r="ET46" i="2" a="1"/>
  <c r="ET46" i="2" s="1"/>
  <c r="FU46" i="2" a="1"/>
  <c r="FU46" i="2" s="1"/>
  <c r="DS46" i="2" a="1"/>
  <c r="DS46" i="2" s="1"/>
  <c r="DP46" i="2" a="1"/>
  <c r="DP46" i="2" s="1"/>
  <c r="DM46" i="2" a="1"/>
  <c r="DM46" i="2" s="1"/>
  <c r="DJ46" i="2" a="1"/>
  <c r="DJ46" i="2" s="1"/>
  <c r="EK46" i="2" a="1"/>
  <c r="EK46" i="2" s="1"/>
  <c r="DV46" i="2" a="1"/>
  <c r="DV46" i="2" s="1"/>
  <c r="DD46" i="2" a="1"/>
  <c r="DD46" i="2" s="1"/>
  <c r="EN46" i="2" a="1"/>
  <c r="EN46" i="2" s="1"/>
  <c r="CO46" i="2" a="1"/>
  <c r="CO46" i="2" s="1"/>
  <c r="DG46" i="2" a="1"/>
  <c r="DG46" i="2" s="1"/>
  <c r="CX46" i="2" a="1"/>
  <c r="CX46" i="2" s="1"/>
  <c r="CR46" i="2" a="1"/>
  <c r="CR46" i="2" s="1"/>
  <c r="BW46" i="2" a="1"/>
  <c r="BW46" i="2" s="1"/>
  <c r="CI46" i="2" a="1"/>
  <c r="CI46" i="2" s="1"/>
  <c r="BZ46" i="2" a="1"/>
  <c r="BZ46" i="2" s="1"/>
  <c r="AM46" i="2" a="1"/>
  <c r="AM46" i="2" s="1"/>
  <c r="AG46" i="2" a="1"/>
  <c r="AG46" i="2" s="1"/>
  <c r="CF46" i="2" a="1"/>
  <c r="CF46" i="2" s="1"/>
  <c r="BN46" i="2" a="1"/>
  <c r="BN46" i="2" s="1"/>
  <c r="BK46" i="2" a="1"/>
  <c r="BK46" i="2" s="1"/>
  <c r="BE46" i="2" a="1"/>
  <c r="BE46" i="2" s="1"/>
  <c r="AV46" i="2" a="1"/>
  <c r="AV46" i="2" s="1"/>
  <c r="AS46" i="2" a="1"/>
  <c r="AS46" i="2" s="1"/>
  <c r="AD46" i="2" a="1"/>
  <c r="AD46" i="2" s="1"/>
  <c r="CU46" i="2" a="1"/>
  <c r="CU46" i="2" s="1"/>
  <c r="CL46" i="2" a="1"/>
  <c r="CL46" i="2" s="1"/>
  <c r="CC46" i="2" a="1"/>
  <c r="CC46" i="2" s="1"/>
  <c r="BB46" i="2" a="1"/>
  <c r="BB46" i="2" s="1"/>
  <c r="AP46" i="2" a="1"/>
  <c r="AP46" i="2" s="1"/>
  <c r="AJ46" i="2" a="1"/>
  <c r="AJ46" i="2" s="1"/>
  <c r="BQ46" i="2" a="1"/>
  <c r="BQ46" i="2" s="1"/>
  <c r="JD38" i="2" a="1"/>
  <c r="JD38" i="2" s="1"/>
  <c r="IR38" i="2" a="1"/>
  <c r="IR38" i="2" s="1"/>
  <c r="JA38" i="2" a="1"/>
  <c r="JA38" i="2" s="1"/>
  <c r="IX38" i="2" a="1"/>
  <c r="IX38" i="2" s="1"/>
  <c r="O38" i="2" a="1"/>
  <c r="O38" i="2" s="1"/>
  <c r="IL38" i="2" a="1"/>
  <c r="IL38" i="2" s="1"/>
  <c r="IO38" i="2" a="1"/>
  <c r="IO38" i="2" s="1"/>
  <c r="IU38" i="2" a="1"/>
  <c r="IU38" i="2" s="1"/>
  <c r="IF38" i="2" a="1"/>
  <c r="IF38" i="2" s="1"/>
  <c r="II38" i="2" a="1"/>
  <c r="II38" i="2" s="1"/>
  <c r="HN38" i="2" a="1"/>
  <c r="HN38" i="2" s="1"/>
  <c r="HT38" i="2" a="1"/>
  <c r="HT38" i="2" s="1"/>
  <c r="HK38" i="2" a="1"/>
  <c r="HK38" i="2" s="1"/>
  <c r="HH38" i="2" a="1"/>
  <c r="HH38" i="2" s="1"/>
  <c r="HE38" i="2" a="1"/>
  <c r="HE38" i="2" s="1"/>
  <c r="HB38" i="2" a="1"/>
  <c r="HB38" i="2" s="1"/>
  <c r="GY38" i="2" a="1"/>
  <c r="GY38" i="2" s="1"/>
  <c r="GS38" i="2" a="1"/>
  <c r="GS38" i="2" s="1"/>
  <c r="GP38" i="2" a="1"/>
  <c r="GP38" i="2" s="1"/>
  <c r="HQ38" i="2" a="1"/>
  <c r="HQ38" i="2" s="1"/>
  <c r="GV38" i="2" a="1"/>
  <c r="GV38" i="2" s="1"/>
  <c r="IC38" i="2" a="1"/>
  <c r="IC38" i="2" s="1"/>
  <c r="GJ38" i="2" a="1"/>
  <c r="GJ38" i="2" s="1"/>
  <c r="HZ38" i="2" a="1"/>
  <c r="HZ38" i="2" s="1"/>
  <c r="GG38" i="2" a="1"/>
  <c r="GG38" i="2" s="1"/>
  <c r="FL38" i="2" a="1"/>
  <c r="FL38" i="2" s="1"/>
  <c r="HW38" i="2" a="1"/>
  <c r="HW38" i="2" s="1"/>
  <c r="GD38" i="2" a="1"/>
  <c r="GD38" i="2" s="1"/>
  <c r="FR38" i="2" a="1"/>
  <c r="FR38" i="2" s="1"/>
  <c r="FX38" i="2" a="1"/>
  <c r="FX38" i="2" s="1"/>
  <c r="GA38" i="2" a="1"/>
  <c r="GA38" i="2" s="1"/>
  <c r="GM38" i="2" a="1"/>
  <c r="GM38" i="2" s="1"/>
  <c r="FI38" i="2" a="1"/>
  <c r="FI38" i="2" s="1"/>
  <c r="FF38" i="2" a="1"/>
  <c r="FF38" i="2" s="1"/>
  <c r="FC38" i="2" a="1"/>
  <c r="FC38" i="2" s="1"/>
  <c r="EQ38" i="2" a="1"/>
  <c r="EQ38" i="2" s="1"/>
  <c r="EW38" i="2" a="1"/>
  <c r="EW38" i="2" s="1"/>
  <c r="EH38" i="2" a="1"/>
  <c r="EH38" i="2" s="1"/>
  <c r="EE38" i="2" a="1"/>
  <c r="EE38" i="2" s="1"/>
  <c r="EB38" i="2" a="1"/>
  <c r="EB38" i="2" s="1"/>
  <c r="DY38" i="2" a="1"/>
  <c r="DY38" i="2" s="1"/>
  <c r="ET38" i="2" a="1"/>
  <c r="ET38" i="2" s="1"/>
  <c r="FO38" i="2" a="1"/>
  <c r="FO38" i="2" s="1"/>
  <c r="FU38" i="2" a="1"/>
  <c r="FU38" i="2" s="1"/>
  <c r="EN38" i="2" a="1"/>
  <c r="EN38" i="2" s="1"/>
  <c r="DP38" i="2" a="1"/>
  <c r="DP38" i="2" s="1"/>
  <c r="DM38" i="2" a="1"/>
  <c r="DM38" i="2" s="1"/>
  <c r="EZ38" i="2" a="1"/>
  <c r="EZ38" i="2" s="1"/>
  <c r="DD38" i="2" a="1"/>
  <c r="DD38" i="2" s="1"/>
  <c r="CX38" i="2" a="1"/>
  <c r="CX38" i="2" s="1"/>
  <c r="DS38" i="2" a="1"/>
  <c r="DS38" i="2" s="1"/>
  <c r="EK38" i="2" a="1"/>
  <c r="EK38" i="2" s="1"/>
  <c r="DJ38" i="2" a="1"/>
  <c r="DJ38" i="2" s="1"/>
  <c r="CF38" i="2" a="1"/>
  <c r="CF38" i="2" s="1"/>
  <c r="DV38" i="2" a="1"/>
  <c r="DV38" i="2" s="1"/>
  <c r="CU38" i="2" a="1"/>
  <c r="CU38" i="2" s="1"/>
  <c r="CR38" i="2" a="1"/>
  <c r="CR38" i="2" s="1"/>
  <c r="BQ38" i="2" a="1"/>
  <c r="BQ38" i="2" s="1"/>
  <c r="DG38" i="2" a="1"/>
  <c r="DG38" i="2" s="1"/>
  <c r="BH38" i="2" a="1"/>
  <c r="BH38" i="2" s="1"/>
  <c r="X38" i="2" a="1"/>
  <c r="X38" i="2" s="1"/>
  <c r="BZ38" i="2" a="1"/>
  <c r="BZ38" i="2" s="1"/>
  <c r="BN38" i="2" a="1"/>
  <c r="BN38" i="2" s="1"/>
  <c r="BE38" i="2" a="1"/>
  <c r="BE38" i="2" s="1"/>
  <c r="AS38" i="2" a="1"/>
  <c r="AS38" i="2" s="1"/>
  <c r="DA38" i="2" a="1"/>
  <c r="DA38" i="2" s="1"/>
  <c r="CL38" i="2" a="1"/>
  <c r="CL38" i="2" s="1"/>
  <c r="CC38" i="2" a="1"/>
  <c r="CC38" i="2" s="1"/>
  <c r="BW38" i="2" a="1"/>
  <c r="BW38" i="2" s="1"/>
  <c r="BK38" i="2" a="1"/>
  <c r="BK38" i="2" s="1"/>
  <c r="IR30" i="2" a="1"/>
  <c r="IR30" i="2" s="1"/>
  <c r="JA30" i="2" a="1"/>
  <c r="JA30" i="2" s="1"/>
  <c r="IX30" i="2" a="1"/>
  <c r="IX30" i="2" s="1"/>
  <c r="O30" i="2" a="1"/>
  <c r="O30" i="2" s="1"/>
  <c r="IL30" i="2" a="1"/>
  <c r="IL30" i="2" s="1"/>
  <c r="JD30" i="2" a="1"/>
  <c r="JD30" i="2" s="1"/>
  <c r="IF30" i="2" a="1"/>
  <c r="IF30" i="2" s="1"/>
  <c r="II30" i="2" a="1"/>
  <c r="II30" i="2" s="1"/>
  <c r="IU30" i="2" a="1"/>
  <c r="IU30" i="2" s="1"/>
  <c r="IO30" i="2" a="1"/>
  <c r="IO30" i="2" s="1"/>
  <c r="HW30" i="2" a="1"/>
  <c r="HW30" i="2" s="1"/>
  <c r="HN30" i="2" a="1"/>
  <c r="HN30" i="2" s="1"/>
  <c r="HK30" i="2" a="1"/>
  <c r="HK30" i="2" s="1"/>
  <c r="HH30" i="2" a="1"/>
  <c r="HH30" i="2" s="1"/>
  <c r="HE30" i="2" a="1"/>
  <c r="HE30" i="2" s="1"/>
  <c r="HB30" i="2" a="1"/>
  <c r="HB30" i="2" s="1"/>
  <c r="GY30" i="2" a="1"/>
  <c r="GY30" i="2" s="1"/>
  <c r="IC30" i="2" a="1"/>
  <c r="IC30" i="2" s="1"/>
  <c r="HZ30" i="2" a="1"/>
  <c r="HZ30" i="2" s="1"/>
  <c r="GP30" i="2" a="1"/>
  <c r="GP30" i="2" s="1"/>
  <c r="GV30" i="2" a="1"/>
  <c r="GV30" i="2" s="1"/>
  <c r="GS30" i="2" a="1"/>
  <c r="GS30" i="2" s="1"/>
  <c r="HT30" i="2" a="1"/>
  <c r="HT30" i="2" s="1"/>
  <c r="GA30" i="2" a="1"/>
  <c r="GA30" i="2" s="1"/>
  <c r="FU30" i="2" a="1"/>
  <c r="FU30" i="2" s="1"/>
  <c r="GG30" i="2" a="1"/>
  <c r="GG30" i="2" s="1"/>
  <c r="FL30" i="2" a="1"/>
  <c r="FL30" i="2" s="1"/>
  <c r="FC30" i="2" a="1"/>
  <c r="FC30" i="2" s="1"/>
  <c r="HQ30" i="2" a="1"/>
  <c r="HQ30" i="2" s="1"/>
  <c r="FF30" i="2" a="1"/>
  <c r="FF30" i="2" s="1"/>
  <c r="GD30" i="2" a="1"/>
  <c r="GD30" i="2" s="1"/>
  <c r="FO30" i="2" a="1"/>
  <c r="FO30" i="2" s="1"/>
  <c r="EN30" i="2" a="1"/>
  <c r="EN30" i="2" s="1"/>
  <c r="EK30" i="2" a="1"/>
  <c r="EK30" i="2" s="1"/>
  <c r="FI30" i="2" a="1"/>
  <c r="FI30" i="2" s="1"/>
  <c r="EZ30" i="2" a="1"/>
  <c r="EZ30" i="2" s="1"/>
  <c r="EQ30" i="2" a="1"/>
  <c r="EQ30" i="2" s="1"/>
  <c r="EW30" i="2" a="1"/>
  <c r="EW30" i="2" s="1"/>
  <c r="EH30" i="2" a="1"/>
  <c r="EH30" i="2" s="1"/>
  <c r="EE30" i="2" a="1"/>
  <c r="EE30" i="2" s="1"/>
  <c r="EB30" i="2" a="1"/>
  <c r="EB30" i="2" s="1"/>
  <c r="DY30" i="2" a="1"/>
  <c r="DY30" i="2" s="1"/>
  <c r="GM30" i="2" a="1"/>
  <c r="GM30" i="2" s="1"/>
  <c r="FR30" i="2" a="1"/>
  <c r="FR30" i="2" s="1"/>
  <c r="ET30" i="2" a="1"/>
  <c r="ET30" i="2" s="1"/>
  <c r="FX30" i="2" a="1"/>
  <c r="FX30" i="2" s="1"/>
  <c r="DP30" i="2" a="1"/>
  <c r="DP30" i="2" s="1"/>
  <c r="DM30" i="2" a="1"/>
  <c r="DM30" i="2" s="1"/>
  <c r="DJ30" i="2" a="1"/>
  <c r="DJ30" i="2" s="1"/>
  <c r="DG30" i="2" a="1"/>
  <c r="DG30" i="2" s="1"/>
  <c r="DA30" i="2" a="1"/>
  <c r="DA30" i="2" s="1"/>
  <c r="DV30" i="2" a="1"/>
  <c r="DV30" i="2" s="1"/>
  <c r="DD30" i="2" a="1"/>
  <c r="DD30" i="2" s="1"/>
  <c r="GJ30" i="2" a="1"/>
  <c r="GJ30" i="2" s="1"/>
  <c r="CR30" i="2" a="1"/>
  <c r="CR30" i="2" s="1"/>
  <c r="CO30" i="2" a="1"/>
  <c r="CO30" i="2" s="1"/>
  <c r="CC30" i="2" a="1"/>
  <c r="CC30" i="2" s="1"/>
  <c r="BT30" i="2" a="1"/>
  <c r="BT30" i="2" s="1"/>
  <c r="CI30" i="2" a="1"/>
  <c r="CI30" i="2" s="1"/>
  <c r="BW30" i="2" a="1"/>
  <c r="BW30" i="2" s="1"/>
  <c r="BQ30" i="2" a="1"/>
  <c r="BQ30" i="2" s="1"/>
  <c r="CX30" i="2" a="1"/>
  <c r="CX30" i="2" s="1"/>
  <c r="CU30" i="2" a="1"/>
  <c r="CU30" i="2" s="1"/>
  <c r="BZ30" i="2" a="1"/>
  <c r="BZ30" i="2" s="1"/>
  <c r="BB30" i="2" a="1"/>
  <c r="BB30" i="2" s="1"/>
  <c r="AP30" i="2" a="1"/>
  <c r="AP30" i="2" s="1"/>
  <c r="AJ30" i="2" a="1"/>
  <c r="AJ30" i="2" s="1"/>
  <c r="DS30" i="2" a="1"/>
  <c r="DS30" i="2" s="1"/>
  <c r="BE30" i="2" a="1"/>
  <c r="BE30" i="2" s="1"/>
  <c r="AS30" i="2" a="1"/>
  <c r="AS30" i="2" s="1"/>
  <c r="AD30" i="2" a="1"/>
  <c r="AD30" i="2" s="1"/>
  <c r="CF30" i="2" a="1"/>
  <c r="CF30" i="2" s="1"/>
  <c r="AM30" i="2" a="1"/>
  <c r="AM30" i="2" s="1"/>
  <c r="AG30" i="2" a="1"/>
  <c r="AG30" i="2" s="1"/>
  <c r="CL30" i="2" a="1"/>
  <c r="CL30" i="2" s="1"/>
  <c r="AV30" i="2" a="1"/>
  <c r="AV30" i="2" s="1"/>
  <c r="JA22" i="2" a="1"/>
  <c r="JA22" i="2" s="1"/>
  <c r="IR22" i="2" a="1"/>
  <c r="IR22" i="2" s="1"/>
  <c r="IO22" i="2" a="1"/>
  <c r="IO22" i="2" s="1"/>
  <c r="O22" i="2" a="1"/>
  <c r="O22" i="2" s="1"/>
  <c r="IX22" i="2" a="1"/>
  <c r="IX22" i="2" s="1"/>
  <c r="IU22" i="2" a="1"/>
  <c r="IU22" i="2" s="1"/>
  <c r="IL22" i="2" a="1"/>
  <c r="IL22" i="2" s="1"/>
  <c r="JD22" i="2" a="1"/>
  <c r="JD22" i="2" s="1"/>
  <c r="IF22" i="2" a="1"/>
  <c r="IF22" i="2" s="1"/>
  <c r="IC22" i="2" a="1"/>
  <c r="IC22" i="2" s="1"/>
  <c r="HQ22" i="2" a="1"/>
  <c r="HQ22" i="2" s="1"/>
  <c r="HZ22" i="2" a="1"/>
  <c r="HZ22" i="2" s="1"/>
  <c r="HK22" i="2" a="1"/>
  <c r="HK22" i="2" s="1"/>
  <c r="HH22" i="2" a="1"/>
  <c r="HH22" i="2" s="1"/>
  <c r="HE22" i="2" a="1"/>
  <c r="HE22" i="2" s="1"/>
  <c r="HB22" i="2" a="1"/>
  <c r="HB22" i="2" s="1"/>
  <c r="GY22" i="2" a="1"/>
  <c r="GY22" i="2" s="1"/>
  <c r="II22" i="2" a="1"/>
  <c r="II22" i="2" s="1"/>
  <c r="GP22" i="2" a="1"/>
  <c r="GP22" i="2" s="1"/>
  <c r="HT22" i="2" a="1"/>
  <c r="HT22" i="2" s="1"/>
  <c r="HN22" i="2" a="1"/>
  <c r="HN22" i="2" s="1"/>
  <c r="HW22" i="2" a="1"/>
  <c r="HW22" i="2" s="1"/>
  <c r="GV22" i="2" a="1"/>
  <c r="GV22" i="2" s="1"/>
  <c r="FO22" i="2" a="1"/>
  <c r="FO22" i="2" s="1"/>
  <c r="GS22" i="2" a="1"/>
  <c r="GS22" i="2" s="1"/>
  <c r="GJ22" i="2" a="1"/>
  <c r="GJ22" i="2" s="1"/>
  <c r="GA22" i="2" a="1"/>
  <c r="GA22" i="2" s="1"/>
  <c r="FU22" i="2" a="1"/>
  <c r="FU22" i="2" s="1"/>
  <c r="GD22" i="2" a="1"/>
  <c r="GD22" i="2" s="1"/>
  <c r="GM22" i="2" a="1"/>
  <c r="GM22" i="2" s="1"/>
  <c r="FI22" i="2" a="1"/>
  <c r="FI22" i="2" s="1"/>
  <c r="FL22" i="2" a="1"/>
  <c r="FL22" i="2" s="1"/>
  <c r="FX22" i="2" a="1"/>
  <c r="FX22" i="2" s="1"/>
  <c r="FR22" i="2" a="1"/>
  <c r="FR22" i="2" s="1"/>
  <c r="EK22" i="2" a="1"/>
  <c r="EK22" i="2" s="1"/>
  <c r="EZ22" i="2" a="1"/>
  <c r="EZ22" i="2" s="1"/>
  <c r="EW22" i="2" a="1"/>
  <c r="EW22" i="2" s="1"/>
  <c r="EQ22" i="2" a="1"/>
  <c r="EQ22" i="2" s="1"/>
  <c r="EN22" i="2" a="1"/>
  <c r="EN22" i="2" s="1"/>
  <c r="EH22" i="2" a="1"/>
  <c r="EH22" i="2" s="1"/>
  <c r="EE22" i="2" a="1"/>
  <c r="EE22" i="2" s="1"/>
  <c r="EB22" i="2" a="1"/>
  <c r="EB22" i="2" s="1"/>
  <c r="DY22" i="2" a="1"/>
  <c r="DY22" i="2" s="1"/>
  <c r="GG22" i="2" a="1"/>
  <c r="GG22" i="2" s="1"/>
  <c r="ET22" i="2" a="1"/>
  <c r="ET22" i="2" s="1"/>
  <c r="DV22" i="2" a="1"/>
  <c r="DV22" i="2" s="1"/>
  <c r="DP22" i="2" a="1"/>
  <c r="DP22" i="2" s="1"/>
  <c r="DM22" i="2" a="1"/>
  <c r="DM22" i="2" s="1"/>
  <c r="FF22" i="2" a="1"/>
  <c r="FF22" i="2" s="1"/>
  <c r="FC22" i="2" a="1"/>
  <c r="FC22" i="2" s="1"/>
  <c r="DS22" i="2" a="1"/>
  <c r="DS22" i="2" s="1"/>
  <c r="DG22" i="2" a="1"/>
  <c r="DG22" i="2" s="1"/>
  <c r="DA22" i="2" a="1"/>
  <c r="DA22" i="2" s="1"/>
  <c r="DD22" i="2" a="1"/>
  <c r="DD22" i="2" s="1"/>
  <c r="CX22" i="2" a="1"/>
  <c r="CX22" i="2" s="1"/>
  <c r="CF22" i="2" a="1"/>
  <c r="CF22" i="2" s="1"/>
  <c r="DJ22" i="2" a="1"/>
  <c r="DJ22" i="2" s="1"/>
  <c r="CO22" i="2" a="1"/>
  <c r="CO22" i="2" s="1"/>
  <c r="CI22" i="2" a="1"/>
  <c r="CI22" i="2" s="1"/>
  <c r="CU22" i="2" a="1"/>
  <c r="CU22" i="2" s="1"/>
  <c r="BQ22" i="2" a="1"/>
  <c r="BQ22" i="2" s="1"/>
  <c r="BZ22" i="2" a="1"/>
  <c r="BZ22" i="2" s="1"/>
  <c r="BK22" i="2" a="1"/>
  <c r="BK22" i="2" s="1"/>
  <c r="BE22" i="2" a="1"/>
  <c r="BE22" i="2" s="1"/>
  <c r="AS22" i="2" a="1"/>
  <c r="AS22" i="2" s="1"/>
  <c r="BT22" i="2" a="1"/>
  <c r="BT22" i="2" s="1"/>
  <c r="BH22" i="2" a="1"/>
  <c r="BH22" i="2" s="1"/>
  <c r="CL22" i="2" a="1"/>
  <c r="CL22" i="2" s="1"/>
  <c r="IR14" i="2" a="1"/>
  <c r="IR14" i="2" s="1"/>
  <c r="JA14" i="2" a="1"/>
  <c r="JA14" i="2" s="1"/>
  <c r="IO14" i="2" a="1"/>
  <c r="IO14" i="2" s="1"/>
  <c r="IX14" i="2" a="1"/>
  <c r="IX14" i="2" s="1"/>
  <c r="IU14" i="2" a="1"/>
  <c r="IU14" i="2" s="1"/>
  <c r="II14" i="2" a="1"/>
  <c r="II14" i="2" s="1"/>
  <c r="IF14" i="2" a="1"/>
  <c r="IF14" i="2" s="1"/>
  <c r="IC14" i="2" a="1"/>
  <c r="IC14" i="2" s="1"/>
  <c r="JD14" i="2" a="1"/>
  <c r="JD14" i="2" s="1"/>
  <c r="HT14" i="2" a="1"/>
  <c r="HT14" i="2" s="1"/>
  <c r="HQ14" i="2" a="1"/>
  <c r="HQ14" i="2" s="1"/>
  <c r="HK14" i="2" a="1"/>
  <c r="HK14" i="2" s="1"/>
  <c r="HH14" i="2" a="1"/>
  <c r="HH14" i="2" s="1"/>
  <c r="HE14" i="2" a="1"/>
  <c r="HE14" i="2" s="1"/>
  <c r="HB14" i="2" a="1"/>
  <c r="HB14" i="2" s="1"/>
  <c r="GY14" i="2" a="1"/>
  <c r="GY14" i="2" s="1"/>
  <c r="GP14" i="2" a="1"/>
  <c r="GP14" i="2" s="1"/>
  <c r="IL14" i="2" a="1"/>
  <c r="IL14" i="2" s="1"/>
  <c r="HW14" i="2" a="1"/>
  <c r="HW14" i="2" s="1"/>
  <c r="GV14" i="2" a="1"/>
  <c r="GV14" i="2" s="1"/>
  <c r="GS14" i="2" a="1"/>
  <c r="GS14" i="2" s="1"/>
  <c r="HN14" i="2" a="1"/>
  <c r="HN14" i="2" s="1"/>
  <c r="HZ14" i="2" a="1"/>
  <c r="HZ14" i="2" s="1"/>
  <c r="FX14" i="2" a="1"/>
  <c r="FX14" i="2" s="1"/>
  <c r="FO14" i="2" a="1"/>
  <c r="FO14" i="2" s="1"/>
  <c r="GJ14" i="2" a="1"/>
  <c r="GJ14" i="2" s="1"/>
  <c r="FF14" i="2" a="1"/>
  <c r="FF14" i="2" s="1"/>
  <c r="FR14" i="2" a="1"/>
  <c r="FR14" i="2" s="1"/>
  <c r="GG14" i="2" a="1"/>
  <c r="GG14" i="2" s="1"/>
  <c r="EK14" i="2" a="1"/>
  <c r="EK14" i="2" s="1"/>
  <c r="GD14" i="2" a="1"/>
  <c r="GD14" i="2" s="1"/>
  <c r="EW14" i="2" a="1"/>
  <c r="EW14" i="2" s="1"/>
  <c r="EN14" i="2" a="1"/>
  <c r="EN14" i="2" s="1"/>
  <c r="EH14" i="2" a="1"/>
  <c r="EH14" i="2" s="1"/>
  <c r="EE14" i="2" a="1"/>
  <c r="EE14" i="2" s="1"/>
  <c r="EB14" i="2" a="1"/>
  <c r="EB14" i="2" s="1"/>
  <c r="DY14" i="2" a="1"/>
  <c r="DY14" i="2" s="1"/>
  <c r="FU14" i="2" a="1"/>
  <c r="FU14" i="2" s="1"/>
  <c r="GA14" i="2" a="1"/>
  <c r="GA14" i="2" s="1"/>
  <c r="ET14" i="2" a="1"/>
  <c r="ET14" i="2" s="1"/>
  <c r="EQ14" i="2" a="1"/>
  <c r="EQ14" i="2" s="1"/>
  <c r="GM14" i="2" a="1"/>
  <c r="GM14" i="2" s="1"/>
  <c r="DP14" i="2" a="1"/>
  <c r="DP14" i="2" s="1"/>
  <c r="DM14" i="2" a="1"/>
  <c r="DM14" i="2" s="1"/>
  <c r="DJ14" i="2" a="1"/>
  <c r="DJ14" i="2" s="1"/>
  <c r="FL14" i="2" a="1"/>
  <c r="FL14" i="2" s="1"/>
  <c r="DS14" i="2" a="1"/>
  <c r="DS14" i="2" s="1"/>
  <c r="DD14" i="2" a="1"/>
  <c r="DD14" i="2" s="1"/>
  <c r="CX14" i="2" a="1"/>
  <c r="CX14" i="2" s="1"/>
  <c r="EZ14" i="2" a="1"/>
  <c r="EZ14" i="2" s="1"/>
  <c r="DG14" i="2" a="1"/>
  <c r="DG14" i="2" s="1"/>
  <c r="FC14" i="2" a="1"/>
  <c r="FC14" i="2" s="1"/>
  <c r="CO14" i="2" a="1"/>
  <c r="CO14" i="2" s="1"/>
  <c r="FI14" i="2" a="1"/>
  <c r="FI14" i="2" s="1"/>
  <c r="DV14" i="2" a="1"/>
  <c r="DV14" i="2" s="1"/>
  <c r="CR14" i="2" a="1"/>
  <c r="CR14" i="2" s="1"/>
  <c r="CF14" i="2" a="1"/>
  <c r="CF14" i="2" s="1"/>
  <c r="BW14" i="2" a="1"/>
  <c r="BW14" i="2" s="1"/>
  <c r="BZ14" i="2" a="1"/>
  <c r="BZ14" i="2" s="1"/>
  <c r="BQ14" i="2" a="1"/>
  <c r="BQ14" i="2" s="1"/>
  <c r="CI14" i="2" a="1"/>
  <c r="CI14" i="2" s="1"/>
  <c r="AM14" i="2" a="1"/>
  <c r="AM14" i="2" s="1"/>
  <c r="AG14" i="2" a="1"/>
  <c r="AG14" i="2" s="1"/>
  <c r="BE14" i="2" a="1"/>
  <c r="BE14" i="2" s="1"/>
  <c r="AV14" i="2" a="1"/>
  <c r="AV14" i="2" s="1"/>
  <c r="AS14" i="2" a="1"/>
  <c r="AS14" i="2" s="1"/>
  <c r="AD14" i="2" a="1"/>
  <c r="AD14" i="2" s="1"/>
  <c r="BK14" i="2" a="1"/>
  <c r="BK14" i="2" s="1"/>
  <c r="BB14" i="2" a="1"/>
  <c r="BB14" i="2" s="1"/>
  <c r="AP14" i="2" a="1"/>
  <c r="AP14" i="2" s="1"/>
  <c r="AJ14" i="2" a="1"/>
  <c r="AJ14" i="2" s="1"/>
  <c r="JD6" i="2" a="1"/>
  <c r="JD6" i="2" s="1"/>
  <c r="IR6" i="2" a="1"/>
  <c r="IR6" i="2" s="1"/>
  <c r="JA6" i="2" a="1"/>
  <c r="JA6" i="2" s="1"/>
  <c r="IO6" i="2" a="1"/>
  <c r="IO6" i="2" s="1"/>
  <c r="IX6" i="2" a="1"/>
  <c r="IX6" i="2" s="1"/>
  <c r="IL6" i="2" a="1"/>
  <c r="IL6" i="2" s="1"/>
  <c r="IC6" i="2" a="1"/>
  <c r="IC6" i="2" s="1"/>
  <c r="IF6" i="2" a="1"/>
  <c r="IF6" i="2" s="1"/>
  <c r="HW6" i="2" a="1"/>
  <c r="HW6" i="2" s="1"/>
  <c r="HN6" i="2" a="1"/>
  <c r="HN6" i="2" s="1"/>
  <c r="II6" i="2" a="1"/>
  <c r="II6" i="2" s="1"/>
  <c r="HK6" i="2" a="1"/>
  <c r="HK6" i="2" s="1"/>
  <c r="HH6" i="2" a="1"/>
  <c r="HH6" i="2" s="1"/>
  <c r="HE6" i="2" a="1"/>
  <c r="HE6" i="2" s="1"/>
  <c r="HB6" i="2" a="1"/>
  <c r="HB6" i="2" s="1"/>
  <c r="GY6" i="2" a="1"/>
  <c r="GY6" i="2" s="1"/>
  <c r="HZ6" i="2" a="1"/>
  <c r="HZ6" i="2" s="1"/>
  <c r="HQ6" i="2" a="1"/>
  <c r="HQ6" i="2" s="1"/>
  <c r="IU6" i="2" a="1"/>
  <c r="IU6" i="2" s="1"/>
  <c r="FX6" i="2" a="1"/>
  <c r="FX6" i="2" s="1"/>
  <c r="FL6" i="2" a="1"/>
  <c r="FL6" i="2" s="1"/>
  <c r="FR6" i="2" a="1"/>
  <c r="FR6" i="2" s="1"/>
  <c r="GV6" i="2" a="1"/>
  <c r="GV6" i="2" s="1"/>
  <c r="HT6" i="2" a="1"/>
  <c r="HT6" i="2" s="1"/>
  <c r="GM6" i="2" a="1"/>
  <c r="GM6" i="2" s="1"/>
  <c r="GG6" i="2" a="1"/>
  <c r="GG6" i="2" s="1"/>
  <c r="GS6" i="2" a="1"/>
  <c r="GS6" i="2" s="1"/>
  <c r="FU6" i="2" a="1"/>
  <c r="FU6" i="2" s="1"/>
  <c r="FO6" i="2" a="1"/>
  <c r="FO6" i="2" s="1"/>
  <c r="GA6" i="2" a="1"/>
  <c r="GA6" i="2" s="1"/>
  <c r="FF6" i="2" a="1"/>
  <c r="FF6" i="2" s="1"/>
  <c r="EZ6" i="2" a="1"/>
  <c r="EZ6" i="2" s="1"/>
  <c r="EK6" i="2" a="1"/>
  <c r="EK6" i="2" s="1"/>
  <c r="DS6" i="2" a="1"/>
  <c r="DS6" i="2" s="1"/>
  <c r="GD6" i="2" a="1"/>
  <c r="GD6" i="2" s="1"/>
  <c r="EW6" i="2" a="1"/>
  <c r="EW6" i="2" s="1"/>
  <c r="EN6" i="2" a="1"/>
  <c r="EN6" i="2" s="1"/>
  <c r="EH6" i="2" a="1"/>
  <c r="EH6" i="2" s="1"/>
  <c r="EE6" i="2" a="1"/>
  <c r="EE6" i="2" s="1"/>
  <c r="EB6" i="2" a="1"/>
  <c r="EB6" i="2" s="1"/>
  <c r="DY6" i="2" a="1"/>
  <c r="DY6" i="2" s="1"/>
  <c r="EQ6" i="2" a="1"/>
  <c r="EQ6" i="2" s="1"/>
  <c r="DV6" i="2" a="1"/>
  <c r="DV6" i="2" s="1"/>
  <c r="FC6" i="2" a="1"/>
  <c r="FC6" i="2" s="1"/>
  <c r="FI6" i="2" a="1"/>
  <c r="FI6" i="2" s="1"/>
  <c r="DP6" i="2" a="1"/>
  <c r="DP6" i="2" s="1"/>
  <c r="DM6" i="2" a="1"/>
  <c r="DM6" i="2" s="1"/>
  <c r="ET6" i="2" a="1"/>
  <c r="ET6" i="2" s="1"/>
  <c r="DD6" i="2" a="1"/>
  <c r="DD6" i="2" s="1"/>
  <c r="CX6" i="2" a="1"/>
  <c r="CX6" i="2" s="1"/>
  <c r="GJ6" i="2" a="1"/>
  <c r="GJ6" i="2" s="1"/>
  <c r="GP6" i="2" a="1"/>
  <c r="GP6" i="2" s="1"/>
  <c r="DG6" i="2" a="1"/>
  <c r="DG6" i="2" s="1"/>
  <c r="DA6" i="2" a="1"/>
  <c r="DA6" i="2" s="1"/>
  <c r="CC6" i="2" a="1"/>
  <c r="CC6" i="2" s="1"/>
  <c r="CF6" i="2" a="1"/>
  <c r="CF6" i="2" s="1"/>
  <c r="DJ6" i="2" a="1"/>
  <c r="DJ6" i="2" s="1"/>
  <c r="CU6" i="2" a="1"/>
  <c r="CU6" i="2" s="1"/>
  <c r="CR6" i="2" a="1"/>
  <c r="CR6" i="2" s="1"/>
  <c r="CI6" i="2" a="1"/>
  <c r="CI6" i="2" s="1"/>
  <c r="BQ6" i="2" a="1"/>
  <c r="BQ6" i="2" s="1"/>
  <c r="BH6" i="2" a="1"/>
  <c r="BH6" i="2" s="1"/>
  <c r="X6" i="2" a="1"/>
  <c r="X6" i="2" s="1"/>
  <c r="BE6" i="2" a="1"/>
  <c r="BE6" i="2" s="1"/>
  <c r="AS6" i="2" a="1"/>
  <c r="AS6" i="2" s="1"/>
  <c r="CO6" i="2" a="1"/>
  <c r="CO6" i="2" s="1"/>
  <c r="I4" i="2" a="1"/>
  <c r="I4" i="2" s="1"/>
  <c r="L52" i="2" a="1"/>
  <c r="L52" i="2" s="1"/>
  <c r="L43" i="2" a="1"/>
  <c r="L43" i="2" s="1"/>
  <c r="L11" i="2" a="1"/>
  <c r="L11" i="2" s="1"/>
  <c r="R68" i="2" a="1"/>
  <c r="R68" i="2" s="1"/>
  <c r="R59" i="2" a="1"/>
  <c r="R59" i="2" s="1"/>
  <c r="X70" i="2" a="1"/>
  <c r="X70" i="2" s="1"/>
  <c r="X60" i="2" a="1"/>
  <c r="X60" i="2" s="1"/>
  <c r="X55" i="2" a="1"/>
  <c r="X55" i="2" s="1"/>
  <c r="X22" i="2" a="1"/>
  <c r="X22" i="2" s="1"/>
  <c r="X16" i="2" a="1"/>
  <c r="X16" i="2" s="1"/>
  <c r="AA59" i="2" a="1"/>
  <c r="AA59" i="2" s="1"/>
  <c r="AA52" i="2" a="1"/>
  <c r="AA52" i="2" s="1"/>
  <c r="AA46" i="2" a="1"/>
  <c r="AA46" i="2" s="1"/>
  <c r="AA38" i="2" a="1"/>
  <c r="AA38" i="2" s="1"/>
  <c r="AA31" i="2" a="1"/>
  <c r="AA31" i="2" s="1"/>
  <c r="AA24" i="2" a="1"/>
  <c r="AA24" i="2" s="1"/>
  <c r="AA16" i="2" a="1"/>
  <c r="AA16" i="2" s="1"/>
  <c r="AD71" i="2" a="1"/>
  <c r="AD71" i="2" s="1"/>
  <c r="AD54" i="2" a="1"/>
  <c r="AD54" i="2" s="1"/>
  <c r="AD44" i="2" a="1"/>
  <c r="AD44" i="2" s="1"/>
  <c r="AD36" i="2" a="1"/>
  <c r="AD36" i="2" s="1"/>
  <c r="AD11" i="2" a="1"/>
  <c r="AD11" i="2" s="1"/>
  <c r="AG44" i="2" a="1"/>
  <c r="AG44" i="2" s="1"/>
  <c r="AG36" i="2" a="1"/>
  <c r="AG36" i="2" s="1"/>
  <c r="AG22" i="2" a="1"/>
  <c r="AG22" i="2" s="1"/>
  <c r="AG15" i="2" a="1"/>
  <c r="AG15" i="2" s="1"/>
  <c r="AJ56" i="2" a="1"/>
  <c r="AJ56" i="2" s="1"/>
  <c r="AJ27" i="2" a="1"/>
  <c r="AJ27" i="2" s="1"/>
  <c r="AM68" i="2" a="1"/>
  <c r="AM68" i="2" s="1"/>
  <c r="AM54" i="2" a="1"/>
  <c r="AM54" i="2" s="1"/>
  <c r="AM47" i="2" a="1"/>
  <c r="AM47" i="2" s="1"/>
  <c r="AP59" i="2" a="1"/>
  <c r="AP59" i="2" s="1"/>
  <c r="AP15" i="2" a="1"/>
  <c r="AP15" i="2" s="1"/>
  <c r="AP8" i="2" a="1"/>
  <c r="AP8" i="2" s="1"/>
  <c r="AS72" i="2" a="1"/>
  <c r="AS72" i="2" s="1"/>
  <c r="AS59" i="2" a="1"/>
  <c r="AS59" i="2" s="1"/>
  <c r="AS40" i="2" a="1"/>
  <c r="AS40" i="2" s="1"/>
  <c r="AS27" i="2" a="1"/>
  <c r="AS27" i="2" s="1"/>
  <c r="AS8" i="2" a="1"/>
  <c r="AS8" i="2" s="1"/>
  <c r="AV70" i="2" a="1"/>
  <c r="AV70" i="2" s="1"/>
  <c r="AV60" i="2" a="1"/>
  <c r="AV60" i="2" s="1"/>
  <c r="AV35" i="2" a="1"/>
  <c r="AV35" i="2" s="1"/>
  <c r="AV22" i="2" a="1"/>
  <c r="AV22" i="2" s="1"/>
  <c r="AY70" i="2" a="1"/>
  <c r="AY70" i="2" s="1"/>
  <c r="AY62" i="2" a="1"/>
  <c r="AY62" i="2" s="1"/>
  <c r="AY54" i="2" a="1"/>
  <c r="AY54" i="2" s="1"/>
  <c r="AY46" i="2" a="1"/>
  <c r="AY46" i="2" s="1"/>
  <c r="AY38" i="2" a="1"/>
  <c r="AY38" i="2" s="1"/>
  <c r="AY30" i="2" a="1"/>
  <c r="AY30" i="2" s="1"/>
  <c r="AY22" i="2" a="1"/>
  <c r="AY22" i="2" s="1"/>
  <c r="AY14" i="2" a="1"/>
  <c r="AY14" i="2" s="1"/>
  <c r="AY6" i="2" a="1"/>
  <c r="AY6" i="2" s="1"/>
  <c r="BB68" i="2" a="1"/>
  <c r="BB68" i="2" s="1"/>
  <c r="BB59" i="2" a="1"/>
  <c r="BB59" i="2" s="1"/>
  <c r="BB4" i="2" a="1"/>
  <c r="BB4" i="2" s="1"/>
  <c r="BE67" i="2" a="1"/>
  <c r="BE67" i="2" s="1"/>
  <c r="BE59" i="2" a="1"/>
  <c r="BE59" i="2" s="1"/>
  <c r="BE51" i="2" a="1"/>
  <c r="BE51" i="2" s="1"/>
  <c r="BE43" i="2" a="1"/>
  <c r="BE43" i="2" s="1"/>
  <c r="BE35" i="2" a="1"/>
  <c r="BE35" i="2" s="1"/>
  <c r="BE27" i="2" a="1"/>
  <c r="BE27" i="2" s="1"/>
  <c r="BE19" i="2" a="1"/>
  <c r="BE19" i="2" s="1"/>
  <c r="BE11" i="2" a="1"/>
  <c r="BE11" i="2" s="1"/>
  <c r="BH63" i="2" a="1"/>
  <c r="BH63" i="2" s="1"/>
  <c r="BH44" i="2" a="1"/>
  <c r="BH44" i="2" s="1"/>
  <c r="BH35" i="2" a="1"/>
  <c r="BH35" i="2" s="1"/>
  <c r="BK47" i="2" a="1"/>
  <c r="BK47" i="2" s="1"/>
  <c r="BN71" i="2" a="1"/>
  <c r="BN71" i="2" s="1"/>
  <c r="BN63" i="2" a="1"/>
  <c r="BN63" i="2" s="1"/>
  <c r="BN55" i="2" a="1"/>
  <c r="BN55" i="2" s="1"/>
  <c r="BN47" i="2" a="1"/>
  <c r="BN47" i="2" s="1"/>
  <c r="BN39" i="2" a="1"/>
  <c r="BN39" i="2" s="1"/>
  <c r="BN6" i="2" a="1"/>
  <c r="BN6" i="2" s="1"/>
  <c r="BQ27" i="2" a="1"/>
  <c r="BQ27" i="2" s="1"/>
  <c r="BT72" i="2" a="1"/>
  <c r="BT72" i="2" s="1"/>
  <c r="BT28" i="2" a="1"/>
  <c r="BT28" i="2" s="1"/>
  <c r="BT14" i="2" a="1"/>
  <c r="BT14" i="2" s="1"/>
  <c r="BW6" i="2" a="1"/>
  <c r="BW6" i="2" s="1"/>
  <c r="BZ62" i="2" a="1"/>
  <c r="BZ62" i="2" s="1"/>
  <c r="BZ47" i="2" a="1"/>
  <c r="BZ47" i="2" s="1"/>
  <c r="CF67" i="2" a="1"/>
  <c r="CF67" i="2" s="1"/>
  <c r="CF48" i="2" a="1"/>
  <c r="CF48" i="2" s="1"/>
  <c r="CI38" i="2" a="1"/>
  <c r="CI38" i="2" s="1"/>
  <c r="CL71" i="2" a="1"/>
  <c r="CL71" i="2" s="1"/>
  <c r="CL54" i="2" a="1"/>
  <c r="CL54" i="2" s="1"/>
  <c r="CO54" i="2" a="1"/>
  <c r="CO54" i="2" s="1"/>
  <c r="CO35" i="2" a="1"/>
  <c r="CO35" i="2" s="1"/>
  <c r="CR15" i="2" a="1"/>
  <c r="CR15" i="2" s="1"/>
  <c r="CU43" i="2" a="1"/>
  <c r="CU43" i="2" s="1"/>
  <c r="CU23" i="2" a="1"/>
  <c r="CU23" i="2" s="1"/>
  <c r="CX16" i="2" a="1"/>
  <c r="CX16" i="2" s="1"/>
  <c r="DM63" i="2" a="1"/>
  <c r="DM63" i="2" s="1"/>
  <c r="DV52" i="2" a="1"/>
  <c r="DV52" i="2" s="1"/>
  <c r="GY16" i="2" a="1"/>
  <c r="GY16" i="2" s="1"/>
  <c r="BB40" i="2" a="1"/>
  <c r="BB40" i="2" s="1"/>
  <c r="BH16" i="2" a="1"/>
  <c r="BH16" i="2" s="1"/>
  <c r="BK8" i="2" a="1"/>
  <c r="BK8" i="2" s="1"/>
  <c r="BN30" i="2" a="1"/>
  <c r="BN30" i="2" s="1"/>
  <c r="BN22" i="2" a="1"/>
  <c r="BN22" i="2" s="1"/>
  <c r="BN14" i="2" a="1"/>
  <c r="BN14" i="2" s="1"/>
  <c r="BQ67" i="2" a="1"/>
  <c r="BQ67" i="2" s="1"/>
  <c r="BQ39" i="2" a="1"/>
  <c r="BQ39" i="2" s="1"/>
  <c r="BT56" i="2" a="1"/>
  <c r="BT56" i="2" s="1"/>
  <c r="BW67" i="2" a="1"/>
  <c r="BW67" i="2" s="1"/>
  <c r="BZ31" i="2" a="1"/>
  <c r="BZ31" i="2" s="1"/>
  <c r="CC14" i="2" a="1"/>
  <c r="CC14" i="2" s="1"/>
  <c r="CF7" i="2" a="1"/>
  <c r="CF7" i="2" s="1"/>
  <c r="CL70" i="2" a="1"/>
  <c r="CL70" i="2" s="1"/>
  <c r="CL19" i="2" a="1"/>
  <c r="CL19" i="2" s="1"/>
  <c r="CO72" i="2" a="1"/>
  <c r="CO72" i="2" s="1"/>
  <c r="CX72" i="2" a="1"/>
  <c r="CX72" i="2" s="1"/>
  <c r="DD40" i="2" a="1"/>
  <c r="DD40" i="2" s="1"/>
  <c r="DG47" i="2" a="1"/>
  <c r="DG47" i="2" s="1"/>
  <c r="DM56" i="2" a="1"/>
  <c r="DM56" i="2" s="1"/>
  <c r="EN47" i="2" a="1"/>
  <c r="EN47" i="2" s="1"/>
  <c r="AA8" i="2" a="1"/>
  <c r="AA8" i="2" s="1"/>
  <c r="AG72" i="2" a="1"/>
  <c r="AG72" i="2" s="1"/>
  <c r="AV8" i="2" a="1"/>
  <c r="AV8" i="2" s="1"/>
  <c r="O68" i="2" a="1"/>
  <c r="O68" i="2" s="1"/>
  <c r="IR68" i="2" a="1"/>
  <c r="IR68" i="2" s="1"/>
  <c r="JA68" i="2" a="1"/>
  <c r="JA68" i="2" s="1"/>
  <c r="IX68" i="2" a="1"/>
  <c r="IX68" i="2" s="1"/>
  <c r="IO68" i="2" a="1"/>
  <c r="IO68" i="2" s="1"/>
  <c r="HW68" i="2" a="1"/>
  <c r="HW68" i="2" s="1"/>
  <c r="HT68" i="2" a="1"/>
  <c r="HT68" i="2" s="1"/>
  <c r="HQ68" i="2" a="1"/>
  <c r="HQ68" i="2" s="1"/>
  <c r="IF68" i="2" a="1"/>
  <c r="IF68" i="2" s="1"/>
  <c r="IL68" i="2" a="1"/>
  <c r="IL68" i="2" s="1"/>
  <c r="IC68" i="2" a="1"/>
  <c r="IC68" i="2" s="1"/>
  <c r="HZ68" i="2" a="1"/>
  <c r="HZ68" i="2" s="1"/>
  <c r="HN68" i="2" a="1"/>
  <c r="HN68" i="2" s="1"/>
  <c r="JD68" i="2" a="1"/>
  <c r="JD68" i="2" s="1"/>
  <c r="GS68" i="2" a="1"/>
  <c r="GS68" i="2" s="1"/>
  <c r="II68" i="2" a="1"/>
  <c r="II68" i="2" s="1"/>
  <c r="HK68" i="2" a="1"/>
  <c r="HK68" i="2" s="1"/>
  <c r="HH68" i="2" a="1"/>
  <c r="HH68" i="2" s="1"/>
  <c r="HE68" i="2" a="1"/>
  <c r="HE68" i="2" s="1"/>
  <c r="HB68" i="2" a="1"/>
  <c r="HB68" i="2" s="1"/>
  <c r="GY68" i="2" a="1"/>
  <c r="GY68" i="2" s="1"/>
  <c r="GV68" i="2" a="1"/>
  <c r="GV68" i="2" s="1"/>
  <c r="GJ68" i="2" a="1"/>
  <c r="GJ68" i="2" s="1"/>
  <c r="GD68" i="2" a="1"/>
  <c r="GD68" i="2" s="1"/>
  <c r="FR68" i="2" a="1"/>
  <c r="FR68" i="2" s="1"/>
  <c r="GA68" i="2" a="1"/>
  <c r="GA68" i="2" s="1"/>
  <c r="FX68" i="2" a="1"/>
  <c r="FX68" i="2" s="1"/>
  <c r="GM68" i="2" a="1"/>
  <c r="GM68" i="2" s="1"/>
  <c r="EZ68" i="2" a="1"/>
  <c r="EZ68" i="2" s="1"/>
  <c r="FL68" i="2" a="1"/>
  <c r="FL68" i="2" s="1"/>
  <c r="FI68" i="2" a="1"/>
  <c r="FI68" i="2" s="1"/>
  <c r="GG68" i="2" a="1"/>
  <c r="GG68" i="2" s="1"/>
  <c r="EQ68" i="2" a="1"/>
  <c r="EQ68" i="2" s="1"/>
  <c r="FO68" i="2" a="1"/>
  <c r="FO68" i="2" s="1"/>
  <c r="EW68" i="2" a="1"/>
  <c r="EW68" i="2" s="1"/>
  <c r="ET68" i="2" a="1"/>
  <c r="ET68" i="2" s="1"/>
  <c r="EH68" i="2" a="1"/>
  <c r="EH68" i="2" s="1"/>
  <c r="EE68" i="2" a="1"/>
  <c r="EE68" i="2" s="1"/>
  <c r="EB68" i="2" a="1"/>
  <c r="EB68" i="2" s="1"/>
  <c r="DY68" i="2" a="1"/>
  <c r="DY68" i="2" s="1"/>
  <c r="DV68" i="2" a="1"/>
  <c r="DV68" i="2" s="1"/>
  <c r="EK68" i="2" a="1"/>
  <c r="EK68" i="2" s="1"/>
  <c r="DD68" i="2" a="1"/>
  <c r="DD68" i="2" s="1"/>
  <c r="DP68" i="2" a="1"/>
  <c r="DP68" i="2" s="1"/>
  <c r="IU68" i="2" a="1"/>
  <c r="IU68" i="2" s="1"/>
  <c r="FC68" i="2" a="1"/>
  <c r="FC68" i="2" s="1"/>
  <c r="DS68" i="2" a="1"/>
  <c r="DS68" i="2" s="1"/>
  <c r="EN68" i="2" a="1"/>
  <c r="EN68" i="2" s="1"/>
  <c r="GP68" i="2" a="1"/>
  <c r="GP68" i="2" s="1"/>
  <c r="DJ68" i="2" a="1"/>
  <c r="DJ68" i="2" s="1"/>
  <c r="FF68" i="2" a="1"/>
  <c r="FF68" i="2" s="1"/>
  <c r="CX68" i="2" a="1"/>
  <c r="CX68" i="2" s="1"/>
  <c r="BZ68" i="2" a="1"/>
  <c r="BZ68" i="2" s="1"/>
  <c r="DA68" i="2" a="1"/>
  <c r="DA68" i="2" s="1"/>
  <c r="DM68" i="2" a="1"/>
  <c r="DM68" i="2" s="1"/>
  <c r="CC68" i="2" a="1"/>
  <c r="CC68" i="2" s="1"/>
  <c r="BW68" i="2" a="1"/>
  <c r="BW68" i="2" s="1"/>
  <c r="BT68" i="2" a="1"/>
  <c r="BT68" i="2" s="1"/>
  <c r="CL68" i="2" a="1"/>
  <c r="CL68" i="2" s="1"/>
  <c r="FU68" i="2" a="1"/>
  <c r="FU68" i="2" s="1"/>
  <c r="CF68" i="2" a="1"/>
  <c r="CF68" i="2" s="1"/>
  <c r="BQ68" i="2" a="1"/>
  <c r="BQ68" i="2" s="1"/>
  <c r="BN68" i="2" a="1"/>
  <c r="BN68" i="2" s="1"/>
  <c r="BE68" i="2" a="1"/>
  <c r="BE68" i="2" s="1"/>
  <c r="O52" i="2" a="1"/>
  <c r="O52" i="2" s="1"/>
  <c r="JD52" i="2" a="1"/>
  <c r="JD52" i="2" s="1"/>
  <c r="IR52" i="2" a="1"/>
  <c r="IR52" i="2" s="1"/>
  <c r="JA52" i="2" a="1"/>
  <c r="JA52" i="2" s="1"/>
  <c r="IX52" i="2" a="1"/>
  <c r="IX52" i="2" s="1"/>
  <c r="IO52" i="2" a="1"/>
  <c r="IO52" i="2" s="1"/>
  <c r="IF52" i="2" a="1"/>
  <c r="IF52" i="2" s="1"/>
  <c r="HW52" i="2" a="1"/>
  <c r="HW52" i="2" s="1"/>
  <c r="HT52" i="2" a="1"/>
  <c r="HT52" i="2" s="1"/>
  <c r="II52" i="2" a="1"/>
  <c r="II52" i="2" s="1"/>
  <c r="HQ52" i="2" a="1"/>
  <c r="HQ52" i="2" s="1"/>
  <c r="GP52" i="2" a="1"/>
  <c r="GP52" i="2" s="1"/>
  <c r="IL52" i="2" a="1"/>
  <c r="IL52" i="2" s="1"/>
  <c r="IC52" i="2" a="1"/>
  <c r="IC52" i="2" s="1"/>
  <c r="HK52" i="2" a="1"/>
  <c r="HK52" i="2" s="1"/>
  <c r="HH52" i="2" a="1"/>
  <c r="HH52" i="2" s="1"/>
  <c r="HE52" i="2" a="1"/>
  <c r="HE52" i="2" s="1"/>
  <c r="HB52" i="2" a="1"/>
  <c r="HB52" i="2" s="1"/>
  <c r="GY52" i="2" a="1"/>
  <c r="GY52" i="2" s="1"/>
  <c r="GS52" i="2" a="1"/>
  <c r="GS52" i="2" s="1"/>
  <c r="IU52" i="2" a="1"/>
  <c r="IU52" i="2" s="1"/>
  <c r="GJ52" i="2" a="1"/>
  <c r="GJ52" i="2" s="1"/>
  <c r="GG52" i="2" a="1"/>
  <c r="GG52" i="2" s="1"/>
  <c r="FL52" i="2" a="1"/>
  <c r="FL52" i="2" s="1"/>
  <c r="GD52" i="2" a="1"/>
  <c r="GD52" i="2" s="1"/>
  <c r="FR52" i="2" a="1"/>
  <c r="FR52" i="2" s="1"/>
  <c r="HZ52" i="2" a="1"/>
  <c r="HZ52" i="2" s="1"/>
  <c r="FO52" i="2" a="1"/>
  <c r="FO52" i="2" s="1"/>
  <c r="FI52" i="2" a="1"/>
  <c r="FI52" i="2" s="1"/>
  <c r="FC52" i="2" a="1"/>
  <c r="FC52" i="2" s="1"/>
  <c r="EZ52" i="2" a="1"/>
  <c r="EZ52" i="2" s="1"/>
  <c r="HN52" i="2" a="1"/>
  <c r="HN52" i="2" s="1"/>
  <c r="FU52" i="2" a="1"/>
  <c r="FU52" i="2" s="1"/>
  <c r="GV52" i="2" a="1"/>
  <c r="GV52" i="2" s="1"/>
  <c r="EQ52" i="2" a="1"/>
  <c r="EQ52" i="2" s="1"/>
  <c r="EN52" i="2" a="1"/>
  <c r="EN52" i="2" s="1"/>
  <c r="GA52" i="2" a="1"/>
  <c r="GA52" i="2" s="1"/>
  <c r="FF52" i="2" a="1"/>
  <c r="FF52" i="2" s="1"/>
  <c r="EW52" i="2" a="1"/>
  <c r="EW52" i="2" s="1"/>
  <c r="EH52" i="2" a="1"/>
  <c r="EH52" i="2" s="1"/>
  <c r="EE52" i="2" a="1"/>
  <c r="EE52" i="2" s="1"/>
  <c r="EB52" i="2" a="1"/>
  <c r="EB52" i="2" s="1"/>
  <c r="DY52" i="2" a="1"/>
  <c r="DY52" i="2" s="1"/>
  <c r="GM52" i="2" a="1"/>
  <c r="GM52" i="2" s="1"/>
  <c r="FX52" i="2" a="1"/>
  <c r="FX52" i="2" s="1"/>
  <c r="ET52" i="2" a="1"/>
  <c r="ET52" i="2" s="1"/>
  <c r="EK52" i="2" a="1"/>
  <c r="EK52" i="2" s="1"/>
  <c r="DG52" i="2" a="1"/>
  <c r="DG52" i="2" s="1"/>
  <c r="DA52" i="2" a="1"/>
  <c r="DA52" i="2" s="1"/>
  <c r="DP52" i="2" a="1"/>
  <c r="DP52" i="2" s="1"/>
  <c r="DD52" i="2" a="1"/>
  <c r="DD52" i="2" s="1"/>
  <c r="DJ52" i="2" a="1"/>
  <c r="DJ52" i="2" s="1"/>
  <c r="CX52" i="2" a="1"/>
  <c r="CX52" i="2" s="1"/>
  <c r="CR52" i="2" a="1"/>
  <c r="CR52" i="2" s="1"/>
  <c r="DM52" i="2" a="1"/>
  <c r="DM52" i="2" s="1"/>
  <c r="CI52" i="2" a="1"/>
  <c r="CI52" i="2" s="1"/>
  <c r="CC52" i="2" a="1"/>
  <c r="CC52" i="2" s="1"/>
  <c r="BW52" i="2" a="1"/>
  <c r="BW52" i="2" s="1"/>
  <c r="BT52" i="2" a="1"/>
  <c r="BT52" i="2" s="1"/>
  <c r="CO52" i="2" a="1"/>
  <c r="CO52" i="2" s="1"/>
  <c r="BZ52" i="2" a="1"/>
  <c r="BZ52" i="2" s="1"/>
  <c r="BQ52" i="2" a="1"/>
  <c r="BQ52" i="2" s="1"/>
  <c r="CU52" i="2" a="1"/>
  <c r="CU52" i="2" s="1"/>
  <c r="BH52" i="2" a="1"/>
  <c r="BH52" i="2" s="1"/>
  <c r="AV52" i="2" a="1"/>
  <c r="AV52" i="2" s="1"/>
  <c r="BN52" i="2" a="1"/>
  <c r="BN52" i="2" s="1"/>
  <c r="BE52" i="2" a="1"/>
  <c r="BE52" i="2" s="1"/>
  <c r="O44" i="2" a="1"/>
  <c r="O44" i="2" s="1"/>
  <c r="JD44" i="2" a="1"/>
  <c r="JD44" i="2" s="1"/>
  <c r="IR44" i="2" a="1"/>
  <c r="IR44" i="2" s="1"/>
  <c r="JA44" i="2" a="1"/>
  <c r="JA44" i="2" s="1"/>
  <c r="IU44" i="2" a="1"/>
  <c r="IU44" i="2" s="1"/>
  <c r="IC44" i="2" a="1"/>
  <c r="IC44" i="2" s="1"/>
  <c r="IX44" i="2" a="1"/>
  <c r="IX44" i="2" s="1"/>
  <c r="IL44" i="2" a="1"/>
  <c r="IL44" i="2" s="1"/>
  <c r="IF44" i="2" a="1"/>
  <c r="IF44" i="2" s="1"/>
  <c r="HW44" i="2" a="1"/>
  <c r="HW44" i="2" s="1"/>
  <c r="HT44" i="2" a="1"/>
  <c r="HT44" i="2" s="1"/>
  <c r="HN44" i="2" a="1"/>
  <c r="HN44" i="2" s="1"/>
  <c r="HZ44" i="2" a="1"/>
  <c r="HZ44" i="2" s="1"/>
  <c r="GP44" i="2" a="1"/>
  <c r="GP44" i="2" s="1"/>
  <c r="II44" i="2" a="1"/>
  <c r="II44" i="2" s="1"/>
  <c r="HQ44" i="2" a="1"/>
  <c r="HQ44" i="2" s="1"/>
  <c r="HK44" i="2" a="1"/>
  <c r="HK44" i="2" s="1"/>
  <c r="HH44" i="2" a="1"/>
  <c r="HH44" i="2" s="1"/>
  <c r="HE44" i="2" a="1"/>
  <c r="HE44" i="2" s="1"/>
  <c r="HB44" i="2" a="1"/>
  <c r="HB44" i="2" s="1"/>
  <c r="GY44" i="2" a="1"/>
  <c r="GY44" i="2" s="1"/>
  <c r="GS44" i="2" a="1"/>
  <c r="GS44" i="2" s="1"/>
  <c r="IO44" i="2" a="1"/>
  <c r="IO44" i="2" s="1"/>
  <c r="FU44" i="2" a="1"/>
  <c r="FU44" i="2" s="1"/>
  <c r="GV44" i="2" a="1"/>
  <c r="GV44" i="2" s="1"/>
  <c r="GJ44" i="2" a="1"/>
  <c r="GJ44" i="2" s="1"/>
  <c r="GG44" i="2" a="1"/>
  <c r="GG44" i="2" s="1"/>
  <c r="FL44" i="2" a="1"/>
  <c r="FL44" i="2" s="1"/>
  <c r="GD44" i="2" a="1"/>
  <c r="GD44" i="2" s="1"/>
  <c r="FO44" i="2" a="1"/>
  <c r="FO44" i="2" s="1"/>
  <c r="GM44" i="2" a="1"/>
  <c r="GM44" i="2" s="1"/>
  <c r="FR44" i="2" a="1"/>
  <c r="FR44" i="2" s="1"/>
  <c r="FX44" i="2" a="1"/>
  <c r="FX44" i="2" s="1"/>
  <c r="EN44" i="2" a="1"/>
  <c r="EN44" i="2" s="1"/>
  <c r="FC44" i="2" a="1"/>
  <c r="FC44" i="2" s="1"/>
  <c r="EQ44" i="2" a="1"/>
  <c r="EQ44" i="2" s="1"/>
  <c r="GA44" i="2" a="1"/>
  <c r="GA44" i="2" s="1"/>
  <c r="FF44" i="2" a="1"/>
  <c r="FF44" i="2" s="1"/>
  <c r="EW44" i="2" a="1"/>
  <c r="EW44" i="2" s="1"/>
  <c r="EH44" i="2" a="1"/>
  <c r="EH44" i="2" s="1"/>
  <c r="EE44" i="2" a="1"/>
  <c r="EE44" i="2" s="1"/>
  <c r="EB44" i="2" a="1"/>
  <c r="EB44" i="2" s="1"/>
  <c r="DY44" i="2" a="1"/>
  <c r="DY44" i="2" s="1"/>
  <c r="EZ44" i="2" a="1"/>
  <c r="EZ44" i="2" s="1"/>
  <c r="ET44" i="2" a="1"/>
  <c r="ET44" i="2" s="1"/>
  <c r="DV44" i="2" a="1"/>
  <c r="DV44" i="2" s="1"/>
  <c r="DS44" i="2" a="1"/>
  <c r="DS44" i="2" s="1"/>
  <c r="DP44" i="2" a="1"/>
  <c r="DP44" i="2" s="1"/>
  <c r="FI44" i="2" a="1"/>
  <c r="FI44" i="2" s="1"/>
  <c r="EK44" i="2" a="1"/>
  <c r="EK44" i="2" s="1"/>
  <c r="DD44" i="2" a="1"/>
  <c r="DD44" i="2" s="1"/>
  <c r="DA44" i="2" a="1"/>
  <c r="DA44" i="2" s="1"/>
  <c r="DM44" i="2" a="1"/>
  <c r="DM44" i="2" s="1"/>
  <c r="DJ44" i="2" a="1"/>
  <c r="DJ44" i="2" s="1"/>
  <c r="CU44" i="2" a="1"/>
  <c r="CU44" i="2" s="1"/>
  <c r="CF44" i="2" a="1"/>
  <c r="CF44" i="2" s="1"/>
  <c r="DG44" i="2" a="1"/>
  <c r="DG44" i="2" s="1"/>
  <c r="CI44" i="2" a="1"/>
  <c r="CI44" i="2" s="1"/>
  <c r="BZ44" i="2" a="1"/>
  <c r="BZ44" i="2" s="1"/>
  <c r="AA44" i="2" a="1"/>
  <c r="AA44" i="2" s="1"/>
  <c r="BW44" i="2" a="1"/>
  <c r="BW44" i="2" s="1"/>
  <c r="BB44" i="2" a="1"/>
  <c r="BB44" i="2" s="1"/>
  <c r="AP44" i="2" a="1"/>
  <c r="AP44" i="2" s="1"/>
  <c r="AJ44" i="2" a="1"/>
  <c r="AJ44" i="2" s="1"/>
  <c r="BT44" i="2" a="1"/>
  <c r="BT44" i="2" s="1"/>
  <c r="BN44" i="2" a="1"/>
  <c r="BN44" i="2" s="1"/>
  <c r="BE44" i="2" a="1"/>
  <c r="BE44" i="2" s="1"/>
  <c r="O36" i="2" a="1"/>
  <c r="O36" i="2" s="1"/>
  <c r="JD36" i="2" a="1"/>
  <c r="JD36" i="2" s="1"/>
  <c r="IO36" i="2" a="1"/>
  <c r="IO36" i="2" s="1"/>
  <c r="IR36" i="2" a="1"/>
  <c r="IR36" i="2" s="1"/>
  <c r="JA36" i="2" a="1"/>
  <c r="JA36" i="2" s="1"/>
  <c r="IU36" i="2" a="1"/>
  <c r="IU36" i="2" s="1"/>
  <c r="IC36" i="2" a="1"/>
  <c r="IC36" i="2" s="1"/>
  <c r="HW36" i="2" a="1"/>
  <c r="HW36" i="2" s="1"/>
  <c r="HT36" i="2" a="1"/>
  <c r="HT36" i="2" s="1"/>
  <c r="IF36" i="2" a="1"/>
  <c r="IF36" i="2" s="1"/>
  <c r="IL36" i="2" a="1"/>
  <c r="IL36" i="2" s="1"/>
  <c r="HZ36" i="2" a="1"/>
  <c r="HZ36" i="2" s="1"/>
  <c r="HN36" i="2" a="1"/>
  <c r="HN36" i="2" s="1"/>
  <c r="HK36" i="2" a="1"/>
  <c r="HK36" i="2" s="1"/>
  <c r="HH36" i="2" a="1"/>
  <c r="HH36" i="2" s="1"/>
  <c r="HE36" i="2" a="1"/>
  <c r="HE36" i="2" s="1"/>
  <c r="HB36" i="2" a="1"/>
  <c r="HB36" i="2" s="1"/>
  <c r="GY36" i="2" a="1"/>
  <c r="GY36" i="2" s="1"/>
  <c r="GP36" i="2" a="1"/>
  <c r="GP36" i="2" s="1"/>
  <c r="II36" i="2" a="1"/>
  <c r="II36" i="2" s="1"/>
  <c r="GV36" i="2" a="1"/>
  <c r="GV36" i="2" s="1"/>
  <c r="GS36" i="2" a="1"/>
  <c r="GS36" i="2" s="1"/>
  <c r="GA36" i="2" a="1"/>
  <c r="GA36" i="2" s="1"/>
  <c r="FO36" i="2" a="1"/>
  <c r="FO36" i="2" s="1"/>
  <c r="GJ36" i="2" a="1"/>
  <c r="GJ36" i="2" s="1"/>
  <c r="FU36" i="2" a="1"/>
  <c r="FU36" i="2" s="1"/>
  <c r="HQ36" i="2" a="1"/>
  <c r="HQ36" i="2" s="1"/>
  <c r="FL36" i="2" a="1"/>
  <c r="FL36" i="2" s="1"/>
  <c r="FC36" i="2" a="1"/>
  <c r="FC36" i="2" s="1"/>
  <c r="FX36" i="2" a="1"/>
  <c r="FX36" i="2" s="1"/>
  <c r="FR36" i="2" a="1"/>
  <c r="FR36" i="2" s="1"/>
  <c r="GG36" i="2" a="1"/>
  <c r="GG36" i="2" s="1"/>
  <c r="EK36" i="2" a="1"/>
  <c r="EK36" i="2" s="1"/>
  <c r="EZ36" i="2" a="1"/>
  <c r="EZ36" i="2" s="1"/>
  <c r="EN36" i="2" a="1"/>
  <c r="EN36" i="2" s="1"/>
  <c r="DS36" i="2" a="1"/>
  <c r="DS36" i="2" s="1"/>
  <c r="GM36" i="2" a="1"/>
  <c r="GM36" i="2" s="1"/>
  <c r="FF36" i="2" a="1"/>
  <c r="FF36" i="2" s="1"/>
  <c r="GD36" i="2" a="1"/>
  <c r="GD36" i="2" s="1"/>
  <c r="EQ36" i="2" a="1"/>
  <c r="EQ36" i="2" s="1"/>
  <c r="IX36" i="2" a="1"/>
  <c r="IX36" i="2" s="1"/>
  <c r="EW36" i="2" a="1"/>
  <c r="EW36" i="2" s="1"/>
  <c r="EH36" i="2" a="1"/>
  <c r="EH36" i="2" s="1"/>
  <c r="EE36" i="2" a="1"/>
  <c r="EE36" i="2" s="1"/>
  <c r="EB36" i="2" a="1"/>
  <c r="EB36" i="2" s="1"/>
  <c r="DY36" i="2" a="1"/>
  <c r="DY36" i="2" s="1"/>
  <c r="DV36" i="2" a="1"/>
  <c r="DV36" i="2" s="1"/>
  <c r="DD36" i="2" a="1"/>
  <c r="DD36" i="2" s="1"/>
  <c r="CX36" i="2" a="1"/>
  <c r="CX36" i="2" s="1"/>
  <c r="DP36" i="2" a="1"/>
  <c r="DP36" i="2" s="1"/>
  <c r="FI36" i="2" a="1"/>
  <c r="FI36" i="2" s="1"/>
  <c r="DG36" i="2" a="1"/>
  <c r="DG36" i="2" s="1"/>
  <c r="DA36" i="2" a="1"/>
  <c r="DA36" i="2" s="1"/>
  <c r="DM36" i="2" a="1"/>
  <c r="DM36" i="2" s="1"/>
  <c r="BZ36" i="2" a="1"/>
  <c r="BZ36" i="2" s="1"/>
  <c r="BQ36" i="2" a="1"/>
  <c r="BQ36" i="2" s="1"/>
  <c r="CO36" i="2" a="1"/>
  <c r="CO36" i="2" s="1"/>
  <c r="CC36" i="2" a="1"/>
  <c r="CC36" i="2" s="1"/>
  <c r="BW36" i="2" a="1"/>
  <c r="BW36" i="2" s="1"/>
  <c r="BT36" i="2" a="1"/>
  <c r="BT36" i="2" s="1"/>
  <c r="CR36" i="2" a="1"/>
  <c r="CR36" i="2" s="1"/>
  <c r="CI36" i="2" a="1"/>
  <c r="CI36" i="2" s="1"/>
  <c r="CF36" i="2" a="1"/>
  <c r="CF36" i="2" s="1"/>
  <c r="CU36" i="2" a="1"/>
  <c r="CU36" i="2" s="1"/>
  <c r="BN36" i="2" a="1"/>
  <c r="BN36" i="2" s="1"/>
  <c r="BH36" i="2" a="1"/>
  <c r="BH36" i="2" s="1"/>
  <c r="BE36" i="2" a="1"/>
  <c r="BE36" i="2" s="1"/>
  <c r="AV36" i="2" a="1"/>
  <c r="AV36" i="2" s="1"/>
  <c r="O28" i="2" a="1"/>
  <c r="O28" i="2" s="1"/>
  <c r="IU28" i="2" a="1"/>
  <c r="IU28" i="2" s="1"/>
  <c r="JD28" i="2" a="1"/>
  <c r="JD28" i="2" s="1"/>
  <c r="IR28" i="2" a="1"/>
  <c r="IR28" i="2" s="1"/>
  <c r="IO28" i="2" a="1"/>
  <c r="IO28" i="2" s="1"/>
  <c r="JA28" i="2" a="1"/>
  <c r="JA28" i="2" s="1"/>
  <c r="IX28" i="2" a="1"/>
  <c r="IX28" i="2" s="1"/>
  <c r="HZ28" i="2" a="1"/>
  <c r="HZ28" i="2" s="1"/>
  <c r="II28" i="2" a="1"/>
  <c r="II28" i="2" s="1"/>
  <c r="IC28" i="2" a="1"/>
  <c r="IC28" i="2" s="1"/>
  <c r="HW28" i="2" a="1"/>
  <c r="HW28" i="2" s="1"/>
  <c r="HT28" i="2" a="1"/>
  <c r="HT28" i="2" s="1"/>
  <c r="IL28" i="2" a="1"/>
  <c r="IL28" i="2" s="1"/>
  <c r="HQ28" i="2" a="1"/>
  <c r="HQ28" i="2" s="1"/>
  <c r="IF28" i="2" a="1"/>
  <c r="IF28" i="2" s="1"/>
  <c r="HK28" i="2" a="1"/>
  <c r="HK28" i="2" s="1"/>
  <c r="HH28" i="2" a="1"/>
  <c r="HH28" i="2" s="1"/>
  <c r="HE28" i="2" a="1"/>
  <c r="HE28" i="2" s="1"/>
  <c r="HB28" i="2" a="1"/>
  <c r="HB28" i="2" s="1"/>
  <c r="GY28" i="2" a="1"/>
  <c r="GY28" i="2" s="1"/>
  <c r="GP28" i="2" a="1"/>
  <c r="GP28" i="2" s="1"/>
  <c r="HN28" i="2" a="1"/>
  <c r="HN28" i="2" s="1"/>
  <c r="GJ28" i="2" a="1"/>
  <c r="GJ28" i="2" s="1"/>
  <c r="FO28" i="2" a="1"/>
  <c r="FO28" i="2" s="1"/>
  <c r="GA28" i="2" a="1"/>
  <c r="GA28" i="2" s="1"/>
  <c r="FX28" i="2" a="1"/>
  <c r="FX28" i="2" s="1"/>
  <c r="FR28" i="2" a="1"/>
  <c r="FR28" i="2" s="1"/>
  <c r="GM28" i="2" a="1"/>
  <c r="GM28" i="2" s="1"/>
  <c r="GG28" i="2" a="1"/>
  <c r="GG28" i="2" s="1"/>
  <c r="FU28" i="2" a="1"/>
  <c r="FU28" i="2" s="1"/>
  <c r="GV28" i="2" a="1"/>
  <c r="GV28" i="2" s="1"/>
  <c r="FC28" i="2" a="1"/>
  <c r="FC28" i="2" s="1"/>
  <c r="FF28" i="2" a="1"/>
  <c r="FF28" i="2" s="1"/>
  <c r="DS28" i="2" a="1"/>
  <c r="DS28" i="2" s="1"/>
  <c r="EN28" i="2" a="1"/>
  <c r="EN28" i="2" s="1"/>
  <c r="EK28" i="2" a="1"/>
  <c r="EK28" i="2" s="1"/>
  <c r="FL28" i="2" a="1"/>
  <c r="FL28" i="2" s="1"/>
  <c r="FI28" i="2" a="1"/>
  <c r="FI28" i="2" s="1"/>
  <c r="EZ28" i="2" a="1"/>
  <c r="EZ28" i="2" s="1"/>
  <c r="EQ28" i="2" a="1"/>
  <c r="EQ28" i="2" s="1"/>
  <c r="GS28" i="2" a="1"/>
  <c r="GS28" i="2" s="1"/>
  <c r="GD28" i="2" a="1"/>
  <c r="GD28" i="2" s="1"/>
  <c r="EW28" i="2" a="1"/>
  <c r="EW28" i="2" s="1"/>
  <c r="EH28" i="2" a="1"/>
  <c r="EH28" i="2" s="1"/>
  <c r="EE28" i="2" a="1"/>
  <c r="EE28" i="2" s="1"/>
  <c r="EB28" i="2" a="1"/>
  <c r="EB28" i="2" s="1"/>
  <c r="DY28" i="2" a="1"/>
  <c r="DY28" i="2" s="1"/>
  <c r="ET28" i="2" a="1"/>
  <c r="ET28" i="2" s="1"/>
  <c r="DP28" i="2" a="1"/>
  <c r="DP28" i="2" s="1"/>
  <c r="DV28" i="2" a="1"/>
  <c r="DV28" i="2" s="1"/>
  <c r="DM28" i="2" a="1"/>
  <c r="DM28" i="2" s="1"/>
  <c r="DG28" i="2" a="1"/>
  <c r="DG28" i="2" s="1"/>
  <c r="DD28" i="2" a="1"/>
  <c r="DD28" i="2" s="1"/>
  <c r="CX28" i="2" a="1"/>
  <c r="CX28" i="2" s="1"/>
  <c r="DJ28" i="2" a="1"/>
  <c r="DJ28" i="2" s="1"/>
  <c r="BQ28" i="2" a="1"/>
  <c r="BQ28" i="2" s="1"/>
  <c r="CR28" i="2" a="1"/>
  <c r="CR28" i="2" s="1"/>
  <c r="CO28" i="2" a="1"/>
  <c r="CO28" i="2" s="1"/>
  <c r="CI28" i="2" a="1"/>
  <c r="CI28" i="2" s="1"/>
  <c r="CU28" i="2" a="1"/>
  <c r="CU28" i="2" s="1"/>
  <c r="AA28" i="2" a="1"/>
  <c r="AA28" i="2" s="1"/>
  <c r="DA28" i="2" a="1"/>
  <c r="DA28" i="2" s="1"/>
  <c r="CC28" i="2" a="1"/>
  <c r="CC28" i="2" s="1"/>
  <c r="AM28" i="2" a="1"/>
  <c r="AM28" i="2" s="1"/>
  <c r="AG28" i="2" a="1"/>
  <c r="AG28" i="2" s="1"/>
  <c r="BW28" i="2" a="1"/>
  <c r="BW28" i="2" s="1"/>
  <c r="BK28" i="2" a="1"/>
  <c r="BK28" i="2" s="1"/>
  <c r="BE28" i="2" a="1"/>
  <c r="BE28" i="2" s="1"/>
  <c r="BB28" i="2" a="1"/>
  <c r="BB28" i="2" s="1"/>
  <c r="O20" i="2" a="1"/>
  <c r="O20" i="2" s="1"/>
  <c r="IU20" i="2" a="1"/>
  <c r="IU20" i="2" s="1"/>
  <c r="JD20" i="2" a="1"/>
  <c r="JD20" i="2" s="1"/>
  <c r="JA20" i="2" a="1"/>
  <c r="JA20" i="2" s="1"/>
  <c r="IR20" i="2" a="1"/>
  <c r="IR20" i="2" s="1"/>
  <c r="IO20" i="2" a="1"/>
  <c r="IO20" i="2" s="1"/>
  <c r="IL20" i="2" a="1"/>
  <c r="IL20" i="2" s="1"/>
  <c r="HZ20" i="2" a="1"/>
  <c r="HZ20" i="2" s="1"/>
  <c r="HW20" i="2" a="1"/>
  <c r="HW20" i="2" s="1"/>
  <c r="HT20" i="2" a="1"/>
  <c r="HT20" i="2" s="1"/>
  <c r="IC20" i="2" a="1"/>
  <c r="IC20" i="2" s="1"/>
  <c r="IX20" i="2" a="1"/>
  <c r="IX20" i="2" s="1"/>
  <c r="HQ20" i="2" a="1"/>
  <c r="HQ20" i="2" s="1"/>
  <c r="HK20" i="2" a="1"/>
  <c r="HK20" i="2" s="1"/>
  <c r="HH20" i="2" a="1"/>
  <c r="HH20" i="2" s="1"/>
  <c r="HE20" i="2" a="1"/>
  <c r="HE20" i="2" s="1"/>
  <c r="HB20" i="2" a="1"/>
  <c r="HB20" i="2" s="1"/>
  <c r="GY20" i="2" a="1"/>
  <c r="GY20" i="2" s="1"/>
  <c r="II20" i="2" a="1"/>
  <c r="II20" i="2" s="1"/>
  <c r="IF20" i="2" a="1"/>
  <c r="IF20" i="2" s="1"/>
  <c r="FX20" i="2" a="1"/>
  <c r="FX20" i="2" s="1"/>
  <c r="GV20" i="2" a="1"/>
  <c r="GV20" i="2" s="1"/>
  <c r="FO20" i="2" a="1"/>
  <c r="FO20" i="2" s="1"/>
  <c r="GS20" i="2" a="1"/>
  <c r="GS20" i="2" s="1"/>
  <c r="GG20" i="2" a="1"/>
  <c r="GG20" i="2" s="1"/>
  <c r="GA20" i="2" a="1"/>
  <c r="GA20" i="2" s="1"/>
  <c r="HN20" i="2" a="1"/>
  <c r="HN20" i="2" s="1"/>
  <c r="FU20" i="2" a="1"/>
  <c r="FU20" i="2" s="1"/>
  <c r="GP20" i="2" a="1"/>
  <c r="GP20" i="2" s="1"/>
  <c r="GD20" i="2" a="1"/>
  <c r="GD20" i="2" s="1"/>
  <c r="GM20" i="2" a="1"/>
  <c r="GM20" i="2" s="1"/>
  <c r="GJ20" i="2" a="1"/>
  <c r="GJ20" i="2" s="1"/>
  <c r="FF20" i="2" a="1"/>
  <c r="FF20" i="2" s="1"/>
  <c r="FC20" i="2" a="1"/>
  <c r="FC20" i="2" s="1"/>
  <c r="DS20" i="2" a="1"/>
  <c r="DS20" i="2" s="1"/>
  <c r="FI20" i="2" a="1"/>
  <c r="FI20" i="2" s="1"/>
  <c r="EK20" i="2" a="1"/>
  <c r="EK20" i="2" s="1"/>
  <c r="EW20" i="2" a="1"/>
  <c r="EW20" i="2" s="1"/>
  <c r="EQ20" i="2" a="1"/>
  <c r="EQ20" i="2" s="1"/>
  <c r="EN20" i="2" a="1"/>
  <c r="EN20" i="2" s="1"/>
  <c r="EH20" i="2" a="1"/>
  <c r="EH20" i="2" s="1"/>
  <c r="EE20" i="2" a="1"/>
  <c r="EE20" i="2" s="1"/>
  <c r="EB20" i="2" a="1"/>
  <c r="EB20" i="2" s="1"/>
  <c r="DY20" i="2" a="1"/>
  <c r="DY20" i="2" s="1"/>
  <c r="FL20" i="2" a="1"/>
  <c r="FL20" i="2" s="1"/>
  <c r="DG20" i="2" a="1"/>
  <c r="DG20" i="2" s="1"/>
  <c r="DA20" i="2" a="1"/>
  <c r="DA20" i="2" s="1"/>
  <c r="FR20" i="2" a="1"/>
  <c r="FR20" i="2" s="1"/>
  <c r="DV20" i="2" a="1"/>
  <c r="DV20" i="2" s="1"/>
  <c r="EZ20" i="2" a="1"/>
  <c r="EZ20" i="2" s="1"/>
  <c r="ET20" i="2" a="1"/>
  <c r="ET20" i="2" s="1"/>
  <c r="DP20" i="2" a="1"/>
  <c r="DP20" i="2" s="1"/>
  <c r="CX20" i="2" a="1"/>
  <c r="CX20" i="2" s="1"/>
  <c r="CR20" i="2" a="1"/>
  <c r="CR20" i="2" s="1"/>
  <c r="DJ20" i="2" a="1"/>
  <c r="DJ20" i="2" s="1"/>
  <c r="CF20" i="2" a="1"/>
  <c r="CF20" i="2" s="1"/>
  <c r="CC20" i="2" a="1"/>
  <c r="CC20" i="2" s="1"/>
  <c r="BW20" i="2" a="1"/>
  <c r="BW20" i="2" s="1"/>
  <c r="BT20" i="2" a="1"/>
  <c r="BT20" i="2" s="1"/>
  <c r="BQ20" i="2" a="1"/>
  <c r="BQ20" i="2" s="1"/>
  <c r="DD20" i="2" a="1"/>
  <c r="DD20" i="2" s="1"/>
  <c r="BZ20" i="2" a="1"/>
  <c r="BZ20" i="2" s="1"/>
  <c r="CU20" i="2" a="1"/>
  <c r="CU20" i="2" s="1"/>
  <c r="CO20" i="2" a="1"/>
  <c r="CO20" i="2" s="1"/>
  <c r="BH20" i="2" a="1"/>
  <c r="BH20" i="2" s="1"/>
  <c r="AV20" i="2" a="1"/>
  <c r="AV20" i="2" s="1"/>
  <c r="X20" i="2" a="1"/>
  <c r="X20" i="2" s="1"/>
  <c r="CL20" i="2" a="1"/>
  <c r="CL20" i="2" s="1"/>
  <c r="CI20" i="2" a="1"/>
  <c r="CI20" i="2" s="1"/>
  <c r="BE20" i="2" a="1"/>
  <c r="BE20" i="2" s="1"/>
  <c r="IU12" i="2" a="1"/>
  <c r="IU12" i="2" s="1"/>
  <c r="JD12" i="2" a="1"/>
  <c r="JD12" i="2" s="1"/>
  <c r="IR12" i="2" a="1"/>
  <c r="IR12" i="2" s="1"/>
  <c r="JA12" i="2" a="1"/>
  <c r="JA12" i="2" s="1"/>
  <c r="IO12" i="2" a="1"/>
  <c r="IO12" i="2" s="1"/>
  <c r="IX12" i="2" a="1"/>
  <c r="IX12" i="2" s="1"/>
  <c r="HZ12" i="2" a="1"/>
  <c r="HZ12" i="2" s="1"/>
  <c r="HW12" i="2" a="1"/>
  <c r="HW12" i="2" s="1"/>
  <c r="HT12" i="2" a="1"/>
  <c r="HT12" i="2" s="1"/>
  <c r="HN12" i="2" a="1"/>
  <c r="HN12" i="2" s="1"/>
  <c r="HK12" i="2" a="1"/>
  <c r="HK12" i="2" s="1"/>
  <c r="HH12" i="2" a="1"/>
  <c r="HH12" i="2" s="1"/>
  <c r="HE12" i="2" a="1"/>
  <c r="HE12" i="2" s="1"/>
  <c r="HB12" i="2" a="1"/>
  <c r="HB12" i="2" s="1"/>
  <c r="GY12" i="2" a="1"/>
  <c r="GY12" i="2" s="1"/>
  <c r="GM12" i="2" a="1"/>
  <c r="GM12" i="2" s="1"/>
  <c r="IL12" i="2" a="1"/>
  <c r="IL12" i="2" s="1"/>
  <c r="GV12" i="2" a="1"/>
  <c r="GV12" i="2" s="1"/>
  <c r="GS12" i="2" a="1"/>
  <c r="GS12" i="2" s="1"/>
  <c r="FR12" i="2" a="1"/>
  <c r="FR12" i="2" s="1"/>
  <c r="GP12" i="2" a="1"/>
  <c r="GP12" i="2" s="1"/>
  <c r="II12" i="2" a="1"/>
  <c r="II12" i="2" s="1"/>
  <c r="IF12" i="2" a="1"/>
  <c r="IF12" i="2" s="1"/>
  <c r="FX12" i="2" a="1"/>
  <c r="FX12" i="2" s="1"/>
  <c r="FL12" i="2" a="1"/>
  <c r="FL12" i="2" s="1"/>
  <c r="GD12" i="2" a="1"/>
  <c r="GD12" i="2" s="1"/>
  <c r="FI12" i="2" a="1"/>
  <c r="FI12" i="2" s="1"/>
  <c r="GJ12" i="2" a="1"/>
  <c r="GJ12" i="2" s="1"/>
  <c r="FF12" i="2" a="1"/>
  <c r="FF12" i="2" s="1"/>
  <c r="FC12" i="2" a="1"/>
  <c r="FC12" i="2" s="1"/>
  <c r="HQ12" i="2" a="1"/>
  <c r="HQ12" i="2" s="1"/>
  <c r="EZ12" i="2" a="1"/>
  <c r="EZ12" i="2" s="1"/>
  <c r="EK12" i="2" a="1"/>
  <c r="EK12" i="2" s="1"/>
  <c r="FO12" i="2" a="1"/>
  <c r="FO12" i="2" s="1"/>
  <c r="EW12" i="2" a="1"/>
  <c r="EW12" i="2" s="1"/>
  <c r="EN12" i="2" a="1"/>
  <c r="EN12" i="2" s="1"/>
  <c r="EH12" i="2" a="1"/>
  <c r="EH12" i="2" s="1"/>
  <c r="EE12" i="2" a="1"/>
  <c r="EE12" i="2" s="1"/>
  <c r="EB12" i="2" a="1"/>
  <c r="EB12" i="2" s="1"/>
  <c r="DY12" i="2" a="1"/>
  <c r="DY12" i="2" s="1"/>
  <c r="ET12" i="2" a="1"/>
  <c r="ET12" i="2" s="1"/>
  <c r="FU12" i="2" a="1"/>
  <c r="FU12" i="2" s="1"/>
  <c r="DS12" i="2" a="1"/>
  <c r="DS12" i="2" s="1"/>
  <c r="GA12" i="2" a="1"/>
  <c r="GA12" i="2" s="1"/>
  <c r="CX12" i="2" a="1"/>
  <c r="CX12" i="2" s="1"/>
  <c r="IC12" i="2" a="1"/>
  <c r="IC12" i="2" s="1"/>
  <c r="EQ12" i="2" a="1"/>
  <c r="EQ12" i="2" s="1"/>
  <c r="GG12" i="2" a="1"/>
  <c r="GG12" i="2" s="1"/>
  <c r="DD12" i="2" a="1"/>
  <c r="DD12" i="2" s="1"/>
  <c r="DA12" i="2" a="1"/>
  <c r="DA12" i="2" s="1"/>
  <c r="CU12" i="2" a="1"/>
  <c r="CU12" i="2" s="1"/>
  <c r="BQ12" i="2" a="1"/>
  <c r="BQ12" i="2" s="1"/>
  <c r="DP12" i="2" a="1"/>
  <c r="DP12" i="2" s="1"/>
  <c r="DG12" i="2" a="1"/>
  <c r="DG12" i="2" s="1"/>
  <c r="CI12" i="2" a="1"/>
  <c r="CI12" i="2" s="1"/>
  <c r="CC12" i="2" a="1"/>
  <c r="CC12" i="2" s="1"/>
  <c r="BW12" i="2" a="1"/>
  <c r="BW12" i="2" s="1"/>
  <c r="AA12" i="2" a="1"/>
  <c r="AA12" i="2" s="1"/>
  <c r="DJ12" i="2" a="1"/>
  <c r="DJ12" i="2" s="1"/>
  <c r="CR12" i="2" a="1"/>
  <c r="CR12" i="2" s="1"/>
  <c r="CO12" i="2" a="1"/>
  <c r="CO12" i="2" s="1"/>
  <c r="BT12" i="2" a="1"/>
  <c r="BT12" i="2" s="1"/>
  <c r="BK12" i="2" a="1"/>
  <c r="BK12" i="2" s="1"/>
  <c r="BB12" i="2" a="1"/>
  <c r="BB12" i="2" s="1"/>
  <c r="AP12" i="2" a="1"/>
  <c r="AP12" i="2" s="1"/>
  <c r="AJ12" i="2" a="1"/>
  <c r="AJ12" i="2" s="1"/>
  <c r="DM12" i="2" a="1"/>
  <c r="DM12" i="2" s="1"/>
  <c r="CL12" i="2" a="1"/>
  <c r="CL12" i="2" s="1"/>
  <c r="DV12" i="2" a="1"/>
  <c r="DV12" i="2" s="1"/>
  <c r="BZ12" i="2" a="1"/>
  <c r="BZ12" i="2" s="1"/>
  <c r="BE12" i="2" a="1"/>
  <c r="BE12" i="2" s="1"/>
  <c r="IU4" i="2" a="1"/>
  <c r="IU4" i="2" s="1"/>
  <c r="II4" i="2" a="1"/>
  <c r="II4" i="2" s="1"/>
  <c r="JD4" i="2" a="1"/>
  <c r="JD4" i="2" s="1"/>
  <c r="IR4" i="2" a="1"/>
  <c r="IR4" i="2" s="1"/>
  <c r="JA4" i="2" a="1"/>
  <c r="JA4" i="2" s="1"/>
  <c r="IO4" i="2" a="1"/>
  <c r="IO4" i="2" s="1"/>
  <c r="IX4" i="2" a="1"/>
  <c r="IX4" i="2" s="1"/>
  <c r="HZ4" i="2" a="1"/>
  <c r="HZ4" i="2" s="1"/>
  <c r="HW4" i="2" a="1"/>
  <c r="HW4" i="2" s="1"/>
  <c r="HT4" i="2" a="1"/>
  <c r="HT4" i="2" s="1"/>
  <c r="IL4" i="2" a="1"/>
  <c r="IL4" i="2" s="1"/>
  <c r="IF4" i="2" a="1"/>
  <c r="IF4" i="2" s="1"/>
  <c r="HN4" i="2" a="1"/>
  <c r="HN4" i="2" s="1"/>
  <c r="IC4" i="2" a="1"/>
  <c r="IC4" i="2" s="1"/>
  <c r="HK4" i="2" a="1"/>
  <c r="HK4" i="2" s="1"/>
  <c r="HH4" i="2" a="1"/>
  <c r="HH4" i="2" s="1"/>
  <c r="HE4" i="2" a="1"/>
  <c r="HE4" i="2" s="1"/>
  <c r="HB4" i="2" a="1"/>
  <c r="HB4" i="2" s="1"/>
  <c r="GY4" i="2" a="1"/>
  <c r="GY4" i="2" s="1"/>
  <c r="GS4" i="2" a="1"/>
  <c r="GS4" i="2" s="1"/>
  <c r="GP4" i="2" a="1"/>
  <c r="GP4" i="2" s="1"/>
  <c r="GM4" i="2" a="1"/>
  <c r="GM4" i="2" s="1"/>
  <c r="GD4" i="2" a="1"/>
  <c r="GD4" i="2" s="1"/>
  <c r="GA4" i="2" a="1"/>
  <c r="GA4" i="2" s="1"/>
  <c r="HQ4" i="2" a="1"/>
  <c r="HQ4" i="2" s="1"/>
  <c r="FR4" i="2" a="1"/>
  <c r="FR4" i="2" s="1"/>
  <c r="FX4" i="2" a="1"/>
  <c r="FX4" i="2" s="1"/>
  <c r="GJ4" i="2" a="1"/>
  <c r="GJ4" i="2" s="1"/>
  <c r="GV4" i="2" a="1"/>
  <c r="GV4" i="2" s="1"/>
  <c r="GG4" i="2" a="1"/>
  <c r="GG4" i="2" s="1"/>
  <c r="FL4" i="2" a="1"/>
  <c r="FL4" i="2" s="1"/>
  <c r="FI4" i="2" a="1"/>
  <c r="FI4" i="2" s="1"/>
  <c r="FC4" i="2" a="1"/>
  <c r="FC4" i="2" s="1"/>
  <c r="ET4" i="2" a="1"/>
  <c r="ET4" i="2" s="1"/>
  <c r="EK4" i="2" a="1"/>
  <c r="EK4" i="2" s="1"/>
  <c r="EZ4" i="2" a="1"/>
  <c r="EZ4" i="2" s="1"/>
  <c r="EW4" i="2" a="1"/>
  <c r="EW4" i="2" s="1"/>
  <c r="EN4" i="2" a="1"/>
  <c r="EN4" i="2" s="1"/>
  <c r="EH4" i="2" a="1"/>
  <c r="EH4" i="2" s="1"/>
  <c r="EE4" i="2" a="1"/>
  <c r="EE4" i="2" s="1"/>
  <c r="EB4" i="2" a="1"/>
  <c r="EB4" i="2" s="1"/>
  <c r="DY4" i="2" a="1"/>
  <c r="DY4" i="2" s="1"/>
  <c r="EQ4" i="2" a="1"/>
  <c r="EQ4" i="2" s="1"/>
  <c r="DD4" i="2" a="1"/>
  <c r="DD4" i="2" s="1"/>
  <c r="CX4" i="2" a="1"/>
  <c r="CX4" i="2" s="1"/>
  <c r="FO4" i="2" a="1"/>
  <c r="FO4" i="2" s="1"/>
  <c r="FF4" i="2" a="1"/>
  <c r="FF4" i="2" s="1"/>
  <c r="DS4" i="2" a="1"/>
  <c r="DS4" i="2" s="1"/>
  <c r="FU4" i="2" a="1"/>
  <c r="FU4" i="2" s="1"/>
  <c r="DA4" i="2" a="1"/>
  <c r="DA4" i="2" s="1"/>
  <c r="CO4" i="2" a="1"/>
  <c r="CO4" i="2" s="1"/>
  <c r="DJ4" i="2" a="1"/>
  <c r="DJ4" i="2" s="1"/>
  <c r="DP4" i="2" a="1"/>
  <c r="DP4" i="2" s="1"/>
  <c r="CC4" i="2" a="1"/>
  <c r="CC4" i="2" s="1"/>
  <c r="BZ4" i="2" a="1"/>
  <c r="BZ4" i="2" s="1"/>
  <c r="BQ4" i="2" a="1"/>
  <c r="BQ4" i="2" s="1"/>
  <c r="DG4" i="2" a="1"/>
  <c r="DG4" i="2" s="1"/>
  <c r="CI4" i="2" a="1"/>
  <c r="CI4" i="2" s="1"/>
  <c r="BW4" i="2" a="1"/>
  <c r="BW4" i="2" s="1"/>
  <c r="BT4" i="2" a="1"/>
  <c r="BT4" i="2" s="1"/>
  <c r="BN4" i="2" a="1"/>
  <c r="BN4" i="2" s="1"/>
  <c r="CU4" i="2" a="1"/>
  <c r="CU4" i="2" s="1"/>
  <c r="CR4" i="2" a="1"/>
  <c r="CR4" i="2" s="1"/>
  <c r="AA4" i="2" a="1"/>
  <c r="AA4" i="2" s="1"/>
  <c r="CL4" i="2" a="1"/>
  <c r="CL4" i="2" s="1"/>
  <c r="BH4" i="2" a="1"/>
  <c r="BH4" i="2" s="1"/>
  <c r="BE4" i="2" a="1"/>
  <c r="BE4" i="2" s="1"/>
  <c r="AV4" i="2" a="1"/>
  <c r="AV4" i="2" s="1"/>
  <c r="I60" i="2" a="1"/>
  <c r="I60" i="2" s="1"/>
  <c r="L60" i="2" a="1"/>
  <c r="L60" i="2" s="1"/>
  <c r="L51" i="2" a="1"/>
  <c r="L51" i="2" s="1"/>
  <c r="L28" i="2" a="1"/>
  <c r="L28" i="2" s="1"/>
  <c r="L19" i="2" a="1"/>
  <c r="L19" i="2" s="1"/>
  <c r="R67" i="2" a="1"/>
  <c r="R67" i="2" s="1"/>
  <c r="R44" i="2" a="1"/>
  <c r="R44" i="2" s="1"/>
  <c r="X64" i="2" a="1"/>
  <c r="X64" i="2" s="1"/>
  <c r="X59" i="2" a="1"/>
  <c r="X59" i="2" s="1"/>
  <c r="X54" i="2" a="1"/>
  <c r="X54" i="2" s="1"/>
  <c r="X32" i="2" a="1"/>
  <c r="X32" i="2" s="1"/>
  <c r="X14" i="2" a="1"/>
  <c r="X14" i="2" s="1"/>
  <c r="X8" i="2" a="1"/>
  <c r="X8" i="2" s="1"/>
  <c r="AA51" i="2" a="1"/>
  <c r="AA51" i="2" s="1"/>
  <c r="AA43" i="2" a="1"/>
  <c r="AA43" i="2" s="1"/>
  <c r="AA36" i="2" a="1"/>
  <c r="AA36" i="2" s="1"/>
  <c r="AA30" i="2" a="1"/>
  <c r="AA30" i="2" s="1"/>
  <c r="AA22" i="2" a="1"/>
  <c r="AA22" i="2" s="1"/>
  <c r="AA15" i="2" a="1"/>
  <c r="AA15" i="2" s="1"/>
  <c r="AD43" i="2" a="1"/>
  <c r="AD43" i="2" s="1"/>
  <c r="AG20" i="2" a="1"/>
  <c r="AG20" i="2" s="1"/>
  <c r="AG6" i="2" a="1"/>
  <c r="AG6" i="2" s="1"/>
  <c r="AJ47" i="2" a="1"/>
  <c r="AJ47" i="2" s="1"/>
  <c r="AJ40" i="2" a="1"/>
  <c r="AJ40" i="2" s="1"/>
  <c r="AM67" i="2" a="1"/>
  <c r="AM67" i="2" s="1"/>
  <c r="AM59" i="2" a="1"/>
  <c r="AM59" i="2" s="1"/>
  <c r="AM52" i="2" a="1"/>
  <c r="AM52" i="2" s="1"/>
  <c r="AM38" i="2" a="1"/>
  <c r="AM38" i="2" s="1"/>
  <c r="AM8" i="2" a="1"/>
  <c r="AM8" i="2" s="1"/>
  <c r="AP72" i="2" a="1"/>
  <c r="AP72" i="2" s="1"/>
  <c r="AP28" i="2" a="1"/>
  <c r="AP28" i="2" s="1"/>
  <c r="AP20" i="2" a="1"/>
  <c r="AP20" i="2" s="1"/>
  <c r="AP6" i="2" a="1"/>
  <c r="AP6" i="2" s="1"/>
  <c r="AS64" i="2" a="1"/>
  <c r="AS64" i="2" s="1"/>
  <c r="AS51" i="2" a="1"/>
  <c r="AS51" i="2" s="1"/>
  <c r="AS32" i="2" a="1"/>
  <c r="AS32" i="2" s="1"/>
  <c r="AS19" i="2" a="1"/>
  <c r="AS19" i="2" s="1"/>
  <c r="AV68" i="2" a="1"/>
  <c r="AV68" i="2" s="1"/>
  <c r="AV44" i="2" a="1"/>
  <c r="AV44" i="2" s="1"/>
  <c r="AV6" i="2" a="1"/>
  <c r="AV6" i="2" s="1"/>
  <c r="AY68" i="2" a="1"/>
  <c r="AY68" i="2" s="1"/>
  <c r="AY60" i="2" a="1"/>
  <c r="AY60" i="2" s="1"/>
  <c r="AY52" i="2" a="1"/>
  <c r="AY52" i="2" s="1"/>
  <c r="AY44" i="2" a="1"/>
  <c r="AY44" i="2" s="1"/>
  <c r="AY36" i="2" a="1"/>
  <c r="AY36" i="2" s="1"/>
  <c r="AY28" i="2" a="1"/>
  <c r="AY28" i="2" s="1"/>
  <c r="AY20" i="2" a="1"/>
  <c r="AY20" i="2" s="1"/>
  <c r="AY12" i="2" a="1"/>
  <c r="AY12" i="2" s="1"/>
  <c r="AY4" i="2" a="1"/>
  <c r="AY4" i="2" s="1"/>
  <c r="BB20" i="2" a="1"/>
  <c r="BB20" i="2" s="1"/>
  <c r="BB11" i="2" a="1"/>
  <c r="BB11" i="2" s="1"/>
  <c r="BH71" i="2" a="1"/>
  <c r="BH71" i="2" s="1"/>
  <c r="BK55" i="2" a="1"/>
  <c r="BK55" i="2" s="1"/>
  <c r="BK44" i="2" a="1"/>
  <c r="BK44" i="2" s="1"/>
  <c r="BK16" i="2" a="1"/>
  <c r="BK16" i="2" s="1"/>
  <c r="BQ56" i="2" a="1"/>
  <c r="BQ56" i="2" s="1"/>
  <c r="BQ47" i="2" a="1"/>
  <c r="BQ47" i="2" s="1"/>
  <c r="BT54" i="2" a="1"/>
  <c r="BT54" i="2" s="1"/>
  <c r="BT24" i="2" a="1"/>
  <c r="BT24" i="2" s="1"/>
  <c r="BW63" i="2" a="1"/>
  <c r="BW63" i="2" s="1"/>
  <c r="BW22" i="2" a="1"/>
  <c r="BW22" i="2" s="1"/>
  <c r="BZ72" i="2" a="1"/>
  <c r="BZ72" i="2" s="1"/>
  <c r="CC70" i="2" a="1"/>
  <c r="CC70" i="2" s="1"/>
  <c r="CF62" i="2" a="1"/>
  <c r="CF62" i="2" s="1"/>
  <c r="CF4" i="2" a="1"/>
  <c r="CF4" i="2" s="1"/>
  <c r="CL67" i="2" a="1"/>
  <c r="CL67" i="2" s="1"/>
  <c r="CL15" i="2" a="1"/>
  <c r="CL15" i="2" s="1"/>
  <c r="CO68" i="2" a="1"/>
  <c r="CO68" i="2" s="1"/>
  <c r="CU39" i="2" a="1"/>
  <c r="CU39" i="2" s="1"/>
  <c r="CX44" i="2" a="1"/>
  <c r="CX44" i="2" s="1"/>
  <c r="DM48" i="2" a="1"/>
  <c r="DM48" i="2" s="1"/>
  <c r="DP24" i="2" a="1"/>
  <c r="DP24" i="2" s="1"/>
  <c r="AJ70" i="2" a="1"/>
  <c r="AJ70" i="2" s="1"/>
  <c r="AM24" i="2" a="1"/>
  <c r="AM24" i="2" s="1"/>
  <c r="O60" i="2" a="1"/>
  <c r="O60" i="2" s="1"/>
  <c r="JD60" i="2" a="1"/>
  <c r="JD60" i="2" s="1"/>
  <c r="IR60" i="2" a="1"/>
  <c r="IR60" i="2" s="1"/>
  <c r="JA60" i="2" a="1"/>
  <c r="JA60" i="2" s="1"/>
  <c r="IX60" i="2" a="1"/>
  <c r="IX60" i="2" s="1"/>
  <c r="IU60" i="2" a="1"/>
  <c r="IU60" i="2" s="1"/>
  <c r="IL60" i="2" a="1"/>
  <c r="IL60" i="2" s="1"/>
  <c r="IF60" i="2" a="1"/>
  <c r="IF60" i="2" s="1"/>
  <c r="IO60" i="2" a="1"/>
  <c r="IO60" i="2" s="1"/>
  <c r="HW60" i="2" a="1"/>
  <c r="HW60" i="2" s="1"/>
  <c r="HT60" i="2" a="1"/>
  <c r="HT60" i="2" s="1"/>
  <c r="HQ60" i="2" a="1"/>
  <c r="HQ60" i="2" s="1"/>
  <c r="GP60" i="2" a="1"/>
  <c r="GP60" i="2" s="1"/>
  <c r="GS60" i="2" a="1"/>
  <c r="GS60" i="2" s="1"/>
  <c r="HN60" i="2" a="1"/>
  <c r="HN60" i="2" s="1"/>
  <c r="HK60" i="2" a="1"/>
  <c r="HK60" i="2" s="1"/>
  <c r="HH60" i="2" a="1"/>
  <c r="HH60" i="2" s="1"/>
  <c r="HE60" i="2" a="1"/>
  <c r="HE60" i="2" s="1"/>
  <c r="HB60" i="2" a="1"/>
  <c r="HB60" i="2" s="1"/>
  <c r="GY60" i="2" a="1"/>
  <c r="GY60" i="2" s="1"/>
  <c r="GV60" i="2" a="1"/>
  <c r="GV60" i="2" s="1"/>
  <c r="GJ60" i="2" a="1"/>
  <c r="GJ60" i="2" s="1"/>
  <c r="GG60" i="2" a="1"/>
  <c r="GG60" i="2" s="1"/>
  <c r="IC60" i="2" a="1"/>
  <c r="IC60" i="2" s="1"/>
  <c r="GD60" i="2" a="1"/>
  <c r="GD60" i="2" s="1"/>
  <c r="FR60" i="2" a="1"/>
  <c r="FR60" i="2" s="1"/>
  <c r="II60" i="2" a="1"/>
  <c r="II60" i="2" s="1"/>
  <c r="GM60" i="2" a="1"/>
  <c r="GM60" i="2" s="1"/>
  <c r="GA60" i="2" a="1"/>
  <c r="GA60" i="2" s="1"/>
  <c r="FX60" i="2" a="1"/>
  <c r="FX60" i="2" s="1"/>
  <c r="HZ60" i="2" a="1"/>
  <c r="HZ60" i="2" s="1"/>
  <c r="FL60" i="2" a="1"/>
  <c r="FL60" i="2" s="1"/>
  <c r="FF60" i="2" a="1"/>
  <c r="FF60" i="2" s="1"/>
  <c r="FO60" i="2" a="1"/>
  <c r="FO60" i="2" s="1"/>
  <c r="FI60" i="2" a="1"/>
  <c r="FI60" i="2" s="1"/>
  <c r="EQ60" i="2" a="1"/>
  <c r="EQ60" i="2" s="1"/>
  <c r="EZ60" i="2" a="1"/>
  <c r="EZ60" i="2" s="1"/>
  <c r="FC60" i="2" a="1"/>
  <c r="FC60" i="2" s="1"/>
  <c r="EW60" i="2" a="1"/>
  <c r="EW60" i="2" s="1"/>
  <c r="EH60" i="2" a="1"/>
  <c r="EH60" i="2" s="1"/>
  <c r="EE60" i="2" a="1"/>
  <c r="EE60" i="2" s="1"/>
  <c r="EB60" i="2" a="1"/>
  <c r="EB60" i="2" s="1"/>
  <c r="DY60" i="2" a="1"/>
  <c r="DY60" i="2" s="1"/>
  <c r="EN60" i="2" a="1"/>
  <c r="EN60" i="2" s="1"/>
  <c r="DS60" i="2" a="1"/>
  <c r="DS60" i="2" s="1"/>
  <c r="DV60" i="2" a="1"/>
  <c r="DV60" i="2" s="1"/>
  <c r="DP60" i="2" a="1"/>
  <c r="DP60" i="2" s="1"/>
  <c r="EK60" i="2" a="1"/>
  <c r="EK60" i="2" s="1"/>
  <c r="FU60" i="2" a="1"/>
  <c r="FU60" i="2" s="1"/>
  <c r="DM60" i="2" a="1"/>
  <c r="DM60" i="2" s="1"/>
  <c r="DJ60" i="2" a="1"/>
  <c r="DJ60" i="2" s="1"/>
  <c r="DD60" i="2" a="1"/>
  <c r="DD60" i="2" s="1"/>
  <c r="DG60" i="2" a="1"/>
  <c r="DG60" i="2" s="1"/>
  <c r="ET60" i="2" a="1"/>
  <c r="ET60" i="2" s="1"/>
  <c r="CU60" i="2" a="1"/>
  <c r="CU60" i="2" s="1"/>
  <c r="CR60" i="2" a="1"/>
  <c r="CR60" i="2" s="1"/>
  <c r="CO60" i="2" a="1"/>
  <c r="CO60" i="2" s="1"/>
  <c r="CL60" i="2" a="1"/>
  <c r="CL60" i="2" s="1"/>
  <c r="BZ60" i="2" a="1"/>
  <c r="BZ60" i="2" s="1"/>
  <c r="AM60" i="2" a="1"/>
  <c r="AM60" i="2" s="1"/>
  <c r="AG60" i="2" a="1"/>
  <c r="AG60" i="2" s="1"/>
  <c r="CI60" i="2" a="1"/>
  <c r="CI60" i="2" s="1"/>
  <c r="CC60" i="2" a="1"/>
  <c r="CC60" i="2" s="1"/>
  <c r="CF60" i="2" a="1"/>
  <c r="CF60" i="2" s="1"/>
  <c r="BW60" i="2" a="1"/>
  <c r="BW60" i="2" s="1"/>
  <c r="BN60" i="2" a="1"/>
  <c r="BN60" i="2" s="1"/>
  <c r="BE60" i="2" a="1"/>
  <c r="BE60" i="2" s="1"/>
  <c r="BB60" i="2" a="1"/>
  <c r="BB60" i="2" s="1"/>
  <c r="JD67" i="2" a="1"/>
  <c r="JD67" i="2" s="1"/>
  <c r="IR67" i="2" a="1"/>
  <c r="IR67" i="2" s="1"/>
  <c r="JA67" i="2" a="1"/>
  <c r="JA67" i="2" s="1"/>
  <c r="IX67" i="2" a="1"/>
  <c r="IX67" i="2" s="1"/>
  <c r="II67" i="2" a="1"/>
  <c r="II67" i="2" s="1"/>
  <c r="IF67" i="2" a="1"/>
  <c r="IF67" i="2" s="1"/>
  <c r="O67" i="2" a="1"/>
  <c r="O67" i="2" s="1"/>
  <c r="HW67" i="2" a="1"/>
  <c r="HW67" i="2" s="1"/>
  <c r="HT67" i="2" a="1"/>
  <c r="HT67" i="2" s="1"/>
  <c r="IO67" i="2" a="1"/>
  <c r="IO67" i="2" s="1"/>
  <c r="IL67" i="2" a="1"/>
  <c r="IL67" i="2" s="1"/>
  <c r="IC67" i="2" a="1"/>
  <c r="IC67" i="2" s="1"/>
  <c r="HZ67" i="2" a="1"/>
  <c r="HZ67" i="2" s="1"/>
  <c r="GP67" i="2" a="1"/>
  <c r="GP67" i="2" s="1"/>
  <c r="HN67" i="2" a="1"/>
  <c r="HN67" i="2" s="1"/>
  <c r="GS67" i="2" a="1"/>
  <c r="GS67" i="2" s="1"/>
  <c r="IU67" i="2" a="1"/>
  <c r="IU67" i="2" s="1"/>
  <c r="GM67" i="2" a="1"/>
  <c r="GM67" i="2" s="1"/>
  <c r="HK67" i="2" a="1"/>
  <c r="HK67" i="2" s="1"/>
  <c r="HB67" i="2" a="1"/>
  <c r="HB67" i="2" s="1"/>
  <c r="GJ67" i="2" a="1"/>
  <c r="GJ67" i="2" s="1"/>
  <c r="GG67" i="2" a="1"/>
  <c r="GG67" i="2" s="1"/>
  <c r="GV67" i="2" a="1"/>
  <c r="GV67" i="2" s="1"/>
  <c r="GD67" i="2" a="1"/>
  <c r="GD67" i="2" s="1"/>
  <c r="FR67" i="2" a="1"/>
  <c r="FR67" i="2" s="1"/>
  <c r="HH67" i="2" a="1"/>
  <c r="HH67" i="2" s="1"/>
  <c r="GA67" i="2" a="1"/>
  <c r="GA67" i="2" s="1"/>
  <c r="FX67" i="2" a="1"/>
  <c r="FX67" i="2" s="1"/>
  <c r="HE67" i="2" a="1"/>
  <c r="HE67" i="2" s="1"/>
  <c r="GY67" i="2" a="1"/>
  <c r="GY67" i="2" s="1"/>
  <c r="HQ67" i="2" a="1"/>
  <c r="HQ67" i="2" s="1"/>
  <c r="FL67" i="2" a="1"/>
  <c r="FL67" i="2" s="1"/>
  <c r="FC67" i="2" a="1"/>
  <c r="FC67" i="2" s="1"/>
  <c r="FF67" i="2" a="1"/>
  <c r="FF67" i="2" s="1"/>
  <c r="EN67" i="2" a="1"/>
  <c r="EN67" i="2" s="1"/>
  <c r="FI67" i="2" a="1"/>
  <c r="FI67" i="2" s="1"/>
  <c r="EZ67" i="2" a="1"/>
  <c r="EZ67" i="2" s="1"/>
  <c r="EQ67" i="2" a="1"/>
  <c r="EQ67" i="2" s="1"/>
  <c r="DJ67" i="2" a="1"/>
  <c r="DJ67" i="2" s="1"/>
  <c r="EB67" i="2" a="1"/>
  <c r="EB67" i="2" s="1"/>
  <c r="ET67" i="2" a="1"/>
  <c r="ET67" i="2" s="1"/>
  <c r="EK67" i="2" a="1"/>
  <c r="EK67" i="2" s="1"/>
  <c r="FO67" i="2" a="1"/>
  <c r="FO67" i="2" s="1"/>
  <c r="DS67" i="2" a="1"/>
  <c r="DS67" i="2" s="1"/>
  <c r="DP67" i="2" a="1"/>
  <c r="DP67" i="2" s="1"/>
  <c r="FU67" i="2" a="1"/>
  <c r="FU67" i="2" s="1"/>
  <c r="DD67" i="2" a="1"/>
  <c r="DD67" i="2" s="1"/>
  <c r="DY67" i="2" a="1"/>
  <c r="DY67" i="2" s="1"/>
  <c r="DM67" i="2" a="1"/>
  <c r="DM67" i="2" s="1"/>
  <c r="DV67" i="2" a="1"/>
  <c r="DV67" i="2" s="1"/>
  <c r="EW67" i="2" a="1"/>
  <c r="EW67" i="2" s="1"/>
  <c r="EH67" i="2" a="1"/>
  <c r="EH67" i="2" s="1"/>
  <c r="EE67" i="2" a="1"/>
  <c r="EE67" i="2" s="1"/>
  <c r="DA67" i="2" a="1"/>
  <c r="DA67" i="2" s="1"/>
  <c r="CO67" i="2" a="1"/>
  <c r="CO67" i="2" s="1"/>
  <c r="AD67" i="2" a="1"/>
  <c r="AD67" i="2" s="1"/>
  <c r="CI67" i="2" a="1"/>
  <c r="CI67" i="2" s="1"/>
  <c r="BZ67" i="2" a="1"/>
  <c r="BZ67" i="2" s="1"/>
  <c r="BK67" i="2" a="1"/>
  <c r="BK67" i="2" s="1"/>
  <c r="BH67" i="2" a="1"/>
  <c r="BH67" i="2" s="1"/>
  <c r="BB67" i="2" a="1"/>
  <c r="BB67" i="2" s="1"/>
  <c r="AP67" i="2" a="1"/>
  <c r="AP67" i="2" s="1"/>
  <c r="AJ67" i="2" a="1"/>
  <c r="AJ67" i="2" s="1"/>
  <c r="AA67" i="2" a="1"/>
  <c r="AA67" i="2" s="1"/>
  <c r="CU67" i="2" a="1"/>
  <c r="CU67" i="2" s="1"/>
  <c r="BT67" i="2" a="1"/>
  <c r="BT67" i="2" s="1"/>
  <c r="AY67" i="2" a="1"/>
  <c r="AY67" i="2" s="1"/>
  <c r="JD59" i="2" a="1"/>
  <c r="JD59" i="2" s="1"/>
  <c r="IR59" i="2" a="1"/>
  <c r="IR59" i="2" s="1"/>
  <c r="JA59" i="2" a="1"/>
  <c r="JA59" i="2" s="1"/>
  <c r="IU59" i="2" a="1"/>
  <c r="IU59" i="2" s="1"/>
  <c r="IL59" i="2" a="1"/>
  <c r="IL59" i="2" s="1"/>
  <c r="IF59" i="2" a="1"/>
  <c r="IF59" i="2" s="1"/>
  <c r="IO59" i="2" a="1"/>
  <c r="IO59" i="2" s="1"/>
  <c r="HW59" i="2" a="1"/>
  <c r="HW59" i="2" s="1"/>
  <c r="HT59" i="2" a="1"/>
  <c r="HT59" i="2" s="1"/>
  <c r="HZ59" i="2" a="1"/>
  <c r="HZ59" i="2" s="1"/>
  <c r="O59" i="2" a="1"/>
  <c r="O59" i="2" s="1"/>
  <c r="IX59" i="2" a="1"/>
  <c r="IX59" i="2" s="1"/>
  <c r="GP59" i="2" a="1"/>
  <c r="GP59" i="2" s="1"/>
  <c r="HQ59" i="2" a="1"/>
  <c r="HQ59" i="2" s="1"/>
  <c r="GS59" i="2" a="1"/>
  <c r="GS59" i="2" s="1"/>
  <c r="GV59" i="2" a="1"/>
  <c r="GV59" i="2" s="1"/>
  <c r="HE59" i="2" a="1"/>
  <c r="HE59" i="2" s="1"/>
  <c r="GJ59" i="2" a="1"/>
  <c r="GJ59" i="2" s="1"/>
  <c r="FL59" i="2" a="1"/>
  <c r="FL59" i="2" s="1"/>
  <c r="HN59" i="2" a="1"/>
  <c r="HN59" i="2" s="1"/>
  <c r="GY59" i="2" a="1"/>
  <c r="GY59" i="2" s="1"/>
  <c r="GG59" i="2" a="1"/>
  <c r="GG59" i="2" s="1"/>
  <c r="IC59" i="2" a="1"/>
  <c r="IC59" i="2" s="1"/>
  <c r="HK59" i="2" a="1"/>
  <c r="HK59" i="2" s="1"/>
  <c r="GD59" i="2" a="1"/>
  <c r="GD59" i="2" s="1"/>
  <c r="FR59" i="2" a="1"/>
  <c r="FR59" i="2" s="1"/>
  <c r="HH59" i="2" a="1"/>
  <c r="HH59" i="2" s="1"/>
  <c r="FX59" i="2" a="1"/>
  <c r="FX59" i="2" s="1"/>
  <c r="HB59" i="2" a="1"/>
  <c r="HB59" i="2" s="1"/>
  <c r="GA59" i="2" a="1"/>
  <c r="GA59" i="2" s="1"/>
  <c r="GM59" i="2" a="1"/>
  <c r="GM59" i="2" s="1"/>
  <c r="FU59" i="2" a="1"/>
  <c r="FU59" i="2" s="1"/>
  <c r="EK59" i="2" a="1"/>
  <c r="EK59" i="2" s="1"/>
  <c r="FI59" i="2" a="1"/>
  <c r="FI59" i="2" s="1"/>
  <c r="EN59" i="2" a="1"/>
  <c r="EN59" i="2" s="1"/>
  <c r="EQ59" i="2" a="1"/>
  <c r="EQ59" i="2" s="1"/>
  <c r="EZ59" i="2" a="1"/>
  <c r="EZ59" i="2" s="1"/>
  <c r="DS59" i="2" a="1"/>
  <c r="DS59" i="2" s="1"/>
  <c r="DD59" i="2" a="1"/>
  <c r="DD59" i="2" s="1"/>
  <c r="EW59" i="2" a="1"/>
  <c r="EW59" i="2" s="1"/>
  <c r="EH59" i="2" a="1"/>
  <c r="EH59" i="2" s="1"/>
  <c r="EE59" i="2" a="1"/>
  <c r="EE59" i="2" s="1"/>
  <c r="DV59" i="2" a="1"/>
  <c r="DV59" i="2" s="1"/>
  <c r="DY59" i="2" a="1"/>
  <c r="DY59" i="2" s="1"/>
  <c r="DP59" i="2" a="1"/>
  <c r="DP59" i="2" s="1"/>
  <c r="EB59" i="2" a="1"/>
  <c r="EB59" i="2" s="1"/>
  <c r="DM59" i="2" a="1"/>
  <c r="DM59" i="2" s="1"/>
  <c r="DJ59" i="2" a="1"/>
  <c r="DJ59" i="2" s="1"/>
  <c r="FO59" i="2" a="1"/>
  <c r="FO59" i="2" s="1"/>
  <c r="II59" i="2" a="1"/>
  <c r="II59" i="2" s="1"/>
  <c r="FC59" i="2" a="1"/>
  <c r="FC59" i="2" s="1"/>
  <c r="BZ59" i="2" a="1"/>
  <c r="BZ59" i="2" s="1"/>
  <c r="BW59" i="2" a="1"/>
  <c r="BW59" i="2" s="1"/>
  <c r="CL59" i="2" a="1"/>
  <c r="CL59" i="2" s="1"/>
  <c r="CI59" i="2" a="1"/>
  <c r="CI59" i="2" s="1"/>
  <c r="ET59" i="2" a="1"/>
  <c r="ET59" i="2" s="1"/>
  <c r="DA59" i="2" a="1"/>
  <c r="DA59" i="2" s="1"/>
  <c r="CC59" i="2" a="1"/>
  <c r="CC59" i="2" s="1"/>
  <c r="BT59" i="2" a="1"/>
  <c r="BT59" i="2" s="1"/>
  <c r="CR59" i="2" a="1"/>
  <c r="CR59" i="2" s="1"/>
  <c r="AV59" i="2" a="1"/>
  <c r="AV59" i="2" s="1"/>
  <c r="CF59" i="2" a="1"/>
  <c r="CF59" i="2" s="1"/>
  <c r="BQ59" i="2" a="1"/>
  <c r="BQ59" i="2" s="1"/>
  <c r="DG59" i="2" a="1"/>
  <c r="DG59" i="2" s="1"/>
  <c r="BK59" i="2" a="1"/>
  <c r="BK59" i="2" s="1"/>
  <c r="BH59" i="2" a="1"/>
  <c r="BH59" i="2" s="1"/>
  <c r="AY59" i="2" a="1"/>
  <c r="AY59" i="2" s="1"/>
  <c r="IU51" i="2" a="1"/>
  <c r="IU51" i="2" s="1"/>
  <c r="JD51" i="2" a="1"/>
  <c r="JD51" i="2" s="1"/>
  <c r="II51" i="2" a="1"/>
  <c r="II51" i="2" s="1"/>
  <c r="IR51" i="2" a="1"/>
  <c r="IR51" i="2" s="1"/>
  <c r="JA51" i="2" a="1"/>
  <c r="JA51" i="2" s="1"/>
  <c r="IX51" i="2" a="1"/>
  <c r="IX51" i="2" s="1"/>
  <c r="IO51" i="2" a="1"/>
  <c r="IO51" i="2" s="1"/>
  <c r="IF51" i="2" a="1"/>
  <c r="IF51" i="2" s="1"/>
  <c r="IC51" i="2" a="1"/>
  <c r="IC51" i="2" s="1"/>
  <c r="HW51" i="2" a="1"/>
  <c r="HW51" i="2" s="1"/>
  <c r="HT51" i="2" a="1"/>
  <c r="HT51" i="2" s="1"/>
  <c r="HN51" i="2" a="1"/>
  <c r="HN51" i="2" s="1"/>
  <c r="HQ51" i="2" a="1"/>
  <c r="HQ51" i="2" s="1"/>
  <c r="GP51" i="2" a="1"/>
  <c r="GP51" i="2" s="1"/>
  <c r="O51" i="2" a="1"/>
  <c r="O51" i="2" s="1"/>
  <c r="HZ51" i="2" a="1"/>
  <c r="HZ51" i="2" s="1"/>
  <c r="GY51" i="2" a="1"/>
  <c r="GY51" i="2" s="1"/>
  <c r="HH51" i="2" a="1"/>
  <c r="HH51" i="2" s="1"/>
  <c r="FU51" i="2" a="1"/>
  <c r="FU51" i="2" s="1"/>
  <c r="HB51" i="2" a="1"/>
  <c r="HB51" i="2" s="1"/>
  <c r="GJ51" i="2" a="1"/>
  <c r="GJ51" i="2" s="1"/>
  <c r="GG51" i="2" a="1"/>
  <c r="GG51" i="2" s="1"/>
  <c r="FL51" i="2" a="1"/>
  <c r="FL51" i="2" s="1"/>
  <c r="GA51" i="2" a="1"/>
  <c r="GA51" i="2" s="1"/>
  <c r="GS51" i="2" a="1"/>
  <c r="GS51" i="2" s="1"/>
  <c r="HE51" i="2" a="1"/>
  <c r="HE51" i="2" s="1"/>
  <c r="FO51" i="2" a="1"/>
  <c r="FO51" i="2" s="1"/>
  <c r="IL51" i="2" a="1"/>
  <c r="IL51" i="2" s="1"/>
  <c r="GD51" i="2" a="1"/>
  <c r="GD51" i="2" s="1"/>
  <c r="HK51" i="2" a="1"/>
  <c r="HK51" i="2" s="1"/>
  <c r="GM51" i="2" a="1"/>
  <c r="GM51" i="2" s="1"/>
  <c r="EK51" i="2" a="1"/>
  <c r="EK51" i="2" s="1"/>
  <c r="DS51" i="2" a="1"/>
  <c r="DS51" i="2" s="1"/>
  <c r="GV51" i="2" a="1"/>
  <c r="GV51" i="2" s="1"/>
  <c r="EN51" i="2" a="1"/>
  <c r="EN51" i="2" s="1"/>
  <c r="EQ51" i="2" a="1"/>
  <c r="EQ51" i="2" s="1"/>
  <c r="FC51" i="2" a="1"/>
  <c r="FC51" i="2" s="1"/>
  <c r="FX51" i="2" a="1"/>
  <c r="FX51" i="2" s="1"/>
  <c r="FF51" i="2" a="1"/>
  <c r="FF51" i="2" s="1"/>
  <c r="ET51" i="2" a="1"/>
  <c r="ET51" i="2" s="1"/>
  <c r="DY51" i="2" a="1"/>
  <c r="DY51" i="2" s="1"/>
  <c r="DJ51" i="2" a="1"/>
  <c r="DJ51" i="2" s="1"/>
  <c r="FI51" i="2" a="1"/>
  <c r="FI51" i="2" s="1"/>
  <c r="EB51" i="2" a="1"/>
  <c r="EB51" i="2" s="1"/>
  <c r="DP51" i="2" a="1"/>
  <c r="DP51" i="2" s="1"/>
  <c r="EZ51" i="2" a="1"/>
  <c r="EZ51" i="2" s="1"/>
  <c r="EE51" i="2" a="1"/>
  <c r="EE51" i="2" s="1"/>
  <c r="FR51" i="2" a="1"/>
  <c r="FR51" i="2" s="1"/>
  <c r="DG51" i="2" a="1"/>
  <c r="DG51" i="2" s="1"/>
  <c r="DD51" i="2" a="1"/>
  <c r="DD51" i="2" s="1"/>
  <c r="CI51" i="2" a="1"/>
  <c r="CI51" i="2" s="1"/>
  <c r="EH51" i="2" a="1"/>
  <c r="EH51" i="2" s="1"/>
  <c r="DA51" i="2" a="1"/>
  <c r="DA51" i="2" s="1"/>
  <c r="EW51" i="2" a="1"/>
  <c r="EW51" i="2" s="1"/>
  <c r="CU51" i="2" a="1"/>
  <c r="CU51" i="2" s="1"/>
  <c r="CF51" i="2" a="1"/>
  <c r="CF51" i="2" s="1"/>
  <c r="DM51" i="2" a="1"/>
  <c r="DM51" i="2" s="1"/>
  <c r="CL51" i="2" a="1"/>
  <c r="CL51" i="2" s="1"/>
  <c r="CO51" i="2" a="1"/>
  <c r="CO51" i="2" s="1"/>
  <c r="BK51" i="2" a="1"/>
  <c r="BK51" i="2" s="1"/>
  <c r="AM51" i="2" a="1"/>
  <c r="AM51" i="2" s="1"/>
  <c r="AG51" i="2" a="1"/>
  <c r="AG51" i="2" s="1"/>
  <c r="AD51" i="2" a="1"/>
  <c r="AD51" i="2" s="1"/>
  <c r="DV51" i="2" a="1"/>
  <c r="DV51" i="2" s="1"/>
  <c r="CX51" i="2" a="1"/>
  <c r="CX51" i="2" s="1"/>
  <c r="BT51" i="2" a="1"/>
  <c r="BT51" i="2" s="1"/>
  <c r="BB51" i="2" a="1"/>
  <c r="BB51" i="2" s="1"/>
  <c r="AY51" i="2" a="1"/>
  <c r="AY51" i="2" s="1"/>
  <c r="IU43" i="2" a="1"/>
  <c r="IU43" i="2" s="1"/>
  <c r="JD43" i="2" a="1"/>
  <c r="JD43" i="2" s="1"/>
  <c r="IO43" i="2" a="1"/>
  <c r="IO43" i="2" s="1"/>
  <c r="II43" i="2" a="1"/>
  <c r="II43" i="2" s="1"/>
  <c r="JA43" i="2" a="1"/>
  <c r="JA43" i="2" s="1"/>
  <c r="IR43" i="2" a="1"/>
  <c r="IR43" i="2" s="1"/>
  <c r="O43" i="2" a="1"/>
  <c r="O43" i="2" s="1"/>
  <c r="HZ43" i="2" a="1"/>
  <c r="HZ43" i="2" s="1"/>
  <c r="IC43" i="2" a="1"/>
  <c r="IC43" i="2" s="1"/>
  <c r="IX43" i="2" a="1"/>
  <c r="IX43" i="2" s="1"/>
  <c r="IL43" i="2" a="1"/>
  <c r="IL43" i="2" s="1"/>
  <c r="HW43" i="2" a="1"/>
  <c r="HW43" i="2" s="1"/>
  <c r="HT43" i="2" a="1"/>
  <c r="HT43" i="2" s="1"/>
  <c r="IF43" i="2" a="1"/>
  <c r="IF43" i="2" s="1"/>
  <c r="HN43" i="2" a="1"/>
  <c r="HN43" i="2" s="1"/>
  <c r="GP43" i="2" a="1"/>
  <c r="GP43" i="2" s="1"/>
  <c r="HB43" i="2" a="1"/>
  <c r="HB43" i="2" s="1"/>
  <c r="HQ43" i="2" a="1"/>
  <c r="HQ43" i="2" s="1"/>
  <c r="HK43" i="2" a="1"/>
  <c r="HK43" i="2" s="1"/>
  <c r="FO43" i="2" a="1"/>
  <c r="FO43" i="2" s="1"/>
  <c r="HE43" i="2" a="1"/>
  <c r="HE43" i="2" s="1"/>
  <c r="FU43" i="2" a="1"/>
  <c r="FU43" i="2" s="1"/>
  <c r="GV43" i="2" a="1"/>
  <c r="GV43" i="2" s="1"/>
  <c r="GS43" i="2" a="1"/>
  <c r="GS43" i="2" s="1"/>
  <c r="GJ43" i="2" a="1"/>
  <c r="GJ43" i="2" s="1"/>
  <c r="HH43" i="2" a="1"/>
  <c r="HH43" i="2" s="1"/>
  <c r="FF43" i="2" a="1"/>
  <c r="FF43" i="2" s="1"/>
  <c r="GD43" i="2" a="1"/>
  <c r="GD43" i="2" s="1"/>
  <c r="GM43" i="2" a="1"/>
  <c r="GM43" i="2" s="1"/>
  <c r="FR43" i="2" a="1"/>
  <c r="FR43" i="2" s="1"/>
  <c r="FL43" i="2" a="1"/>
  <c r="FL43" i="2" s="1"/>
  <c r="FX43" i="2" a="1"/>
  <c r="FX43" i="2" s="1"/>
  <c r="EZ43" i="2" a="1"/>
  <c r="EZ43" i="2" s="1"/>
  <c r="EK43" i="2" a="1"/>
  <c r="EK43" i="2" s="1"/>
  <c r="DS43" i="2" a="1"/>
  <c r="DS43" i="2" s="1"/>
  <c r="EN43" i="2" a="1"/>
  <c r="EN43" i="2" s="1"/>
  <c r="GY43" i="2" a="1"/>
  <c r="GY43" i="2" s="1"/>
  <c r="FC43" i="2" a="1"/>
  <c r="FC43" i="2" s="1"/>
  <c r="EQ43" i="2" a="1"/>
  <c r="EQ43" i="2" s="1"/>
  <c r="EW43" i="2" a="1"/>
  <c r="EW43" i="2" s="1"/>
  <c r="EH43" i="2" a="1"/>
  <c r="EH43" i="2" s="1"/>
  <c r="GA43" i="2" a="1"/>
  <c r="GA43" i="2" s="1"/>
  <c r="EB43" i="2" a="1"/>
  <c r="EB43" i="2" s="1"/>
  <c r="DG43" i="2" a="1"/>
  <c r="DG43" i="2" s="1"/>
  <c r="DA43" i="2" a="1"/>
  <c r="DA43" i="2" s="1"/>
  <c r="GG43" i="2" a="1"/>
  <c r="GG43" i="2" s="1"/>
  <c r="ET43" i="2" a="1"/>
  <c r="ET43" i="2" s="1"/>
  <c r="EE43" i="2" a="1"/>
  <c r="EE43" i="2" s="1"/>
  <c r="DV43" i="2" a="1"/>
  <c r="DV43" i="2" s="1"/>
  <c r="DP43" i="2" a="1"/>
  <c r="DP43" i="2" s="1"/>
  <c r="DJ43" i="2" a="1"/>
  <c r="DJ43" i="2" s="1"/>
  <c r="CX43" i="2" a="1"/>
  <c r="CX43" i="2" s="1"/>
  <c r="CR43" i="2" a="1"/>
  <c r="CR43" i="2" s="1"/>
  <c r="FI43" i="2" a="1"/>
  <c r="FI43" i="2" s="1"/>
  <c r="DD43" i="2" a="1"/>
  <c r="DD43" i="2" s="1"/>
  <c r="CC43" i="2" a="1"/>
  <c r="CC43" i="2" s="1"/>
  <c r="BT43" i="2" a="1"/>
  <c r="BT43" i="2" s="1"/>
  <c r="DY43" i="2" a="1"/>
  <c r="DY43" i="2" s="1"/>
  <c r="DM43" i="2" a="1"/>
  <c r="DM43" i="2" s="1"/>
  <c r="CL43" i="2" a="1"/>
  <c r="CL43" i="2" s="1"/>
  <c r="BZ43" i="2" a="1"/>
  <c r="BZ43" i="2" s="1"/>
  <c r="BW43" i="2" a="1"/>
  <c r="BW43" i="2" s="1"/>
  <c r="BQ43" i="2" a="1"/>
  <c r="BQ43" i="2" s="1"/>
  <c r="BH43" i="2" a="1"/>
  <c r="BH43" i="2" s="1"/>
  <c r="BK43" i="2" a="1"/>
  <c r="BK43" i="2" s="1"/>
  <c r="AY43" i="2" a="1"/>
  <c r="AY43" i="2" s="1"/>
  <c r="AV43" i="2" a="1"/>
  <c r="AV43" i="2" s="1"/>
  <c r="JD35" i="2" a="1"/>
  <c r="JD35" i="2" s="1"/>
  <c r="IU35" i="2" a="1"/>
  <c r="IU35" i="2" s="1"/>
  <c r="II35" i="2" a="1"/>
  <c r="II35" i="2" s="1"/>
  <c r="IO35" i="2" a="1"/>
  <c r="IO35" i="2" s="1"/>
  <c r="IR35" i="2" a="1"/>
  <c r="IR35" i="2" s="1"/>
  <c r="JA35" i="2" a="1"/>
  <c r="JA35" i="2" s="1"/>
  <c r="IL35" i="2" a="1"/>
  <c r="IL35" i="2" s="1"/>
  <c r="HZ35" i="2" a="1"/>
  <c r="HZ35" i="2" s="1"/>
  <c r="O35" i="2" a="1"/>
  <c r="O35" i="2" s="1"/>
  <c r="IC35" i="2" a="1"/>
  <c r="IC35" i="2" s="1"/>
  <c r="HW35" i="2" a="1"/>
  <c r="HW35" i="2" s="1"/>
  <c r="HT35" i="2" a="1"/>
  <c r="HT35" i="2" s="1"/>
  <c r="IX35" i="2" a="1"/>
  <c r="IX35" i="2" s="1"/>
  <c r="HQ35" i="2" a="1"/>
  <c r="HQ35" i="2" s="1"/>
  <c r="HN35" i="2" a="1"/>
  <c r="HN35" i="2" s="1"/>
  <c r="HH35" i="2" a="1"/>
  <c r="HH35" i="2" s="1"/>
  <c r="HE35" i="2" a="1"/>
  <c r="HE35" i="2" s="1"/>
  <c r="GM35" i="2" a="1"/>
  <c r="GM35" i="2" s="1"/>
  <c r="GV35" i="2" a="1"/>
  <c r="GV35" i="2" s="1"/>
  <c r="GY35" i="2" a="1"/>
  <c r="GY35" i="2" s="1"/>
  <c r="GS35" i="2" a="1"/>
  <c r="GS35" i="2" s="1"/>
  <c r="GP35" i="2" a="1"/>
  <c r="GP35" i="2" s="1"/>
  <c r="GA35" i="2" a="1"/>
  <c r="GA35" i="2" s="1"/>
  <c r="FO35" i="2" a="1"/>
  <c r="FO35" i="2" s="1"/>
  <c r="GJ35" i="2" a="1"/>
  <c r="GJ35" i="2" s="1"/>
  <c r="FU35" i="2" a="1"/>
  <c r="FU35" i="2" s="1"/>
  <c r="HK35" i="2" a="1"/>
  <c r="HK35" i="2" s="1"/>
  <c r="GD35" i="2" a="1"/>
  <c r="GD35" i="2" s="1"/>
  <c r="FI35" i="2" a="1"/>
  <c r="FI35" i="2" s="1"/>
  <c r="FL35" i="2" a="1"/>
  <c r="FL35" i="2" s="1"/>
  <c r="FC35" i="2" a="1"/>
  <c r="FC35" i="2" s="1"/>
  <c r="FX35" i="2" a="1"/>
  <c r="FX35" i="2" s="1"/>
  <c r="FR35" i="2" a="1"/>
  <c r="FR35" i="2" s="1"/>
  <c r="FF35" i="2" a="1"/>
  <c r="FF35" i="2" s="1"/>
  <c r="IF35" i="2" a="1"/>
  <c r="IF35" i="2" s="1"/>
  <c r="EZ35" i="2" a="1"/>
  <c r="EZ35" i="2" s="1"/>
  <c r="EK35" i="2" a="1"/>
  <c r="EK35" i="2" s="1"/>
  <c r="EN35" i="2" a="1"/>
  <c r="EN35" i="2" s="1"/>
  <c r="EQ35" i="2" a="1"/>
  <c r="EQ35" i="2" s="1"/>
  <c r="EE35" i="2" a="1"/>
  <c r="EE35" i="2" s="1"/>
  <c r="DV35" i="2" a="1"/>
  <c r="DV35" i="2" s="1"/>
  <c r="DS35" i="2" a="1"/>
  <c r="DS35" i="2" s="1"/>
  <c r="DJ35" i="2" a="1"/>
  <c r="DJ35" i="2" s="1"/>
  <c r="EW35" i="2" a="1"/>
  <c r="EW35" i="2" s="1"/>
  <c r="EH35" i="2" a="1"/>
  <c r="EH35" i="2" s="1"/>
  <c r="DY35" i="2" a="1"/>
  <c r="DY35" i="2" s="1"/>
  <c r="HB35" i="2" a="1"/>
  <c r="HB35" i="2" s="1"/>
  <c r="GG35" i="2" a="1"/>
  <c r="GG35" i="2" s="1"/>
  <c r="DP35" i="2" a="1"/>
  <c r="DP35" i="2" s="1"/>
  <c r="DG35" i="2" a="1"/>
  <c r="DG35" i="2" s="1"/>
  <c r="ET35" i="2" a="1"/>
  <c r="ET35" i="2" s="1"/>
  <c r="EB35" i="2" a="1"/>
  <c r="EB35" i="2" s="1"/>
  <c r="DA35" i="2" a="1"/>
  <c r="DA35" i="2" s="1"/>
  <c r="CI35" i="2" a="1"/>
  <c r="CI35" i="2" s="1"/>
  <c r="CX35" i="2" a="1"/>
  <c r="CX35" i="2" s="1"/>
  <c r="CR35" i="2" a="1"/>
  <c r="CR35" i="2" s="1"/>
  <c r="CF35" i="2" a="1"/>
  <c r="CF35" i="2" s="1"/>
  <c r="CC35" i="2" a="1"/>
  <c r="CC35" i="2" s="1"/>
  <c r="BK35" i="2" a="1"/>
  <c r="BK35" i="2" s="1"/>
  <c r="DD35" i="2" a="1"/>
  <c r="DD35" i="2" s="1"/>
  <c r="CL35" i="2" a="1"/>
  <c r="CL35" i="2" s="1"/>
  <c r="BW35" i="2" a="1"/>
  <c r="BW35" i="2" s="1"/>
  <c r="BB35" i="2" a="1"/>
  <c r="BB35" i="2" s="1"/>
  <c r="AP35" i="2" a="1"/>
  <c r="AP35" i="2" s="1"/>
  <c r="AJ35" i="2" a="1"/>
  <c r="AJ35" i="2" s="1"/>
  <c r="AD35" i="2" a="1"/>
  <c r="AD35" i="2" s="1"/>
  <c r="CU35" i="2" a="1"/>
  <c r="CU35" i="2" s="1"/>
  <c r="BN35" i="2" a="1"/>
  <c r="BN35" i="2" s="1"/>
  <c r="BQ35" i="2" a="1"/>
  <c r="BQ35" i="2" s="1"/>
  <c r="AY35" i="2" a="1"/>
  <c r="AY35" i="2" s="1"/>
  <c r="IU27" i="2" a="1"/>
  <c r="IU27" i="2" s="1"/>
  <c r="II27" i="2" a="1"/>
  <c r="II27" i="2" s="1"/>
  <c r="JD27" i="2" a="1"/>
  <c r="JD27" i="2" s="1"/>
  <c r="IR27" i="2" a="1"/>
  <c r="IR27" i="2" s="1"/>
  <c r="IO27" i="2" a="1"/>
  <c r="IO27" i="2" s="1"/>
  <c r="JA27" i="2" a="1"/>
  <c r="JA27" i="2" s="1"/>
  <c r="IX27" i="2" a="1"/>
  <c r="IX27" i="2" s="1"/>
  <c r="IC27" i="2" a="1"/>
  <c r="IC27" i="2" s="1"/>
  <c r="HZ27" i="2" a="1"/>
  <c r="HZ27" i="2" s="1"/>
  <c r="HW27" i="2" a="1"/>
  <c r="HW27" i="2" s="1"/>
  <c r="HT27" i="2" a="1"/>
  <c r="HT27" i="2" s="1"/>
  <c r="IL27" i="2" a="1"/>
  <c r="IL27" i="2" s="1"/>
  <c r="HQ27" i="2" a="1"/>
  <c r="HQ27" i="2" s="1"/>
  <c r="IF27" i="2" a="1"/>
  <c r="IF27" i="2" s="1"/>
  <c r="HK27" i="2" a="1"/>
  <c r="HK27" i="2" s="1"/>
  <c r="GS27" i="2" a="1"/>
  <c r="GS27" i="2" s="1"/>
  <c r="GM27" i="2" a="1"/>
  <c r="GM27" i="2" s="1"/>
  <c r="GP27" i="2" a="1"/>
  <c r="GP27" i="2" s="1"/>
  <c r="O27" i="2" a="1"/>
  <c r="O27" i="2" s="1"/>
  <c r="HB27" i="2" a="1"/>
  <c r="HB27" i="2" s="1"/>
  <c r="FX27" i="2" a="1"/>
  <c r="FX27" i="2" s="1"/>
  <c r="HN27" i="2" a="1"/>
  <c r="HN27" i="2" s="1"/>
  <c r="HH27" i="2" a="1"/>
  <c r="HH27" i="2" s="1"/>
  <c r="GJ27" i="2" a="1"/>
  <c r="GJ27" i="2" s="1"/>
  <c r="FO27" i="2" a="1"/>
  <c r="FO27" i="2" s="1"/>
  <c r="HE27" i="2" a="1"/>
  <c r="HE27" i="2" s="1"/>
  <c r="FL27" i="2" a="1"/>
  <c r="FL27" i="2" s="1"/>
  <c r="FR27" i="2" a="1"/>
  <c r="FR27" i="2" s="1"/>
  <c r="GA27" i="2" a="1"/>
  <c r="GA27" i="2" s="1"/>
  <c r="GY27" i="2" a="1"/>
  <c r="GY27" i="2" s="1"/>
  <c r="GG27" i="2" a="1"/>
  <c r="GG27" i="2" s="1"/>
  <c r="FU27" i="2" a="1"/>
  <c r="FU27" i="2" s="1"/>
  <c r="FI27" i="2" a="1"/>
  <c r="FI27" i="2" s="1"/>
  <c r="FC27" i="2" a="1"/>
  <c r="FC27" i="2" s="1"/>
  <c r="FF27" i="2" a="1"/>
  <c r="FF27" i="2" s="1"/>
  <c r="EK27" i="2" a="1"/>
  <c r="EK27" i="2" s="1"/>
  <c r="GV27" i="2" a="1"/>
  <c r="GV27" i="2" s="1"/>
  <c r="EZ27" i="2" a="1"/>
  <c r="EZ27" i="2" s="1"/>
  <c r="EN27" i="2" a="1"/>
  <c r="EN27" i="2" s="1"/>
  <c r="DY27" i="2" a="1"/>
  <c r="DY27" i="2" s="1"/>
  <c r="DD27" i="2" a="1"/>
  <c r="DD27" i="2" s="1"/>
  <c r="CX27" i="2" a="1"/>
  <c r="CX27" i="2" s="1"/>
  <c r="ET27" i="2" a="1"/>
  <c r="ET27" i="2" s="1"/>
  <c r="GD27" i="2" a="1"/>
  <c r="GD27" i="2" s="1"/>
  <c r="EB27" i="2" a="1"/>
  <c r="EB27" i="2" s="1"/>
  <c r="DP27" i="2" a="1"/>
  <c r="DP27" i="2" s="1"/>
  <c r="DM27" i="2" a="1"/>
  <c r="DM27" i="2" s="1"/>
  <c r="EW27" i="2" a="1"/>
  <c r="EW27" i="2" s="1"/>
  <c r="DV27" i="2" a="1"/>
  <c r="DV27" i="2" s="1"/>
  <c r="DJ27" i="2" a="1"/>
  <c r="DJ27" i="2" s="1"/>
  <c r="DS27" i="2" a="1"/>
  <c r="DS27" i="2" s="1"/>
  <c r="DA27" i="2" a="1"/>
  <c r="DA27" i="2" s="1"/>
  <c r="EQ27" i="2" a="1"/>
  <c r="EQ27" i="2" s="1"/>
  <c r="EH27" i="2" a="1"/>
  <c r="EH27" i="2" s="1"/>
  <c r="EE27" i="2" a="1"/>
  <c r="EE27" i="2" s="1"/>
  <c r="CR27" i="2" a="1"/>
  <c r="CR27" i="2" s="1"/>
  <c r="CO27" i="2" a="1"/>
  <c r="CO27" i="2" s="1"/>
  <c r="CI27" i="2" a="1"/>
  <c r="CI27" i="2" s="1"/>
  <c r="BZ27" i="2" a="1"/>
  <c r="BZ27" i="2" s="1"/>
  <c r="BW27" i="2" a="1"/>
  <c r="BW27" i="2" s="1"/>
  <c r="CL27" i="2" a="1"/>
  <c r="CL27" i="2" s="1"/>
  <c r="CF27" i="2" a="1"/>
  <c r="CF27" i="2" s="1"/>
  <c r="CC27" i="2" a="1"/>
  <c r="CC27" i="2" s="1"/>
  <c r="BT27" i="2" a="1"/>
  <c r="BT27" i="2" s="1"/>
  <c r="AV27" i="2" a="1"/>
  <c r="AV27" i="2" s="1"/>
  <c r="DG27" i="2" a="1"/>
  <c r="DG27" i="2" s="1"/>
  <c r="BN27" i="2" a="1"/>
  <c r="BN27" i="2" s="1"/>
  <c r="BH27" i="2" a="1"/>
  <c r="BH27" i="2" s="1"/>
  <c r="AY27" i="2" a="1"/>
  <c r="AY27" i="2" s="1"/>
  <c r="IU19" i="2" a="1"/>
  <c r="IU19" i="2" s="1"/>
  <c r="II19" i="2" a="1"/>
  <c r="II19" i="2" s="1"/>
  <c r="JD19" i="2" a="1"/>
  <c r="JD19" i="2" s="1"/>
  <c r="IR19" i="2" a="1"/>
  <c r="IR19" i="2" s="1"/>
  <c r="IO19" i="2" a="1"/>
  <c r="IO19" i="2" s="1"/>
  <c r="JA19" i="2" a="1"/>
  <c r="JA19" i="2" s="1"/>
  <c r="IL19" i="2" a="1"/>
  <c r="IL19" i="2" s="1"/>
  <c r="HZ19" i="2" a="1"/>
  <c r="HZ19" i="2" s="1"/>
  <c r="HW19" i="2" a="1"/>
  <c r="HW19" i="2" s="1"/>
  <c r="HT19" i="2" a="1"/>
  <c r="HT19" i="2" s="1"/>
  <c r="IF19" i="2" a="1"/>
  <c r="IF19" i="2" s="1"/>
  <c r="HN19" i="2" a="1"/>
  <c r="HN19" i="2" s="1"/>
  <c r="IX19" i="2" a="1"/>
  <c r="IX19" i="2" s="1"/>
  <c r="IC19" i="2" a="1"/>
  <c r="IC19" i="2" s="1"/>
  <c r="HQ19" i="2" a="1"/>
  <c r="HQ19" i="2" s="1"/>
  <c r="GM19" i="2" a="1"/>
  <c r="GM19" i="2" s="1"/>
  <c r="HE19" i="2" a="1"/>
  <c r="HE19" i="2" s="1"/>
  <c r="FR19" i="2" a="1"/>
  <c r="FR19" i="2" s="1"/>
  <c r="FL19" i="2" a="1"/>
  <c r="FL19" i="2" s="1"/>
  <c r="HK19" i="2" a="1"/>
  <c r="HK19" i="2" s="1"/>
  <c r="O19" i="2" a="1"/>
  <c r="O19" i="2" s="1"/>
  <c r="GY19" i="2" a="1"/>
  <c r="GY19" i="2" s="1"/>
  <c r="FX19" i="2" a="1"/>
  <c r="FX19" i="2" s="1"/>
  <c r="GS19" i="2" a="1"/>
  <c r="GS19" i="2" s="1"/>
  <c r="GG19" i="2" a="1"/>
  <c r="GG19" i="2" s="1"/>
  <c r="GA19" i="2" a="1"/>
  <c r="GA19" i="2" s="1"/>
  <c r="FO19" i="2" a="1"/>
  <c r="FO19" i="2" s="1"/>
  <c r="FF19" i="2" a="1"/>
  <c r="FF19" i="2" s="1"/>
  <c r="FC19" i="2" a="1"/>
  <c r="FC19" i="2" s="1"/>
  <c r="FU19" i="2" a="1"/>
  <c r="FU19" i="2" s="1"/>
  <c r="GP19" i="2" a="1"/>
  <c r="GP19" i="2" s="1"/>
  <c r="HB19" i="2" a="1"/>
  <c r="HB19" i="2" s="1"/>
  <c r="GD19" i="2" a="1"/>
  <c r="GD19" i="2" s="1"/>
  <c r="GJ19" i="2" a="1"/>
  <c r="GJ19" i="2" s="1"/>
  <c r="FI19" i="2" a="1"/>
  <c r="FI19" i="2" s="1"/>
  <c r="EK19" i="2" a="1"/>
  <c r="EK19" i="2" s="1"/>
  <c r="HH19" i="2" a="1"/>
  <c r="HH19" i="2" s="1"/>
  <c r="GV19" i="2" a="1"/>
  <c r="GV19" i="2" s="1"/>
  <c r="EN19" i="2" a="1"/>
  <c r="EN19" i="2" s="1"/>
  <c r="EB19" i="2" a="1"/>
  <c r="EB19" i="2" s="1"/>
  <c r="EW19" i="2" a="1"/>
  <c r="EW19" i="2" s="1"/>
  <c r="EH19" i="2" a="1"/>
  <c r="EH19" i="2" s="1"/>
  <c r="DJ19" i="2" a="1"/>
  <c r="DJ19" i="2" s="1"/>
  <c r="EQ19" i="2" a="1"/>
  <c r="EQ19" i="2" s="1"/>
  <c r="EE19" i="2" a="1"/>
  <c r="EE19" i="2" s="1"/>
  <c r="DV19" i="2" a="1"/>
  <c r="DV19" i="2" s="1"/>
  <c r="DP19" i="2" a="1"/>
  <c r="DP19" i="2" s="1"/>
  <c r="DY19" i="2" a="1"/>
  <c r="DY19" i="2" s="1"/>
  <c r="DG19" i="2" a="1"/>
  <c r="DG19" i="2" s="1"/>
  <c r="DD19" i="2" a="1"/>
  <c r="DD19" i="2" s="1"/>
  <c r="EZ19" i="2" a="1"/>
  <c r="EZ19" i="2" s="1"/>
  <c r="ET19" i="2" a="1"/>
  <c r="ET19" i="2" s="1"/>
  <c r="DM19" i="2" a="1"/>
  <c r="DM19" i="2" s="1"/>
  <c r="CI19" i="2" a="1"/>
  <c r="CI19" i="2" s="1"/>
  <c r="DS19" i="2" a="1"/>
  <c r="DS19" i="2" s="1"/>
  <c r="DA19" i="2" a="1"/>
  <c r="DA19" i="2" s="1"/>
  <c r="CU19" i="2" a="1"/>
  <c r="CU19" i="2" s="1"/>
  <c r="CX19" i="2" a="1"/>
  <c r="CX19" i="2" s="1"/>
  <c r="BT19" i="2" a="1"/>
  <c r="BT19" i="2" s="1"/>
  <c r="BQ19" i="2" a="1"/>
  <c r="BQ19" i="2" s="1"/>
  <c r="AM19" i="2" a="1"/>
  <c r="AM19" i="2" s="1"/>
  <c r="AG19" i="2" a="1"/>
  <c r="AG19" i="2" s="1"/>
  <c r="AD19" i="2" a="1"/>
  <c r="AD19" i="2" s="1"/>
  <c r="CF19" i="2" a="1"/>
  <c r="CF19" i="2" s="1"/>
  <c r="BZ19" i="2" a="1"/>
  <c r="BZ19" i="2" s="1"/>
  <c r="BN19" i="2" a="1"/>
  <c r="BN19" i="2" s="1"/>
  <c r="BK19" i="2" a="1"/>
  <c r="BK19" i="2" s="1"/>
  <c r="BW19" i="2" a="1"/>
  <c r="BW19" i="2" s="1"/>
  <c r="BB19" i="2" a="1"/>
  <c r="BB19" i="2" s="1"/>
  <c r="AY19" i="2" a="1"/>
  <c r="AY19" i="2" s="1"/>
  <c r="IU11" i="2" a="1"/>
  <c r="IU11" i="2" s="1"/>
  <c r="II11" i="2" a="1"/>
  <c r="II11" i="2" s="1"/>
  <c r="JD11" i="2" a="1"/>
  <c r="JD11" i="2" s="1"/>
  <c r="IR11" i="2" a="1"/>
  <c r="IR11" i="2" s="1"/>
  <c r="IL11" i="2" a="1"/>
  <c r="IL11" i="2" s="1"/>
  <c r="IX11" i="2" a="1"/>
  <c r="IX11" i="2" s="1"/>
  <c r="JA11" i="2" a="1"/>
  <c r="JA11" i="2" s="1"/>
  <c r="HZ11" i="2" a="1"/>
  <c r="HZ11" i="2" s="1"/>
  <c r="HW11" i="2" a="1"/>
  <c r="HW11" i="2" s="1"/>
  <c r="HT11" i="2" a="1"/>
  <c r="HT11" i="2" s="1"/>
  <c r="GV11" i="2" a="1"/>
  <c r="GV11" i="2" s="1"/>
  <c r="HN11" i="2" a="1"/>
  <c r="HN11" i="2" s="1"/>
  <c r="IC11" i="2" a="1"/>
  <c r="IC11" i="2" s="1"/>
  <c r="HQ11" i="2" a="1"/>
  <c r="HQ11" i="2" s="1"/>
  <c r="HH11" i="2" a="1"/>
  <c r="HH11" i="2" s="1"/>
  <c r="GY11" i="2" a="1"/>
  <c r="GY11" i="2" s="1"/>
  <c r="GM11" i="2" a="1"/>
  <c r="GM11" i="2" s="1"/>
  <c r="GD11" i="2" a="1"/>
  <c r="GD11" i="2" s="1"/>
  <c r="GS11" i="2" a="1"/>
  <c r="GS11" i="2" s="1"/>
  <c r="FR11" i="2" a="1"/>
  <c r="FR11" i="2" s="1"/>
  <c r="IO11" i="2" a="1"/>
  <c r="IO11" i="2" s="1"/>
  <c r="HB11" i="2" a="1"/>
  <c r="HB11" i="2" s="1"/>
  <c r="GP11" i="2" a="1"/>
  <c r="GP11" i="2" s="1"/>
  <c r="IF11" i="2" a="1"/>
  <c r="IF11" i="2" s="1"/>
  <c r="GA11" i="2" a="1"/>
  <c r="GA11" i="2" s="1"/>
  <c r="FU11" i="2" a="1"/>
  <c r="FU11" i="2" s="1"/>
  <c r="FO11" i="2" a="1"/>
  <c r="FO11" i="2" s="1"/>
  <c r="FI11" i="2" a="1"/>
  <c r="FI11" i="2" s="1"/>
  <c r="FX11" i="2" a="1"/>
  <c r="FX11" i="2" s="1"/>
  <c r="HK11" i="2" a="1"/>
  <c r="HK11" i="2" s="1"/>
  <c r="GJ11" i="2" a="1"/>
  <c r="GJ11" i="2" s="1"/>
  <c r="FL11" i="2" a="1"/>
  <c r="FL11" i="2" s="1"/>
  <c r="FC11" i="2" a="1"/>
  <c r="FC11" i="2" s="1"/>
  <c r="ET11" i="2" a="1"/>
  <c r="ET11" i="2" s="1"/>
  <c r="HE11" i="2" a="1"/>
  <c r="HE11" i="2" s="1"/>
  <c r="EZ11" i="2" a="1"/>
  <c r="EZ11" i="2" s="1"/>
  <c r="EK11" i="2" a="1"/>
  <c r="EK11" i="2" s="1"/>
  <c r="EE11" i="2" a="1"/>
  <c r="EE11" i="2" s="1"/>
  <c r="DV11" i="2" a="1"/>
  <c r="DV11" i="2" s="1"/>
  <c r="DG11" i="2" a="1"/>
  <c r="DG11" i="2" s="1"/>
  <c r="DA11" i="2" a="1"/>
  <c r="DA11" i="2" s="1"/>
  <c r="DY11" i="2" a="1"/>
  <c r="DY11" i="2" s="1"/>
  <c r="EN11" i="2" a="1"/>
  <c r="EN11" i="2" s="1"/>
  <c r="EW11" i="2" a="1"/>
  <c r="EW11" i="2" s="1"/>
  <c r="EH11" i="2" a="1"/>
  <c r="EH11" i="2" s="1"/>
  <c r="DS11" i="2" a="1"/>
  <c r="DS11" i="2" s="1"/>
  <c r="DP11" i="2" a="1"/>
  <c r="DP11" i="2" s="1"/>
  <c r="GG11" i="2" a="1"/>
  <c r="GG11" i="2" s="1"/>
  <c r="CR11" i="2" a="1"/>
  <c r="CR11" i="2" s="1"/>
  <c r="FF11" i="2" a="1"/>
  <c r="FF11" i="2" s="1"/>
  <c r="DM11" i="2" a="1"/>
  <c r="DM11" i="2" s="1"/>
  <c r="DJ11" i="2" a="1"/>
  <c r="DJ11" i="2" s="1"/>
  <c r="DD11" i="2" a="1"/>
  <c r="DD11" i="2" s="1"/>
  <c r="CX11" i="2" a="1"/>
  <c r="CX11" i="2" s="1"/>
  <c r="BT11" i="2" a="1"/>
  <c r="BT11" i="2" s="1"/>
  <c r="EQ11" i="2" a="1"/>
  <c r="EQ11" i="2" s="1"/>
  <c r="CL11" i="2" a="1"/>
  <c r="CL11" i="2" s="1"/>
  <c r="CC11" i="2" a="1"/>
  <c r="CC11" i="2" s="1"/>
  <c r="CO11" i="2" a="1"/>
  <c r="CO11" i="2" s="1"/>
  <c r="CF11" i="2" a="1"/>
  <c r="CF11" i="2" s="1"/>
  <c r="BZ11" i="2" a="1"/>
  <c r="BZ11" i="2" s="1"/>
  <c r="BW11" i="2" a="1"/>
  <c r="BW11" i="2" s="1"/>
  <c r="BH11" i="2" a="1"/>
  <c r="BH11" i="2" s="1"/>
  <c r="X11" i="2" a="1"/>
  <c r="X11" i="2" s="1"/>
  <c r="BN11" i="2" a="1"/>
  <c r="BN11" i="2" s="1"/>
  <c r="EB11" i="2" a="1"/>
  <c r="EB11" i="2" s="1"/>
  <c r="CI11" i="2" a="1"/>
  <c r="CI11" i="2" s="1"/>
  <c r="AY11" i="2" a="1"/>
  <c r="AY11" i="2" s="1"/>
  <c r="AV11" i="2" a="1"/>
  <c r="AV11" i="2" s="1"/>
  <c r="I64" i="2" a="1"/>
  <c r="I64" i="2" s="1"/>
  <c r="I55" i="2" a="1"/>
  <c r="I55" i="2" s="1"/>
  <c r="I51" i="2" a="1"/>
  <c r="I51" i="2" s="1"/>
  <c r="I47" i="2" a="1"/>
  <c r="I47" i="2" s="1"/>
  <c r="I43" i="2" a="1"/>
  <c r="I43" i="2" s="1"/>
  <c r="I39" i="2" a="1"/>
  <c r="I39" i="2" s="1"/>
  <c r="I35" i="2" a="1"/>
  <c r="I35" i="2" s="1"/>
  <c r="I31" i="2" a="1"/>
  <c r="I31" i="2" s="1"/>
  <c r="I27" i="2" a="1"/>
  <c r="I27" i="2" s="1"/>
  <c r="I23" i="2" a="1"/>
  <c r="I23" i="2" s="1"/>
  <c r="I19" i="2" a="1"/>
  <c r="I19" i="2" s="1"/>
  <c r="I15" i="2" a="1"/>
  <c r="I15" i="2" s="1"/>
  <c r="I11" i="2" a="1"/>
  <c r="I11" i="2" s="1"/>
  <c r="I7" i="2" a="1"/>
  <c r="I7" i="2" s="1"/>
  <c r="L64" i="2" a="1"/>
  <c r="L64" i="2" s="1"/>
  <c r="L55" i="2" a="1"/>
  <c r="L55" i="2" s="1"/>
  <c r="L46" i="2" a="1"/>
  <c r="L46" i="2" s="1"/>
  <c r="L32" i="2" a="1"/>
  <c r="L32" i="2" s="1"/>
  <c r="L23" i="2" a="1"/>
  <c r="L23" i="2" s="1"/>
  <c r="L14" i="2" a="1"/>
  <c r="L14" i="2" s="1"/>
  <c r="R71" i="2" a="1"/>
  <c r="R71" i="2" s="1"/>
  <c r="R62" i="2" a="1"/>
  <c r="R62" i="2" s="1"/>
  <c r="R48" i="2" a="1"/>
  <c r="R48" i="2" s="1"/>
  <c r="R39" i="2" a="1"/>
  <c r="R39" i="2" s="1"/>
  <c r="R35" i="2" a="1"/>
  <c r="R35" i="2" s="1"/>
  <c r="R31" i="2" a="1"/>
  <c r="R31" i="2" s="1"/>
  <c r="R27" i="2" a="1"/>
  <c r="R27" i="2" s="1"/>
  <c r="R23" i="2" a="1"/>
  <c r="R23" i="2" s="1"/>
  <c r="R19" i="2" a="1"/>
  <c r="R19" i="2" s="1"/>
  <c r="U70" i="2" a="1"/>
  <c r="U70" i="2" s="1"/>
  <c r="U62" i="2" a="1"/>
  <c r="U62" i="2" s="1"/>
  <c r="U54" i="2" a="1"/>
  <c r="U54" i="2" s="1"/>
  <c r="U46" i="2" a="1"/>
  <c r="U46" i="2" s="1"/>
  <c r="U38" i="2" a="1"/>
  <c r="U38" i="2" s="1"/>
  <c r="U30" i="2" a="1"/>
  <c r="U30" i="2" s="1"/>
  <c r="U22" i="2" a="1"/>
  <c r="U22" i="2" s="1"/>
  <c r="U14" i="2" a="1"/>
  <c r="U14" i="2" s="1"/>
  <c r="U6" i="2" a="1"/>
  <c r="U6" i="2" s="1"/>
  <c r="X68" i="2" a="1"/>
  <c r="X68" i="2" s="1"/>
  <c r="X48" i="2" a="1"/>
  <c r="X48" i="2" s="1"/>
  <c r="X43" i="2" a="1"/>
  <c r="X43" i="2" s="1"/>
  <c r="X19" i="2" a="1"/>
  <c r="X19" i="2" s="1"/>
  <c r="AA71" i="2" a="1"/>
  <c r="AA71" i="2" s="1"/>
  <c r="AA64" i="2" a="1"/>
  <c r="AA64" i="2" s="1"/>
  <c r="AA6" i="2" a="1"/>
  <c r="AA6" i="2" s="1"/>
  <c r="AD68" i="2" a="1"/>
  <c r="AD68" i="2" s="1"/>
  <c r="AD59" i="2" a="1"/>
  <c r="AD59" i="2" s="1"/>
  <c r="AD16" i="2" a="1"/>
  <c r="AD16" i="2" s="1"/>
  <c r="AD7" i="2" a="1"/>
  <c r="AD7" i="2" s="1"/>
  <c r="AG63" i="2" a="1"/>
  <c r="AG63" i="2" s="1"/>
  <c r="AG56" i="2" a="1"/>
  <c r="AG56" i="2" s="1"/>
  <c r="AG12" i="2" a="1"/>
  <c r="AG12" i="2" s="1"/>
  <c r="AG4" i="2" a="1"/>
  <c r="AG4" i="2" s="1"/>
  <c r="AJ68" i="2" a="1"/>
  <c r="AJ68" i="2" s="1"/>
  <c r="AJ54" i="2" a="1"/>
  <c r="AJ54" i="2" s="1"/>
  <c r="AJ24" i="2" a="1"/>
  <c r="AJ24" i="2" s="1"/>
  <c r="AM44" i="2" a="1"/>
  <c r="AM44" i="2" s="1"/>
  <c r="AM36" i="2" a="1"/>
  <c r="AM36" i="2" s="1"/>
  <c r="AM22" i="2" a="1"/>
  <c r="AM22" i="2" s="1"/>
  <c r="AM15" i="2" a="1"/>
  <c r="AM15" i="2" s="1"/>
  <c r="AP56" i="2" a="1"/>
  <c r="AP56" i="2" s="1"/>
  <c r="AP27" i="2" a="1"/>
  <c r="AP27" i="2" s="1"/>
  <c r="AS63" i="2" a="1"/>
  <c r="AS63" i="2" s="1"/>
  <c r="AS44" i="2" a="1"/>
  <c r="AS44" i="2" s="1"/>
  <c r="AS31" i="2" a="1"/>
  <c r="AS31" i="2" s="1"/>
  <c r="AS12" i="2" a="1"/>
  <c r="AS12" i="2" s="1"/>
  <c r="AV67" i="2" a="1"/>
  <c r="AV67" i="2" s="1"/>
  <c r="AV56" i="2" a="1"/>
  <c r="AV56" i="2" s="1"/>
  <c r="AV31" i="2" a="1"/>
  <c r="AV31" i="2" s="1"/>
  <c r="BB56" i="2" a="1"/>
  <c r="BB56" i="2" s="1"/>
  <c r="BB47" i="2" a="1"/>
  <c r="BB47" i="2" s="1"/>
  <c r="BB38" i="2" a="1"/>
  <c r="BB38" i="2" s="1"/>
  <c r="BH32" i="2" a="1"/>
  <c r="BH32" i="2" s="1"/>
  <c r="BH23" i="2" a="1"/>
  <c r="BH23" i="2" s="1"/>
  <c r="BH14" i="2" a="1"/>
  <c r="BH14" i="2" s="1"/>
  <c r="BK15" i="2" a="1"/>
  <c r="BK15" i="2" s="1"/>
  <c r="BK6" i="2" a="1"/>
  <c r="BK6" i="2" s="1"/>
  <c r="BN28" i="2" a="1"/>
  <c r="BN28" i="2" s="1"/>
  <c r="BN20" i="2" a="1"/>
  <c r="BN20" i="2" s="1"/>
  <c r="BN12" i="2" a="1"/>
  <c r="BN12" i="2" s="1"/>
  <c r="BQ23" i="2" a="1"/>
  <c r="BQ23" i="2" s="1"/>
  <c r="BT38" i="2" a="1"/>
  <c r="BT38" i="2" s="1"/>
  <c r="BZ28" i="2" a="1"/>
  <c r="BZ28" i="2" s="1"/>
  <c r="CC55" i="2" a="1"/>
  <c r="CC55" i="2" s="1"/>
  <c r="CC40" i="2" a="1"/>
  <c r="CC40" i="2" s="1"/>
  <c r="CI32" i="2" a="1"/>
  <c r="CI32" i="2" s="1"/>
  <c r="CL31" i="2" a="1"/>
  <c r="CL31" i="2" s="1"/>
  <c r="CL14" i="2" a="1"/>
  <c r="CL14" i="2" s="1"/>
  <c r="CR8" i="2" a="1"/>
  <c r="CR8" i="2" s="1"/>
  <c r="DA14" i="2" a="1"/>
  <c r="DA14" i="2" s="1"/>
  <c r="DJ36" i="2" a="1"/>
  <c r="DJ36" i="2" s="1"/>
  <c r="DP48" i="2" a="1"/>
  <c r="DP48" i="2" s="1"/>
  <c r="DY72" i="2" a="1"/>
  <c r="DY72" i="2" s="1"/>
  <c r="ET36" i="2" a="1"/>
  <c r="ET36" i="2" s="1"/>
  <c r="JD76" i="2" l="1"/>
  <c r="A1" i="2"/>
  <c r="JA76" i="2"/>
  <c r="IX76" i="2"/>
  <c r="IU76" i="2"/>
  <c r="IR76" i="2"/>
  <c r="IO76" i="2"/>
  <c r="IL76" i="2"/>
  <c r="II76" i="2"/>
  <c r="IF76" i="2"/>
  <c r="IC76" i="2"/>
  <c r="HZ76" i="2"/>
  <c r="HW76" i="2"/>
  <c r="HT76" i="2"/>
  <c r="HQ76" i="2"/>
  <c r="HN76" i="2"/>
  <c r="HK76" i="2"/>
  <c r="HH76" i="2"/>
  <c r="HE76" i="2"/>
  <c r="HB76" i="2"/>
  <c r="GY76" i="2"/>
  <c r="GV76" i="2"/>
  <c r="GS76" i="2"/>
  <c r="GP76" i="2"/>
  <c r="GM76" i="2"/>
  <c r="GJ76" i="2"/>
  <c r="GG76" i="2"/>
  <c r="GD76" i="2"/>
  <c r="GA76" i="2"/>
  <c r="FX76" i="2"/>
  <c r="FU76" i="2"/>
  <c r="FR76" i="2"/>
  <c r="FO76" i="2"/>
  <c r="FL76" i="2"/>
  <c r="FI76" i="2"/>
  <c r="FF76" i="2"/>
  <c r="FC76" i="2"/>
  <c r="EZ76" i="2"/>
  <c r="EW76" i="2"/>
  <c r="ET76" i="2"/>
  <c r="EQ76" i="2"/>
  <c r="EN76" i="2"/>
  <c r="EK76" i="2"/>
  <c r="EH76" i="2"/>
  <c r="EE76" i="2"/>
  <c r="EB76" i="2"/>
  <c r="DA76" i="2"/>
  <c r="DY76" i="2"/>
  <c r="DV76" i="2"/>
  <c r="DS76" i="2"/>
  <c r="DP76" i="2"/>
  <c r="DM76" i="2"/>
  <c r="DJ76" i="2"/>
  <c r="DG76" i="2"/>
  <c r="DD76" i="2"/>
  <c r="CX76" i="2"/>
  <c r="CU76" i="2"/>
  <c r="CR76" i="2"/>
  <c r="CO76" i="2"/>
  <c r="CL76" i="2"/>
  <c r="CI76" i="2"/>
  <c r="CF76" i="2"/>
  <c r="CC76" i="2"/>
  <c r="BZ76" i="2"/>
  <c r="BW76" i="2"/>
  <c r="BT76" i="2"/>
  <c r="BQ76" i="2"/>
  <c r="BN76" i="2"/>
  <c r="BK76" i="2"/>
  <c r="BH76" i="2"/>
  <c r="BE76" i="2"/>
  <c r="BB76" i="2"/>
  <c r="AY76" i="2"/>
  <c r="AV76" i="2"/>
  <c r="AS76" i="2"/>
  <c r="AP76" i="2"/>
  <c r="AM76" i="2"/>
  <c r="AJ76" i="2"/>
  <c r="AG76" i="2"/>
  <c r="AD76" i="2"/>
  <c r="AA76" i="2"/>
  <c r="X76" i="2"/>
  <c r="U76" i="2"/>
  <c r="R76" i="2"/>
  <c r="L76" i="2"/>
  <c r="I76" i="2"/>
  <c r="R9" i="2" l="1" a="1"/>
  <c r="R9" i="2" s="1"/>
  <c r="R11" i="2" a="1"/>
  <c r="R11" i="2" s="1"/>
  <c r="R13" i="2" a="1"/>
  <c r="R13" i="2" s="1"/>
  <c r="R6" i="2" a="1"/>
  <c r="R6" i="2" s="1"/>
  <c r="R14" i="2" a="1"/>
  <c r="R14" i="2" s="1"/>
  <c r="R12" i="2" a="1"/>
  <c r="R12" i="2" s="1"/>
  <c r="R5" i="2" a="1"/>
  <c r="R5" i="2" s="1"/>
  <c r="R10" i="2" a="1"/>
  <c r="R10" i="2" s="1"/>
  <c r="R15" i="2" a="1"/>
  <c r="R15" i="2" s="1"/>
  <c r="R8" i="2" a="1"/>
  <c r="R8" i="2" s="1"/>
  <c r="R7" i="2" a="1"/>
  <c r="R7" i="2" s="1"/>
  <c r="R4" i="2" a="1"/>
  <c r="R4" i="2" s="1"/>
  <c r="E5" i="15" l="1"/>
  <c r="D5" i="15"/>
  <c r="L9" i="2" a="1"/>
  <c r="L9" i="2" s="1"/>
  <c r="L4" i="2" a="1"/>
  <c r="L4" i="2" s="1"/>
  <c r="L6" i="2" a="1"/>
  <c r="L6" i="2" s="1"/>
  <c r="L5" i="2" a="1"/>
  <c r="L5" i="2" s="1"/>
  <c r="L7" i="2" a="1"/>
  <c r="L7" i="2" s="1"/>
  <c r="L10" i="2" a="1"/>
  <c r="L10" i="2" s="1"/>
  <c r="L8" i="2" a="1"/>
  <c r="L8" i="2" s="1"/>
  <c r="O14" i="2" l="1" a="1"/>
  <c r="O14" i="2" s="1"/>
  <c r="O10" i="2" a="1"/>
  <c r="O10" i="2" s="1"/>
  <c r="O4" i="2" a="1"/>
  <c r="O4" i="2" s="1"/>
  <c r="O12" i="2" a="1"/>
  <c r="O12" i="2" s="1"/>
  <c r="O7" i="2" a="1"/>
  <c r="O7" i="2" s="1"/>
  <c r="O8" i="2" a="1"/>
  <c r="O8" i="2" s="1"/>
  <c r="O16" i="2" a="1"/>
  <c r="O16" i="2" s="1"/>
  <c r="O5" i="2" a="1"/>
  <c r="O5" i="2" s="1"/>
  <c r="O13" i="2" a="1"/>
  <c r="O13" i="2" s="1"/>
  <c r="O9" i="2" a="1"/>
  <c r="O9" i="2" s="1"/>
  <c r="O11" i="2" a="1"/>
  <c r="O11" i="2" s="1"/>
  <c r="O15" i="2" a="1"/>
  <c r="O15" i="2" s="1"/>
  <c r="O6" i="2" a="1"/>
  <c r="O6" i="2" s="1"/>
  <c r="D4" i="15" l="1"/>
  <c r="D3" i="15"/>
  <c r="E3" i="15"/>
  <c r="E4" i="15"/>
  <c r="JD3" i="2" a="1"/>
  <c r="JD3" i="2" s="1"/>
  <c r="JD75" i="2" s="1"/>
  <c r="IF3" i="2" a="1"/>
  <c r="IF3" i="2" s="1"/>
  <c r="IF75" i="2" s="1"/>
  <c r="GP3" i="2" a="1"/>
  <c r="GP3" i="2" s="1"/>
  <c r="GP75" i="2" s="1"/>
  <c r="DS3" i="2" a="1"/>
  <c r="DS3" i="2" s="1"/>
  <c r="DS75" i="2" s="1"/>
  <c r="EK3" i="2" a="1"/>
  <c r="EK3" i="2" s="1"/>
  <c r="EK75" i="2" s="1"/>
  <c r="EB3" i="2" a="1"/>
  <c r="EB3" i="2" s="1"/>
  <c r="EB75" i="2" s="1"/>
  <c r="IO3" i="2" a="1"/>
  <c r="IO3" i="2" s="1"/>
  <c r="IO75" i="2" s="1"/>
  <c r="CU3" i="2" a="1"/>
  <c r="CU3" i="2" s="1"/>
  <c r="CU75" i="2" s="1"/>
  <c r="AD3" i="2" a="1"/>
  <c r="AD3" i="2" s="1"/>
  <c r="AD75" i="2" s="1"/>
  <c r="AS3" i="2" a="1"/>
  <c r="AS3" i="2" s="1"/>
  <c r="AS75" i="2" s="1"/>
  <c r="DD3" i="2" a="1"/>
  <c r="DD3" i="2" s="1"/>
  <c r="DD75" i="2" s="1"/>
  <c r="IR3" i="2" a="1"/>
  <c r="IR3" i="2" s="1"/>
  <c r="IR75" i="2" s="1"/>
  <c r="DV3" i="2" a="1"/>
  <c r="DV3" i="2" s="1"/>
  <c r="DV75" i="2" s="1"/>
  <c r="CC3" i="2" a="1"/>
  <c r="CC3" i="2" s="1"/>
  <c r="CC75" i="2" s="1"/>
  <c r="GD3" i="2" a="1"/>
  <c r="GD3" i="2" s="1"/>
  <c r="GD75" i="2" s="1"/>
  <c r="IX3" i="2" a="1"/>
  <c r="IX3" i="2" s="1"/>
  <c r="IX75" i="2" s="1"/>
  <c r="HK3" i="2" a="1"/>
  <c r="HK3" i="2" s="1"/>
  <c r="HK75" i="2" s="1"/>
  <c r="GG3" i="2" a="1"/>
  <c r="GG3" i="2" s="1"/>
  <c r="GG75" i="2" s="1"/>
  <c r="AM3" i="2" a="1"/>
  <c r="AM3" i="2" s="1"/>
  <c r="AM75" i="2" s="1"/>
  <c r="AP3" i="2" a="1"/>
  <c r="AP3" i="2" s="1"/>
  <c r="AP75" i="2" s="1"/>
  <c r="FI3" i="2" a="1"/>
  <c r="FI3" i="2" s="1"/>
  <c r="FI75" i="2" s="1"/>
  <c r="DY3" i="2" a="1"/>
  <c r="DY3" i="2" s="1"/>
  <c r="DY75" i="2" s="1"/>
  <c r="FO3" i="2" a="1"/>
  <c r="FO3" i="2" s="1"/>
  <c r="FO75" i="2" s="1"/>
  <c r="FR3" i="2" a="1"/>
  <c r="FR3" i="2" s="1"/>
  <c r="FR75" i="2" s="1"/>
  <c r="FC3" i="2" a="1"/>
  <c r="FC3" i="2" s="1"/>
  <c r="FC75" i="2" s="1"/>
  <c r="HE3" i="2" a="1"/>
  <c r="HE3" i="2" s="1"/>
  <c r="HE75" i="2" s="1"/>
  <c r="BE3" i="2" a="1"/>
  <c r="BE3" i="2" s="1"/>
  <c r="BE75" i="2" s="1"/>
  <c r="HQ3" i="2" a="1"/>
  <c r="HQ3" i="2" s="1"/>
  <c r="HQ75" i="2" s="1"/>
  <c r="HW3" i="2" a="1"/>
  <c r="HW3" i="2" s="1"/>
  <c r="HW75" i="2" s="1"/>
  <c r="CX3" i="2" a="1"/>
  <c r="CX3" i="2" s="1"/>
  <c r="CX75" i="2" s="1"/>
  <c r="CR3" i="2" a="1"/>
  <c r="CR3" i="2" s="1"/>
  <c r="CR75" i="2" s="1"/>
  <c r="IU3" i="2" a="1"/>
  <c r="IU3" i="2" s="1"/>
  <c r="IU75" i="2" s="1"/>
  <c r="BH3" i="2" a="1"/>
  <c r="BH3" i="2" s="1"/>
  <c r="BH75" i="2" s="1"/>
  <c r="CF3" i="2" a="1"/>
  <c r="CF3" i="2" s="1"/>
  <c r="CF75" i="2" s="1"/>
  <c r="IC3" i="2" a="1"/>
  <c r="IC3" i="2" s="1"/>
  <c r="IC75" i="2" s="1"/>
  <c r="FF3" i="2" a="1"/>
  <c r="FF3" i="2" s="1"/>
  <c r="FF75" i="2" s="1"/>
  <c r="DM3" i="2" a="1"/>
  <c r="DM3" i="2" s="1"/>
  <c r="DM75" i="2" s="1"/>
  <c r="AY3" i="2" a="1"/>
  <c r="AY3" i="2" s="1"/>
  <c r="AY75" i="2" s="1"/>
  <c r="FL3" i="2" a="1"/>
  <c r="FL3" i="2" s="1"/>
  <c r="FL75" i="2" s="1"/>
  <c r="DJ3" i="2" a="1"/>
  <c r="DJ3" i="2" s="1"/>
  <c r="DJ75" i="2" s="1"/>
  <c r="HT3" i="2" a="1"/>
  <c r="HT3" i="2" s="1"/>
  <c r="HT75" i="2" s="1"/>
  <c r="GS3" i="2" a="1"/>
  <c r="GS3" i="2" s="1"/>
  <c r="GS75" i="2" s="1"/>
  <c r="BT3" i="2" a="1"/>
  <c r="BT3" i="2" s="1"/>
  <c r="BT75" i="2" s="1"/>
  <c r="DG3" i="2" a="1"/>
  <c r="DG3" i="2" s="1"/>
  <c r="DG75" i="2" s="1"/>
  <c r="HB3" i="2" a="1"/>
  <c r="HB3" i="2" s="1"/>
  <c r="HB75" i="2" s="1"/>
  <c r="GM3" i="2" a="1"/>
  <c r="GM3" i="2" s="1"/>
  <c r="GM75" i="2" s="1"/>
  <c r="FU3" i="2" a="1"/>
  <c r="FU3" i="2" s="1"/>
  <c r="FU75" i="2" s="1"/>
  <c r="BN3" i="2" a="1"/>
  <c r="BN3" i="2" s="1"/>
  <c r="BN75" i="2" s="1"/>
  <c r="EH3" i="2" a="1"/>
  <c r="EH3" i="2" s="1"/>
  <c r="EH75" i="2" s="1"/>
  <c r="GY3" i="2" a="1"/>
  <c r="GY3" i="2" s="1"/>
  <c r="GY75" i="2" s="1"/>
  <c r="EE3" i="2" a="1"/>
  <c r="EE3" i="2" s="1"/>
  <c r="EE75" i="2" s="1"/>
  <c r="BB3" i="2" a="1"/>
  <c r="BB3" i="2" s="1"/>
  <c r="BB75" i="2" s="1"/>
  <c r="HH3" i="2" a="1"/>
  <c r="HH3" i="2" s="1"/>
  <c r="HH75" i="2" s="1"/>
  <c r="BW3" i="2" a="1"/>
  <c r="BW3" i="2" s="1"/>
  <c r="BW75" i="2" s="1"/>
  <c r="EZ3" i="2" a="1"/>
  <c r="EZ3" i="2" s="1"/>
  <c r="EZ75" i="2" s="1"/>
  <c r="AG3" i="2" a="1"/>
  <c r="AG3" i="2" s="1"/>
  <c r="AG75" i="2" s="1"/>
  <c r="GJ3" i="2" a="1"/>
  <c r="GJ3" i="2" s="1"/>
  <c r="GJ75" i="2" s="1"/>
  <c r="IL3" i="2" a="1"/>
  <c r="IL3" i="2" s="1"/>
  <c r="IL75" i="2" s="1"/>
  <c r="DP3" i="2" a="1"/>
  <c r="DP3" i="2" s="1"/>
  <c r="DP75" i="2" s="1"/>
  <c r="GA3" i="2" a="1"/>
  <c r="GA3" i="2" s="1"/>
  <c r="GA75" i="2" s="1"/>
  <c r="AJ3" i="2" a="1"/>
  <c r="AJ3" i="2" s="1"/>
  <c r="AJ75" i="2" s="1"/>
  <c r="EQ3" i="2" a="1"/>
  <c r="EQ3" i="2" s="1"/>
  <c r="EQ75" i="2" s="1"/>
  <c r="ET3" i="2" a="1"/>
  <c r="ET3" i="2" s="1"/>
  <c r="ET75" i="2" s="1"/>
  <c r="CI3" i="2" a="1"/>
  <c r="CI3" i="2" s="1"/>
  <c r="CI75" i="2" s="1"/>
  <c r="FX3" i="2" a="1"/>
  <c r="FX3" i="2" s="1"/>
  <c r="FX75" i="2" s="1"/>
  <c r="BQ3" i="2" a="1"/>
  <c r="BQ3" i="2" s="1"/>
  <c r="BQ75" i="2" s="1"/>
  <c r="BZ3" i="2" a="1"/>
  <c r="BZ3" i="2" s="1"/>
  <c r="BZ75" i="2" s="1"/>
  <c r="DA3" i="2" a="1"/>
  <c r="DA3" i="2" s="1"/>
  <c r="DA75" i="2" s="1"/>
  <c r="II3" i="2" a="1"/>
  <c r="II3" i="2" s="1"/>
  <c r="II75" i="2" s="1"/>
  <c r="HZ3" i="2" a="1"/>
  <c r="HZ3" i="2" s="1"/>
  <c r="HZ75" i="2" s="1"/>
  <c r="AV3" i="2" a="1"/>
  <c r="AV3" i="2" s="1"/>
  <c r="AV75" i="2" s="1"/>
  <c r="JA3" i="2" a="1"/>
  <c r="JA3" i="2" s="1"/>
  <c r="JA75" i="2" s="1"/>
  <c r="EW3" i="2" a="1"/>
  <c r="EW3" i="2" s="1"/>
  <c r="EW75" i="2" s="1"/>
  <c r="EN3" i="2" a="1"/>
  <c r="EN3" i="2" s="1"/>
  <c r="EN75" i="2" s="1"/>
  <c r="GV3" i="2" a="1"/>
  <c r="GV3" i="2" s="1"/>
  <c r="GV75" i="2" s="1"/>
  <c r="CL3" i="2" a="1"/>
  <c r="CL3" i="2" s="1"/>
  <c r="CL75" i="2" s="1"/>
  <c r="HN3" i="2" a="1"/>
  <c r="HN3" i="2" s="1"/>
  <c r="HN75" i="2" s="1"/>
  <c r="CO3" i="2" a="1"/>
  <c r="CO3" i="2" s="1"/>
  <c r="CO75" i="2" s="1"/>
  <c r="BK3" i="2" a="1"/>
  <c r="BK3" i="2" s="1"/>
  <c r="BK75" i="2" s="1"/>
  <c r="AA3" i="2" a="1"/>
  <c r="AA3" i="2" s="1"/>
  <c r="AA75" i="2" s="1"/>
  <c r="X3" i="2" a="1"/>
  <c r="X3" i="2" s="1"/>
  <c r="X75" i="2" s="1"/>
  <c r="U3" i="2" a="1"/>
  <c r="U3" i="2" s="1"/>
  <c r="U75" i="2" s="1"/>
  <c r="R3" i="2" a="1"/>
  <c r="R3" i="2" s="1"/>
  <c r="R75" i="2" s="1"/>
  <c r="L3" i="2" a="1"/>
  <c r="L3" i="2" s="1"/>
  <c r="L75" i="2" s="1"/>
  <c r="O3" i="2" a="1"/>
  <c r="O3" i="2" s="1"/>
  <c r="O75" i="2" s="1"/>
  <c r="I3" i="2" a="1"/>
  <c r="I3" i="2" s="1"/>
  <c r="I75" i="2" s="1"/>
  <c r="A2" i="15" l="1" a="1"/>
  <c r="A2" i="15" l="1"/>
  <c r="E2" i="15"/>
  <c r="D2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ADD843-A7D4-48C0-B3F0-6CC8006A1A8F}" keepAlive="1" name="Query - League Table" description="Connection to the 'League Table' query in the workbook." type="5" refreshedVersion="8" background="1" saveData="1">
    <dbPr connection="Provider=Microsoft.Mashup.OleDb.1;Data Source=$Workbook$;Location=&quot;League Table&quot;;Extended Properties=&quot;&quot;" command="SELECT * FROM [League Table]"/>
  </connection>
  <connection id="2" xr16:uid="{B682ACD8-8B6B-4CE2-912C-4F327AD49341}" keepAlive="1" name="Query - PointTotals1" description="Connection to the 'PointTotals' query in the workbook." type="5" refreshedVersion="8" background="1" saveData="1">
    <dbPr connection="Provider=Microsoft.Mashup.OleDb.1;Data Source=$Workbook$;Location=PointTotals;Extended Properties=&quot;&quot;" command="SELECT * FROM [PointTotals]"/>
  </connection>
  <connection id="3" xr16:uid="{743F4750-5343-4BF9-9AD9-EFD3193D63A3}" keepAlive="1" name="Query - Scores-Fixtures" description="Connection to the 'Scores-Fixtures' query in the workbook." type="5" refreshedVersion="8" background="1" saveData="1">
    <dbPr connection="Provider=Microsoft.Mashup.OleDb.1;Data Source=$Workbook$;Location=Scores-Fixtures;Extended Properties=&quot;&quot;" command="SELECT * FROM [Scores-Fixtur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<sst xmlns="http://schemas.openxmlformats.org/spreadsheetml/2006/main" count="874" uniqueCount="73">
  <si>
    <t>Rank</t>
  </si>
  <si>
    <t>Name</t>
  </si>
  <si>
    <t>PLAYERS</t>
  </si>
  <si>
    <t>Date</t>
  </si>
  <si>
    <t>Team 1</t>
  </si>
  <si>
    <t>SCORE</t>
  </si>
  <si>
    <t>Team 2</t>
  </si>
  <si>
    <t>PRED.</t>
  </si>
  <si>
    <t>Pts</t>
  </si>
  <si>
    <t>England</t>
  </si>
  <si>
    <t>Netherlands</t>
  </si>
  <si>
    <t>France</t>
  </si>
  <si>
    <t>Croatia</t>
  </si>
  <si>
    <t>Germany</t>
  </si>
  <si>
    <t>Spain</t>
  </si>
  <si>
    <t>Belgium</t>
  </si>
  <si>
    <t>Switzerland</t>
  </si>
  <si>
    <t>Portugal</t>
  </si>
  <si>
    <t>TOTAL</t>
  </si>
  <si>
    <t>Home.1</t>
  </si>
  <si>
    <t>Score.1</t>
  </si>
  <si>
    <t>Score.2</t>
  </si>
  <si>
    <t>Away.2</t>
  </si>
  <si>
    <t>Prediction</t>
  </si>
  <si>
    <t>Rules</t>
  </si>
  <si>
    <t>Correct Score &amp; Result</t>
  </si>
  <si>
    <t>3 points</t>
  </si>
  <si>
    <t>Correct Result</t>
  </si>
  <si>
    <t>1 point</t>
  </si>
  <si>
    <t>Round</t>
  </si>
  <si>
    <t>Group stage</t>
  </si>
  <si>
    <t>Scotland</t>
  </si>
  <si>
    <t>Austria</t>
  </si>
  <si>
    <t>Czechia</t>
  </si>
  <si>
    <t>Mexico</t>
  </si>
  <si>
    <t>Rep. of Korea</t>
  </si>
  <si>
    <t>Canada</t>
  </si>
  <si>
    <t>USA</t>
  </si>
  <si>
    <t>Qatar</t>
  </si>
  <si>
    <t>Brazil</t>
  </si>
  <si>
    <t>Haiti</t>
  </si>
  <si>
    <t>Australia</t>
  </si>
  <si>
    <t>Ivory Coast</t>
  </si>
  <si>
    <t>Sweden</t>
  </si>
  <si>
    <t>Saudi Arabia</t>
  </si>
  <si>
    <t>Iran</t>
  </si>
  <si>
    <t>Iraq</t>
  </si>
  <si>
    <t>Argentina</t>
  </si>
  <si>
    <t>Ghana</t>
  </si>
  <si>
    <t>Uzbekistan</t>
  </si>
  <si>
    <t>Turkey</t>
  </si>
  <si>
    <t>Ecuador</t>
  </si>
  <si>
    <t>Tunisia</t>
  </si>
  <si>
    <t>Uruguay</t>
  </si>
  <si>
    <t>New Zealand</t>
  </si>
  <si>
    <t>Norway</t>
  </si>
  <si>
    <t>Jordan</t>
  </si>
  <si>
    <t>Panama</t>
  </si>
  <si>
    <t>Colombia</t>
  </si>
  <si>
    <t>Bosnia Herzeg.</t>
  </si>
  <si>
    <t>Morocco</t>
  </si>
  <si>
    <t>South Africa</t>
  </si>
  <si>
    <t>Curacao</t>
  </si>
  <si>
    <t>Japan</t>
  </si>
  <si>
    <t>Paraguay</t>
  </si>
  <si>
    <t>Senegal</t>
  </si>
  <si>
    <t>Cape Verde</t>
  </si>
  <si>
    <t>Egypt</t>
  </si>
  <si>
    <t>DR Congo</t>
  </si>
  <si>
    <t>Algeria</t>
  </si>
  <si>
    <t>Points</t>
  </si>
  <si>
    <t>Correct Scores</t>
  </si>
  <si>
    <t>Correct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</si>
</sst>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\ mmm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E600"/>
        <bgColor indexed="64"/>
      </patternFill>
    </fill>
    <fill>
      <patternFill patternType="solid">
        <fgColor theme="7" tint="0.399975585192419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medium">
        <color indexed="8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11"/>
      </left>
      <right style="medium">
        <color indexed="8"/>
      </right>
      <top style="medium">
        <color indexed="8"/>
      </top>
      <bottom style="thin">
        <color indexed="11"/>
      </bottom>
      <diagonal/>
    </border>
    <border>
      <left style="thin">
        <color indexed="11"/>
      </left>
      <right style="medium">
        <color indexed="8"/>
      </right>
      <top style="thin">
        <color indexed="11"/>
      </top>
      <bottom style="thin">
        <color indexed="1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medium">
        <color indexed="8"/>
      </right>
      <top style="thin">
        <color indexed="1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11"/>
      </right>
      <top style="thin">
        <color indexed="11"/>
      </top>
      <bottom style="medium">
        <color indexed="64"/>
      </bottom>
      <diagonal/>
    </border>
    <border>
      <left style="thin">
        <color indexed="11"/>
      </left>
      <right style="medium">
        <color indexed="8"/>
      </right>
      <top style="thin">
        <color indexed="1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4" fillId="0" borderId="0" applyNumberFormat="0" applyFill="0" applyBorder="0" applyProtection="0"/>
    <xf numFmtId="0" fontId="5" fillId="0" borderId="0" applyNumberFormat="0" applyFill="0" applyBorder="0" applyProtection="0"/>
    <xf numFmtId="0" fontId="6" fillId="0" borderId="0"/>
    <xf numFmtId="0" fontId="4" fillId="0" borderId="0" applyNumberFormat="0" applyFill="0" applyBorder="0" applyProtection="0"/>
    <xf numFmtId="0" fontId="8" fillId="0" borderId="0"/>
    <xf numFmtId="0" fontId="8" fillId="0" borderId="0" applyBorder="0" applyProtection="0"/>
    <xf numFmtId="0" fontId="8" fillId="0" borderId="0" applyBorder="0" applyProtection="0"/>
    <xf numFmtId="0" fontId="8" fillId="0" borderId="0"/>
    <xf numFmtId="0" fontId="10" fillId="0" borderId="0" applyNumberFormat="0" applyFill="0" applyBorder="0" applyProtection="0"/>
  </cellStyleXfs>
  <cellXfs count="7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6" xfId="0" applyFont="1" applyBorder="1"/>
    <xf numFmtId="0" fontId="2" fillId="0" borderId="5" xfId="0" applyFont="1" applyBorder="1"/>
    <xf numFmtId="0" fontId="2" fillId="2" borderId="1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2" borderId="0" xfId="0" applyFont="1" applyFill="1"/>
    <xf numFmtId="0" fontId="0" fillId="0" borderId="8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4" fontId="0" fillId="0" borderId="2" xfId="0" applyNumberFormat="1" applyBorder="1" applyAlignment="1">
      <alignment horizontal="right"/>
    </xf>
    <xf numFmtId="164" fontId="0" fillId="0" borderId="13" xfId="0" applyNumberFormat="1" applyBorder="1" applyAlignment="1">
      <alignment horizontal="right"/>
    </xf>
    <xf numFmtId="0" fontId="0" fillId="2" borderId="13" xfId="0" applyFill="1" applyBorder="1"/>
    <xf numFmtId="164" fontId="0" fillId="0" borderId="3" xfId="0" applyNumberFormat="1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2" fillId="3" borderId="1" xfId="0" applyFont="1" applyFill="1" applyBorder="1"/>
    <xf numFmtId="0" fontId="9" fillId="0" borderId="11" xfId="5" applyFont="1" applyBorder="1" applyAlignment="1">
      <alignment horizontal="center"/>
    </xf>
    <xf numFmtId="0" fontId="9" fillId="0" borderId="12" xfId="5" applyFont="1" applyBorder="1" applyAlignment="1">
      <alignment horizontal="center"/>
    </xf>
    <xf numFmtId="0" fontId="9" fillId="0" borderId="7" xfId="5" applyFont="1" applyBorder="1" applyAlignment="1">
      <alignment horizontal="center"/>
    </xf>
    <xf numFmtId="0" fontId="9" fillId="0" borderId="8" xfId="5" applyFont="1" applyBorder="1" applyAlignment="1">
      <alignment horizontal="center"/>
    </xf>
    <xf numFmtId="0" fontId="9" fillId="0" borderId="9" xfId="5" applyFont="1" applyBorder="1" applyAlignment="1">
      <alignment horizontal="center"/>
    </xf>
    <xf numFmtId="0" fontId="9" fillId="0" borderId="10" xfId="5" applyFont="1" applyBorder="1" applyAlignment="1">
      <alignment horizontal="center"/>
    </xf>
    <xf numFmtId="0" fontId="10" fillId="4" borderId="15" xfId="9" applyNumberFormat="1" applyFill="1" applyBorder="1"/>
    <xf numFmtId="0" fontId="10" fillId="4" borderId="16" xfId="9" applyNumberFormat="1" applyFill="1" applyBorder="1"/>
    <xf numFmtId="0" fontId="10" fillId="4" borderId="14" xfId="9" applyNumberFormat="1" applyFill="1" applyBorder="1"/>
    <xf numFmtId="0" fontId="10" fillId="4" borderId="17" xfId="9" applyNumberFormat="1" applyFill="1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22" xfId="0" applyBorder="1"/>
    <xf numFmtId="0" fontId="10" fillId="4" borderId="23" xfId="9" applyNumberFormat="1" applyFill="1" applyBorder="1"/>
    <xf numFmtId="0" fontId="10" fillId="4" borderId="24" xfId="9" applyNumberFormat="1" applyFill="1" applyBorder="1"/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0" fillId="4" borderId="27" xfId="9" applyNumberFormat="1" applyFill="1" applyBorder="1"/>
    <xf numFmtId="0" fontId="10" fillId="4" borderId="28" xfId="9" applyNumberFormat="1" applyFill="1" applyBorder="1"/>
    <xf numFmtId="0" fontId="0" fillId="0" borderId="22" xfId="0" applyBorder="1" applyAlignment="1">
      <alignment horizontal="center"/>
    </xf>
    <xf numFmtId="164" fontId="0" fillId="0" borderId="26" xfId="0" applyNumberFormat="1" applyBorder="1" applyAlignment="1">
      <alignment horizontal="right"/>
    </xf>
    <xf numFmtId="164" fontId="0" fillId="0" borderId="30" xfId="0" applyNumberFormat="1" applyBorder="1" applyAlignment="1">
      <alignment horizontal="right"/>
    </xf>
    <xf numFmtId="0" fontId="1" fillId="5" borderId="30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6" borderId="0" xfId="0" applyFont="1" applyFill="1"/>
    <xf numFmtId="0" fontId="2" fillId="7" borderId="0" xfId="0" applyFont="1" applyFill="1"/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10">
    <cellStyle name="Normal" xfId="0" builtinId="0"/>
    <cellStyle name="Normal 2" xfId="1" xr:uid="{00000000-0005-0000-0000-000031000000}"/>
    <cellStyle name="Normal 2 2" xfId="6" xr:uid="{B3DC76E7-ED33-412E-A7E3-DD56C9DFF7AA}"/>
    <cellStyle name="Normal 3" xfId="2" xr:uid="{00000000-0005-0000-0000-000032000000}"/>
    <cellStyle name="Normal 3 2" xfId="4" xr:uid="{6094DBF2-2A86-4041-AA5F-421A88E0BD60}"/>
    <cellStyle name="Normal 3 3" xfId="7" xr:uid="{18D41F29-0697-4AD7-A62D-022BDDC4DE2D}"/>
    <cellStyle name="Normal 4" xfId="3" xr:uid="{00000000-0005-0000-0000-000033000000}"/>
    <cellStyle name="Normal 4 2" xfId="8" xr:uid="{50199952-BF32-47FA-999A-CB83B47A96B1}"/>
    <cellStyle name="Normal 5" xfId="5" xr:uid="{D2B34370-01E3-4178-8EEC-54A914ACC404}"/>
    <cellStyle name="Normal 6" xfId="9" xr:uid="{05223C43-FB40-47AD-B311-8D3C9B8B43A7}"/>
  </cellStyles>
  <dxfs count="6"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64" formatCode="ddd\ dd\ mmm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</dxf>
  </dxfs>
  <tableStyles count="0" defaultTableStyle="TableStyleMedium2" defaultPivotStyle="PivotStyleLight16"/>
  <colors>
    <mruColors>
      <color rgb="FF00E600"/>
      <color rgb="FFFF0000"/>
      <color rgb="FF0066FF"/>
      <color rgb="FF2525FF"/>
      <color rgb="FF00FF00"/>
      <color rgb="FFCC00FF"/>
      <color rgb="FFFF00FF"/>
      <color rgb="FF66FF33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753D22C-C4DF-4C3C-8506-70265D504C15}" autoFormatId="16" applyNumberFormats="0" applyBorderFormats="0" applyFontFormats="0" applyPatternFormats="0" applyAlignmentFormats="0" applyWidthHeightFormats="0">
  <queryTableRefresh nextId="12">
    <queryTableFields count="6">
      <queryTableField id="10" name="Round" tableColumnId="2"/>
      <queryTableField id="1" name="Date" tableColumnId="1"/>
      <queryTableField id="7" name="Home.1" tableColumnId="7"/>
      <queryTableField id="4" name="Score.1" tableColumnId="4"/>
      <queryTableField id="5" name="Score.2" tableColumnId="5"/>
      <queryTableField id="8" name="Away.2" tableColumnId="8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4883D-AF13-4C95-BE30-8FBEDA33AB15}" name="Scores_Fixtures" displayName="Scores_Fixtures" ref="A1:F73" tableType="queryTable" totalsRowShown="0">
  <autoFilter ref="A1:F73" xr:uid="{9764883D-AF13-4C95-BE30-8FBEDA33AB15}"/>
  <tableColumns count="6">
    <tableColumn id="2" xr3:uid="{7245F712-32B1-42D3-85EB-957A50BA3669}" uniqueName="2" name="Round" queryTableFieldId="10" dataDxfId="5"/>
    <tableColumn id="1" xr3:uid="{97E5AA13-E79F-42EF-A2AF-BB086C06755C}" uniqueName="1" name="Date" queryTableFieldId="1" dataDxfId="4"/>
    <tableColumn id="7" xr3:uid="{2234F524-EA08-4CF6-B61F-D34F1D60CC73}" uniqueName="7" name="Home.1" queryTableFieldId="7" dataDxfId="3"/>
    <tableColumn id="4" xr3:uid="{C033C2DF-D404-4BA2-ACB6-FC92E573BD44}" uniqueName="4" name="Score.1" queryTableFieldId="4" dataDxfId="2"/>
    <tableColumn id="5" xr3:uid="{8DCD3794-8A24-4DE2-A18F-B7BCD2738C17}" uniqueName="5" name="Score.2" queryTableFieldId="5" dataDxfId="1"/>
    <tableColumn id="8" xr3:uid="{4B0C04BE-608D-4B49-B358-E6FAF58BE86B}" uniqueName="8" name="Away.2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CA0F-437A-46E8-A526-47A1EE954154}">
  <sheetPr>
    <tabColor rgb="FF00E600"/>
  </sheetPr>
  <dimension ref="A1:E169"/>
  <sheetViews>
    <sheetView tabSelected="1" workbookViewId="0">
      <selection activeCell="K13" sqref="K13"/>
    </sheetView>
  </sheetViews>
  <sheetFormatPr defaultRowHeight="14.4" x14ac:dyDescent="0.3"/>
  <cols>
    <col min="1" max="1" width="8.109375" bestFit="1" customWidth="1"/>
    <col min="2" max="2" width="14.6640625" customWidth="1"/>
    <col min="4" max="4" width="12.88671875" bestFit="1" customWidth="1"/>
    <col min="5" max="5" width="13.44140625" bestFit="1" customWidth="1"/>
  </cols>
  <sheetData>
    <row r="1" spans="1:5" x14ac:dyDescent="0.3">
      <c r="A1" s="1" t="s">
        <v>0</v>
      </c>
      <c r="B1" s="1" t="s">
        <v>1</v>
      </c>
      <c r="C1" s="1" t="s">
        <v>70</v>
      </c>
      <c r="D1" s="66" t="s">
        <v>71</v>
      </c>
      <c r="E1" s="67" t="s">
        <v>72</v>
      </c>
    </row>
    <row r="2" spans="1:5" x14ac:dyDescent="0.3">
      <c r="A2" t="e" cm="1" vm="1">
        <f t="array" ref="A2">_xlfn.LET(
_xlpm.names,TRANSPOSE(_xlfn.CHOOSECOLS(RESULTS!I76:ZZ76,_xlfn.SEQUENCE(1,85,1,3))),
_xlpm.points,TRANSPOSE(_xlfn.CHOOSECOLS(RESULTS!I75:ZZ75,_xlfn.SEQUENCE(1,85,1,3))),
_xlpm.table,_xlfn.HSTACK(_xlpm.names,_xlpm.points),
_xlpm.filtered,_xlfn._xlws.FILTER(_xlpm.table,INDEX(_xlpm.table,,1)&lt;&gt;"Name"),
_xlpm.sorted,_xlfn.SORTBY(_xlpm.filtered,INDEX(_xlpm.filtered,,2),-1),
_xlfn.HSTACK(_xlfn.SEQUENCE(ROWS(_xlpm.sorted)),_xlpm.sorted)
)</f>
        <v>#VALUE!</v>
      </c>
      <c r="D2" t="str">
        <f>IF(B2="","",COUNTIF(_xlfn.XLOOKUP(B2,RESULTS!$I$76:$ZZ$76,RESULTS!$I$3:$ZZ$74),3))</f>
        <v/>
      </c>
      <c r="E2" t="str">
        <f>IF(B2="","",COUNTIF(_xlfn.XLOOKUP(B2,RESULTS!$I$76:$ZZ$76,RESULTS!$I$3:$ZZ$74),1))</f>
        <v/>
      </c>
    </row>
    <row r="3" spans="1:5" x14ac:dyDescent="0.3">
      <c r="D3" t="str">
        <f>IF(B3="","",COUNTIF(_xlfn.XLOOKUP(B3,RESULTS!$I$76:$ZZ$76,RESULTS!$I$3:$ZZ$74),3))</f>
        <v/>
      </c>
      <c r="E3" t="str">
        <f>IF(B3="","",COUNTIF(_xlfn.XLOOKUP(B3,RESULTS!$I$76:$ZZ$76,RESULTS!$I$3:$ZZ$74),1))</f>
        <v/>
      </c>
    </row>
    <row r="4" spans="1:5" x14ac:dyDescent="0.3">
      <c r="D4" t="str">
        <f>IF(B4="","",COUNTIF(_xlfn.XLOOKUP(B4,RESULTS!$I$76:$ZZ$76,RESULTS!$I$3:$ZZ$74),3))</f>
        <v/>
      </c>
      <c r="E4" t="str">
        <f>IF(B4="","",COUNTIF(_xlfn.XLOOKUP(B4,RESULTS!$I$76:$ZZ$76,RESULTS!$I$3:$ZZ$74),1))</f>
        <v/>
      </c>
    </row>
    <row r="5" spans="1:5" x14ac:dyDescent="0.3">
      <c r="D5" t="str">
        <f>IF(B5="","",COUNTIF(_xlfn.XLOOKUP(B5,RESULTS!$I$76:$ZZ$76,RESULTS!$I$3:$ZZ$74),3))</f>
        <v/>
      </c>
      <c r="E5" t="str">
        <f>IF(B5="","",COUNTIF(_xlfn.XLOOKUP(B5,RESULTS!$I$76:$ZZ$76,RESULTS!$I$3:$ZZ$74),1))</f>
        <v/>
      </c>
    </row>
    <row r="6" spans="1:5" x14ac:dyDescent="0.3">
      <c r="D6" t="str">
        <f>IF(B6="","",COUNTIF(_xlfn.XLOOKUP(B6,RESULTS!$I$76:$ZZ$76,RESULTS!$I$3:$ZZ$74),3))</f>
        <v/>
      </c>
      <c r="E6" t="str">
        <f>IF(B6="","",COUNTIF(_xlfn.XLOOKUP(B6,RESULTS!$I$76:$ZZ$76,RESULTS!$I$3:$ZZ$74),1))</f>
        <v/>
      </c>
    </row>
    <row r="7" spans="1:5" x14ac:dyDescent="0.3">
      <c r="D7" t="str">
        <f>IF(B7="","",COUNTIF(_xlfn.XLOOKUP(B7,RESULTS!$I$76:$ZZ$76,RESULTS!$I$3:$ZZ$74),3))</f>
        <v/>
      </c>
      <c r="E7" t="str">
        <f>IF(B7="","",COUNTIF(_xlfn.XLOOKUP(B7,RESULTS!$I$76:$ZZ$76,RESULTS!$I$3:$ZZ$74),1))</f>
        <v/>
      </c>
    </row>
    <row r="8" spans="1:5" x14ac:dyDescent="0.3">
      <c r="D8" t="str">
        <f>IF(B8="","",COUNTIF(_xlfn.XLOOKUP(B8,RESULTS!$I$76:$ZZ$76,RESULTS!$I$3:$ZZ$74),3))</f>
        <v/>
      </c>
      <c r="E8" t="str">
        <f>IF(B8="","",COUNTIF(_xlfn.XLOOKUP(B8,RESULTS!$I$76:$ZZ$76,RESULTS!$I$3:$ZZ$74),1))</f>
        <v/>
      </c>
    </row>
    <row r="9" spans="1:5" x14ac:dyDescent="0.3">
      <c r="D9" t="str">
        <f>IF(B9="","",COUNTIF(_xlfn.XLOOKUP(B9,RESULTS!$I$76:$ZZ$76,RESULTS!$I$3:$ZZ$74),3))</f>
        <v/>
      </c>
      <c r="E9" t="str">
        <f>IF(B9="","",COUNTIF(_xlfn.XLOOKUP(B9,RESULTS!$I$76:$ZZ$76,RESULTS!$I$3:$ZZ$74),1))</f>
        <v/>
      </c>
    </row>
    <row r="10" spans="1:5" x14ac:dyDescent="0.3">
      <c r="D10" t="str">
        <f>IF(B10="","",COUNTIF(_xlfn.XLOOKUP(B10,RESULTS!$I$76:$ZZ$76,RESULTS!$I$3:$ZZ$74),3))</f>
        <v/>
      </c>
      <c r="E10" t="str">
        <f>IF(B10="","",COUNTIF(_xlfn.XLOOKUP(B10,RESULTS!$I$76:$ZZ$76,RESULTS!$I$3:$ZZ$74),1))</f>
        <v/>
      </c>
    </row>
    <row r="11" spans="1:5" x14ac:dyDescent="0.3">
      <c r="D11" t="str">
        <f>IF(B11="","",COUNTIF(_xlfn.XLOOKUP(B11,RESULTS!$I$76:$ZZ$76,RESULTS!$I$3:$ZZ$74),3))</f>
        <v/>
      </c>
      <c r="E11" t="str">
        <f>IF(B11="","",COUNTIF(_xlfn.XLOOKUP(B11,RESULTS!$I$76:$ZZ$76,RESULTS!$I$3:$ZZ$74),1))</f>
        <v/>
      </c>
    </row>
    <row r="12" spans="1:5" x14ac:dyDescent="0.3">
      <c r="D12" t="str">
        <f>IF(B12="","",COUNTIF(_xlfn.XLOOKUP(B12,RESULTS!$I$76:$ZZ$76,RESULTS!$I$3:$ZZ$74),3))</f>
        <v/>
      </c>
      <c r="E12" t="str">
        <f>IF(B12="","",COUNTIF(_xlfn.XLOOKUP(B12,RESULTS!$I$76:$ZZ$76,RESULTS!$I$3:$ZZ$74),1))</f>
        <v/>
      </c>
    </row>
    <row r="13" spans="1:5" x14ac:dyDescent="0.3">
      <c r="D13" t="str">
        <f>IF(B13="","",COUNTIF(_xlfn.XLOOKUP(B13,RESULTS!$I$76:$ZZ$76,RESULTS!$I$3:$ZZ$74),3))</f>
        <v/>
      </c>
      <c r="E13" t="str">
        <f>IF(B13="","",COUNTIF(_xlfn.XLOOKUP(B13,RESULTS!$I$76:$ZZ$76,RESULTS!$I$3:$ZZ$74),1))</f>
        <v/>
      </c>
    </row>
    <row r="14" spans="1:5" x14ac:dyDescent="0.3">
      <c r="D14" t="str">
        <f>IF(B14="","",COUNTIF(_xlfn.XLOOKUP(B14,RESULTS!$I$76:$ZZ$76,RESULTS!$I$3:$ZZ$74),3))</f>
        <v/>
      </c>
      <c r="E14" t="str">
        <f>IF(B14="","",COUNTIF(_xlfn.XLOOKUP(B14,RESULTS!$I$76:$ZZ$76,RESULTS!$I$3:$ZZ$74),1))</f>
        <v/>
      </c>
    </row>
    <row r="15" spans="1:5" x14ac:dyDescent="0.3">
      <c r="D15" t="str">
        <f>IF(B15="","",COUNTIF(_xlfn.XLOOKUP(B15,RESULTS!$I$76:$ZZ$76,RESULTS!$I$3:$ZZ$74),3))</f>
        <v/>
      </c>
      <c r="E15" t="str">
        <f>IF(B15="","",COUNTIF(_xlfn.XLOOKUP(B15,RESULTS!$I$76:$ZZ$76,RESULTS!$I$3:$ZZ$74),1))</f>
        <v/>
      </c>
    </row>
    <row r="16" spans="1:5" x14ac:dyDescent="0.3">
      <c r="D16" t="str">
        <f>IF(B16="","",COUNTIF(_xlfn.XLOOKUP(B16,RESULTS!$I$76:$ZZ$76,RESULTS!$I$3:$ZZ$74),3))</f>
        <v/>
      </c>
      <c r="E16" t="str">
        <f>IF(B16="","",COUNTIF(_xlfn.XLOOKUP(B16,RESULTS!$I$76:$ZZ$76,RESULTS!$I$3:$ZZ$74),1))</f>
        <v/>
      </c>
    </row>
    <row r="17" spans="4:5" x14ac:dyDescent="0.3">
      <c r="D17" t="str">
        <f>IF(B17="","",COUNTIF(_xlfn.XLOOKUP(B17,RESULTS!$I$76:$ZZ$76,RESULTS!$I$3:$ZZ$74),3))</f>
        <v/>
      </c>
      <c r="E17" t="str">
        <f>IF(B17="","",COUNTIF(_xlfn.XLOOKUP(B17,RESULTS!$I$76:$ZZ$76,RESULTS!$I$3:$ZZ$74),1))</f>
        <v/>
      </c>
    </row>
    <row r="18" spans="4:5" x14ac:dyDescent="0.3">
      <c r="D18" t="str">
        <f>IF(B18="","",COUNTIF(_xlfn.XLOOKUP(B18,RESULTS!$I$76:$ZZ$76,RESULTS!$I$3:$ZZ$74),3))</f>
        <v/>
      </c>
      <c r="E18" t="str">
        <f>IF(B18="","",COUNTIF(_xlfn.XLOOKUP(B18,RESULTS!$I$76:$ZZ$76,RESULTS!$I$3:$ZZ$74),1))</f>
        <v/>
      </c>
    </row>
    <row r="19" spans="4:5" x14ac:dyDescent="0.3">
      <c r="D19" t="str">
        <f>IF(B19="","",COUNTIF(_xlfn.XLOOKUP(B19,RESULTS!$I$76:$ZZ$76,RESULTS!$I$3:$ZZ$74),3))</f>
        <v/>
      </c>
      <c r="E19" t="str">
        <f>IF(B19="","",COUNTIF(_xlfn.XLOOKUP(B19,RESULTS!$I$76:$ZZ$76,RESULTS!$I$3:$ZZ$74),1))</f>
        <v/>
      </c>
    </row>
    <row r="20" spans="4:5" x14ac:dyDescent="0.3">
      <c r="D20" t="str">
        <f>IF(B20="","",COUNTIF(_xlfn.XLOOKUP(B20,RESULTS!$I$76:$ZZ$76,RESULTS!$I$3:$ZZ$74),3))</f>
        <v/>
      </c>
      <c r="E20" t="str">
        <f>IF(B20="","",COUNTIF(_xlfn.XLOOKUP(B20,RESULTS!$I$76:$ZZ$76,RESULTS!$I$3:$ZZ$74),1))</f>
        <v/>
      </c>
    </row>
    <row r="21" spans="4:5" x14ac:dyDescent="0.3">
      <c r="D21" t="str">
        <f>IF(B21="","",COUNTIF(_xlfn.XLOOKUP(B21,RESULTS!$I$76:$ZZ$76,RESULTS!$I$3:$ZZ$74),3))</f>
        <v/>
      </c>
      <c r="E21" t="str">
        <f>IF(B21="","",COUNTIF(_xlfn.XLOOKUP(B21,RESULTS!$I$76:$ZZ$76,RESULTS!$I$3:$ZZ$74),1))</f>
        <v/>
      </c>
    </row>
    <row r="22" spans="4:5" x14ac:dyDescent="0.3">
      <c r="D22" t="str">
        <f>IF(B22="","",COUNTIF(_xlfn.XLOOKUP(B22,RESULTS!$I$76:$ZZ$76,RESULTS!$I$3:$ZZ$74),3))</f>
        <v/>
      </c>
      <c r="E22" t="str">
        <f>IF(B22="","",COUNTIF(_xlfn.XLOOKUP(B22,RESULTS!$I$76:$ZZ$76,RESULTS!$I$3:$ZZ$74),1))</f>
        <v/>
      </c>
    </row>
    <row r="23" spans="4:5" x14ac:dyDescent="0.3">
      <c r="D23" t="str">
        <f>IF(B23="","",COUNTIF(_xlfn.XLOOKUP(B23,RESULTS!$I$76:$ZZ$76,RESULTS!$I$3:$ZZ$74),3))</f>
        <v/>
      </c>
      <c r="E23" t="str">
        <f>IF(B23="","",COUNTIF(_xlfn.XLOOKUP(B23,RESULTS!$I$76:$ZZ$76,RESULTS!$I$3:$ZZ$74),1))</f>
        <v/>
      </c>
    </row>
    <row r="24" spans="4:5" x14ac:dyDescent="0.3">
      <c r="D24" t="str">
        <f>IF(B24="","",COUNTIF(_xlfn.XLOOKUP(B24,RESULTS!$I$76:$ZZ$76,RESULTS!$I$3:$ZZ$74),3))</f>
        <v/>
      </c>
      <c r="E24" t="str">
        <f>IF(B24="","",COUNTIF(_xlfn.XLOOKUP(B24,RESULTS!$I$76:$ZZ$76,RESULTS!$I$3:$ZZ$74),1))</f>
        <v/>
      </c>
    </row>
    <row r="25" spans="4:5" x14ac:dyDescent="0.3">
      <c r="D25" t="str">
        <f>IF(B25="","",COUNTIF(_xlfn.XLOOKUP(B25,RESULTS!$I$76:$ZZ$76,RESULTS!$I$3:$ZZ$74),3))</f>
        <v/>
      </c>
      <c r="E25" t="str">
        <f>IF(B25="","",COUNTIF(_xlfn.XLOOKUP(B25,RESULTS!$I$76:$ZZ$76,RESULTS!$I$3:$ZZ$74),1))</f>
        <v/>
      </c>
    </row>
    <row r="26" spans="4:5" x14ac:dyDescent="0.3">
      <c r="D26" t="str">
        <f>IF(B26="","",COUNTIF(_xlfn.XLOOKUP(B26,RESULTS!$I$76:$ZZ$76,RESULTS!$I$3:$ZZ$74),3))</f>
        <v/>
      </c>
      <c r="E26" t="str">
        <f>IF(B26="","",COUNTIF(_xlfn.XLOOKUP(B26,RESULTS!$I$76:$ZZ$76,RESULTS!$I$3:$ZZ$74),1))</f>
        <v/>
      </c>
    </row>
    <row r="27" spans="4:5" x14ac:dyDescent="0.3">
      <c r="D27" t="str">
        <f>IF(B27="","",COUNTIF(_xlfn.XLOOKUP(B27,RESULTS!$I$76:$ZZ$76,RESULTS!$I$3:$ZZ$74),3))</f>
        <v/>
      </c>
      <c r="E27" t="str">
        <f>IF(B27="","",COUNTIF(_xlfn.XLOOKUP(B27,RESULTS!$I$76:$ZZ$76,RESULTS!$I$3:$ZZ$74),1))</f>
        <v/>
      </c>
    </row>
    <row r="28" spans="4:5" x14ac:dyDescent="0.3">
      <c r="D28" t="str">
        <f>IF(B28="","",COUNTIF(_xlfn.XLOOKUP(B28,RESULTS!$I$76:$ZZ$76,RESULTS!$I$3:$ZZ$74),3))</f>
        <v/>
      </c>
      <c r="E28" t="str">
        <f>IF(B28="","",COUNTIF(_xlfn.XLOOKUP(B28,RESULTS!$I$76:$ZZ$76,RESULTS!$I$3:$ZZ$74),1))</f>
        <v/>
      </c>
    </row>
    <row r="29" spans="4:5" x14ac:dyDescent="0.3">
      <c r="D29" t="str">
        <f>IF(B29="","",COUNTIF(_xlfn.XLOOKUP(B29,RESULTS!$I$76:$ZZ$76,RESULTS!$I$3:$ZZ$74),3))</f>
        <v/>
      </c>
      <c r="E29" t="str">
        <f>IF(B29="","",COUNTIF(_xlfn.XLOOKUP(B29,RESULTS!$I$76:$ZZ$76,RESULTS!$I$3:$ZZ$74),1))</f>
        <v/>
      </c>
    </row>
    <row r="30" spans="4:5" x14ac:dyDescent="0.3">
      <c r="D30" t="str">
        <f>IF(B30="","",COUNTIF(_xlfn.XLOOKUP(B30,RESULTS!$I$76:$ZZ$76,RESULTS!$I$3:$ZZ$74),3))</f>
        <v/>
      </c>
      <c r="E30" t="str">
        <f>IF(B30="","",COUNTIF(_xlfn.XLOOKUP(B30,RESULTS!$I$76:$ZZ$76,RESULTS!$I$3:$ZZ$74),1))</f>
        <v/>
      </c>
    </row>
    <row r="31" spans="4:5" x14ac:dyDescent="0.3">
      <c r="D31" t="str">
        <f>IF(B31="","",COUNTIF(_xlfn.XLOOKUP(B31,RESULTS!$I$76:$ZZ$76,RESULTS!$I$3:$ZZ$74),3))</f>
        <v/>
      </c>
      <c r="E31" t="str">
        <f>IF(B31="","",COUNTIF(_xlfn.XLOOKUP(B31,RESULTS!$I$76:$ZZ$76,RESULTS!$I$3:$ZZ$74),1))</f>
        <v/>
      </c>
    </row>
    <row r="32" spans="4:5" x14ac:dyDescent="0.3">
      <c r="D32" t="str">
        <f>IF(B32="","",COUNTIF(_xlfn.XLOOKUP(B32,RESULTS!$I$76:$ZZ$76,RESULTS!$I$3:$ZZ$74),3))</f>
        <v/>
      </c>
      <c r="E32" t="str">
        <f>IF(B32="","",COUNTIF(_xlfn.XLOOKUP(B32,RESULTS!$I$76:$ZZ$76,RESULTS!$I$3:$ZZ$74),1))</f>
        <v/>
      </c>
    </row>
    <row r="33" spans="4:5" x14ac:dyDescent="0.3">
      <c r="D33" t="str">
        <f>IF(B33="","",COUNTIF(_xlfn.XLOOKUP(B33,RESULTS!$I$76:$ZZ$76,RESULTS!$I$3:$ZZ$74),3))</f>
        <v/>
      </c>
      <c r="E33" t="str">
        <f>IF(B33="","",COUNTIF(_xlfn.XLOOKUP(B33,RESULTS!$I$76:$ZZ$76,RESULTS!$I$3:$ZZ$74),1))</f>
        <v/>
      </c>
    </row>
    <row r="34" spans="4:5" x14ac:dyDescent="0.3">
      <c r="D34" t="str">
        <f>IF(B34="","",COUNTIF(_xlfn.XLOOKUP(B34,RESULTS!$I$76:$ZZ$76,RESULTS!$I$3:$ZZ$74),3))</f>
        <v/>
      </c>
      <c r="E34" t="str">
        <f>IF(B34="","",COUNTIF(_xlfn.XLOOKUP(B34,RESULTS!$I$76:$ZZ$76,RESULTS!$I$3:$ZZ$74),1))</f>
        <v/>
      </c>
    </row>
    <row r="35" spans="4:5" x14ac:dyDescent="0.3">
      <c r="D35" t="str">
        <f>IF(B35="","",COUNTIF(_xlfn.XLOOKUP(B35,RESULTS!$I$76:$ZZ$76,RESULTS!$I$3:$ZZ$74),3))</f>
        <v/>
      </c>
      <c r="E35" t="str">
        <f>IF(B35="","",COUNTIF(_xlfn.XLOOKUP(B35,RESULTS!$I$76:$ZZ$76,RESULTS!$I$3:$ZZ$74),1))</f>
        <v/>
      </c>
    </row>
    <row r="36" spans="4:5" x14ac:dyDescent="0.3">
      <c r="D36" t="str">
        <f>IF(B36="","",COUNTIF(_xlfn.XLOOKUP(B36,RESULTS!$I$76:$ZZ$76,RESULTS!$I$3:$ZZ$74),3))</f>
        <v/>
      </c>
      <c r="E36" t="str">
        <f>IF(B36="","",COUNTIF(_xlfn.XLOOKUP(B36,RESULTS!$I$76:$ZZ$76,RESULTS!$I$3:$ZZ$74),1))</f>
        <v/>
      </c>
    </row>
    <row r="37" spans="4:5" x14ac:dyDescent="0.3">
      <c r="D37" t="str">
        <f>IF(B37="","",COUNTIF(_xlfn.XLOOKUP(B37,RESULTS!$I$76:$ZZ$76,RESULTS!$I$3:$ZZ$74),3))</f>
        <v/>
      </c>
      <c r="E37" t="str">
        <f>IF(B37="","",COUNTIF(_xlfn.XLOOKUP(B37,RESULTS!$I$76:$ZZ$76,RESULTS!$I$3:$ZZ$74),1))</f>
        <v/>
      </c>
    </row>
    <row r="38" spans="4:5" x14ac:dyDescent="0.3">
      <c r="D38" t="str">
        <f>IF(B38="","",COUNTIF(_xlfn.XLOOKUP(B38,RESULTS!$I$76:$ZZ$76,RESULTS!$I$3:$ZZ$74),3))</f>
        <v/>
      </c>
      <c r="E38" t="str">
        <f>IF(B38="","",COUNTIF(_xlfn.XLOOKUP(B38,RESULTS!$I$76:$ZZ$76,RESULTS!$I$3:$ZZ$74),1))</f>
        <v/>
      </c>
    </row>
    <row r="39" spans="4:5" x14ac:dyDescent="0.3">
      <c r="D39" t="str">
        <f>IF(B39="","",COUNTIF(_xlfn.XLOOKUP(B39,RESULTS!$I$76:$ZZ$76,RESULTS!$I$3:$ZZ$74),3))</f>
        <v/>
      </c>
      <c r="E39" t="str">
        <f>IF(B39="","",COUNTIF(_xlfn.XLOOKUP(B39,RESULTS!$I$76:$ZZ$76,RESULTS!$I$3:$ZZ$74),1))</f>
        <v/>
      </c>
    </row>
    <row r="40" spans="4:5" x14ac:dyDescent="0.3">
      <c r="D40" t="str">
        <f>IF(B40="","",COUNTIF(_xlfn.XLOOKUP(B40,RESULTS!$I$76:$ZZ$76,RESULTS!$I$3:$ZZ$74),3))</f>
        <v/>
      </c>
      <c r="E40" t="str">
        <f>IF(B40="","",COUNTIF(_xlfn.XLOOKUP(B40,RESULTS!$I$76:$ZZ$76,RESULTS!$I$3:$ZZ$74),1))</f>
        <v/>
      </c>
    </row>
    <row r="41" spans="4:5" x14ac:dyDescent="0.3">
      <c r="D41" t="str">
        <f>IF(B41="","",COUNTIF(_xlfn.XLOOKUP(B41,RESULTS!$I$76:$ZZ$76,RESULTS!$I$3:$ZZ$74),3))</f>
        <v/>
      </c>
      <c r="E41" t="str">
        <f>IF(B41="","",COUNTIF(_xlfn.XLOOKUP(B41,RESULTS!$I$76:$ZZ$76,RESULTS!$I$3:$ZZ$74),1))</f>
        <v/>
      </c>
    </row>
    <row r="42" spans="4:5" x14ac:dyDescent="0.3">
      <c r="D42" t="str">
        <f>IF(B42="","",COUNTIF(_xlfn.XLOOKUP(B42,RESULTS!$I$76:$ZZ$76,RESULTS!$I$3:$ZZ$74),3))</f>
        <v/>
      </c>
      <c r="E42" t="str">
        <f>IF(B42="","",COUNTIF(_xlfn.XLOOKUP(B42,RESULTS!$I$76:$ZZ$76,RESULTS!$I$3:$ZZ$74),1))</f>
        <v/>
      </c>
    </row>
    <row r="43" spans="4:5" x14ac:dyDescent="0.3">
      <c r="D43" t="str">
        <f>IF(B43="","",COUNTIF(_xlfn.XLOOKUP(B43,RESULTS!$I$76:$ZZ$76,RESULTS!$I$3:$ZZ$74),3))</f>
        <v/>
      </c>
      <c r="E43" t="str">
        <f>IF(B43="","",COUNTIF(_xlfn.XLOOKUP(B43,RESULTS!$I$76:$ZZ$76,RESULTS!$I$3:$ZZ$74),1))</f>
        <v/>
      </c>
    </row>
    <row r="44" spans="4:5" x14ac:dyDescent="0.3">
      <c r="D44" t="str">
        <f>IF(B44="","",COUNTIF(_xlfn.XLOOKUP(B44,RESULTS!$I$76:$ZZ$76,RESULTS!$I$3:$ZZ$74),3))</f>
        <v/>
      </c>
      <c r="E44" t="str">
        <f>IF(B44="","",COUNTIF(_xlfn.XLOOKUP(B44,RESULTS!$I$76:$ZZ$76,RESULTS!$I$3:$ZZ$74),1))</f>
        <v/>
      </c>
    </row>
    <row r="45" spans="4:5" x14ac:dyDescent="0.3">
      <c r="D45" t="str">
        <f>IF(B45="","",COUNTIF(_xlfn.XLOOKUP(B45,RESULTS!$I$76:$ZZ$76,RESULTS!$I$3:$ZZ$74),3))</f>
        <v/>
      </c>
      <c r="E45" t="str">
        <f>IF(B45="","",COUNTIF(_xlfn.XLOOKUP(B45,RESULTS!$I$76:$ZZ$76,RESULTS!$I$3:$ZZ$74),1))</f>
        <v/>
      </c>
    </row>
    <row r="46" spans="4:5" x14ac:dyDescent="0.3">
      <c r="D46" t="str">
        <f>IF(B46="","",COUNTIF(_xlfn.XLOOKUP(B46,RESULTS!$I$76:$ZZ$76,RESULTS!$I$3:$ZZ$74),3))</f>
        <v/>
      </c>
      <c r="E46" t="str">
        <f>IF(B46="","",COUNTIF(_xlfn.XLOOKUP(B46,RESULTS!$I$76:$ZZ$76,RESULTS!$I$3:$ZZ$74),1))</f>
        <v/>
      </c>
    </row>
    <row r="47" spans="4:5" x14ac:dyDescent="0.3">
      <c r="D47" t="str">
        <f>IF(B47="","",COUNTIF(_xlfn.XLOOKUP(B47,RESULTS!$I$76:$ZZ$76,RESULTS!$I$3:$ZZ$74),3))</f>
        <v/>
      </c>
      <c r="E47" t="str">
        <f>IF(B47="","",COUNTIF(_xlfn.XLOOKUP(B47,RESULTS!$I$76:$ZZ$76,RESULTS!$I$3:$ZZ$74),1))</f>
        <v/>
      </c>
    </row>
    <row r="48" spans="4:5" x14ac:dyDescent="0.3">
      <c r="D48" t="str">
        <f>IF(B48="","",COUNTIF(_xlfn.XLOOKUP(B48,RESULTS!$I$76:$ZZ$76,RESULTS!$I$3:$ZZ$74),3))</f>
        <v/>
      </c>
      <c r="E48" t="str">
        <f>IF(B48="","",COUNTIF(_xlfn.XLOOKUP(B48,RESULTS!$I$76:$ZZ$76,RESULTS!$I$3:$ZZ$74),1))</f>
        <v/>
      </c>
    </row>
    <row r="49" spans="4:5" x14ac:dyDescent="0.3">
      <c r="D49" t="str">
        <f>IF(B49="","",COUNTIF(_xlfn.XLOOKUP(B49,RESULTS!$I$76:$ZZ$76,RESULTS!$I$3:$ZZ$74),3))</f>
        <v/>
      </c>
      <c r="E49" t="str">
        <f>IF(B49="","",COUNTIF(_xlfn.XLOOKUP(B49,RESULTS!$I$76:$ZZ$76,RESULTS!$I$3:$ZZ$74),1))</f>
        <v/>
      </c>
    </row>
    <row r="50" spans="4:5" x14ac:dyDescent="0.3">
      <c r="D50" t="str">
        <f>IF(B50="","",COUNTIF(_xlfn.XLOOKUP(B50,RESULTS!$I$76:$ZZ$76,RESULTS!$I$3:$ZZ$74),3))</f>
        <v/>
      </c>
      <c r="E50" t="str">
        <f>IF(B50="","",COUNTIF(_xlfn.XLOOKUP(B50,RESULTS!$I$76:$ZZ$76,RESULTS!$I$3:$ZZ$74),1))</f>
        <v/>
      </c>
    </row>
    <row r="51" spans="4:5" x14ac:dyDescent="0.3">
      <c r="D51" t="str">
        <f>IF(B51="","",COUNTIF(_xlfn.XLOOKUP(B51,RESULTS!$I$76:$ZZ$76,RESULTS!$I$3:$ZZ$74),3))</f>
        <v/>
      </c>
      <c r="E51" t="str">
        <f>IF(B51="","",COUNTIF(_xlfn.XLOOKUP(B51,RESULTS!$I$76:$ZZ$76,RESULTS!$I$3:$ZZ$74),1))</f>
        <v/>
      </c>
    </row>
    <row r="52" spans="4:5" x14ac:dyDescent="0.3">
      <c r="D52" t="str">
        <f>IF(B52="","",COUNTIF(_xlfn.XLOOKUP(B52,RESULTS!$I$76:$ZZ$76,RESULTS!$I$3:$ZZ$74),3))</f>
        <v/>
      </c>
      <c r="E52" t="str">
        <f>IF(B52="","",COUNTIF(_xlfn.XLOOKUP(B52,RESULTS!$I$76:$ZZ$76,RESULTS!$I$3:$ZZ$74),1))</f>
        <v/>
      </c>
    </row>
    <row r="53" spans="4:5" x14ac:dyDescent="0.3">
      <c r="D53" t="str">
        <f>IF(B53="","",COUNTIF(_xlfn.XLOOKUP(B53,RESULTS!$I$76:$ZZ$76,RESULTS!$I$3:$ZZ$74),3))</f>
        <v/>
      </c>
      <c r="E53" t="str">
        <f>IF(B53="","",COUNTIF(_xlfn.XLOOKUP(B53,RESULTS!$I$76:$ZZ$76,RESULTS!$I$3:$ZZ$74),1))</f>
        <v/>
      </c>
    </row>
    <row r="54" spans="4:5" x14ac:dyDescent="0.3">
      <c r="D54" t="str">
        <f>IF(B54="","",COUNTIF(_xlfn.XLOOKUP(B54,RESULTS!$I$76:$ZZ$76,RESULTS!$I$3:$ZZ$74),3))</f>
        <v/>
      </c>
      <c r="E54" t="str">
        <f>IF(B54="","",COUNTIF(_xlfn.XLOOKUP(B54,RESULTS!$I$76:$ZZ$76,RESULTS!$I$3:$ZZ$74),1))</f>
        <v/>
      </c>
    </row>
    <row r="55" spans="4:5" x14ac:dyDescent="0.3">
      <c r="D55" t="str">
        <f>IF(B55="","",COUNTIF(_xlfn.XLOOKUP(B55,RESULTS!$I$76:$ZZ$76,RESULTS!$I$3:$ZZ$74),3))</f>
        <v/>
      </c>
      <c r="E55" t="str">
        <f>IF(B55="","",COUNTIF(_xlfn.XLOOKUP(B55,RESULTS!$I$76:$ZZ$76,RESULTS!$I$3:$ZZ$74),1))</f>
        <v/>
      </c>
    </row>
    <row r="56" spans="4:5" x14ac:dyDescent="0.3">
      <c r="D56" t="str">
        <f>IF(B56="","",COUNTIF(_xlfn.XLOOKUP(B56,RESULTS!$I$76:$ZZ$76,RESULTS!$I$3:$ZZ$74),3))</f>
        <v/>
      </c>
      <c r="E56" t="str">
        <f>IF(B56="","",COUNTIF(_xlfn.XLOOKUP(B56,RESULTS!$I$76:$ZZ$76,RESULTS!$I$3:$ZZ$74),1))</f>
        <v/>
      </c>
    </row>
    <row r="57" spans="4:5" x14ac:dyDescent="0.3">
      <c r="D57" t="str">
        <f>IF(B57="","",COUNTIF(_xlfn.XLOOKUP(B57,RESULTS!$I$76:$ZZ$76,RESULTS!$I$3:$ZZ$74),3))</f>
        <v/>
      </c>
      <c r="E57" t="str">
        <f>IF(B57="","",COUNTIF(_xlfn.XLOOKUP(B57,RESULTS!$I$76:$ZZ$76,RESULTS!$I$3:$ZZ$74),1))</f>
        <v/>
      </c>
    </row>
    <row r="58" spans="4:5" x14ac:dyDescent="0.3">
      <c r="D58" t="str">
        <f>IF(B58="","",COUNTIF(_xlfn.XLOOKUP(B58,RESULTS!$I$76:$ZZ$76,RESULTS!$I$3:$ZZ$74),3))</f>
        <v/>
      </c>
      <c r="E58" t="str">
        <f>IF(B58="","",COUNTIF(_xlfn.XLOOKUP(B58,RESULTS!$I$76:$ZZ$76,RESULTS!$I$3:$ZZ$74),1))</f>
        <v/>
      </c>
    </row>
    <row r="59" spans="4:5" x14ac:dyDescent="0.3">
      <c r="D59" t="str">
        <f>IF(B59="","",COUNTIF(_xlfn.XLOOKUP(B59,RESULTS!$I$76:$ZZ$76,RESULTS!$I$3:$ZZ$74),3))</f>
        <v/>
      </c>
      <c r="E59" t="str">
        <f>IF(B59="","",COUNTIF(_xlfn.XLOOKUP(B59,RESULTS!$I$76:$ZZ$76,RESULTS!$I$3:$ZZ$74),1))</f>
        <v/>
      </c>
    </row>
    <row r="60" spans="4:5" x14ac:dyDescent="0.3">
      <c r="D60" t="str">
        <f>IF(B60="","",COUNTIF(_xlfn.XLOOKUP(B60,RESULTS!$I$76:$ZZ$76,RESULTS!$I$3:$ZZ$74),3))</f>
        <v/>
      </c>
      <c r="E60" t="str">
        <f>IF(B60="","",COUNTIF(_xlfn.XLOOKUP(B60,RESULTS!$I$76:$ZZ$76,RESULTS!$I$3:$ZZ$74),1))</f>
        <v/>
      </c>
    </row>
    <row r="61" spans="4:5" x14ac:dyDescent="0.3">
      <c r="D61" t="str">
        <f>IF(B61="","",COUNTIF(_xlfn.XLOOKUP(B61,RESULTS!$I$76:$ZZ$76,RESULTS!$I$3:$ZZ$74),3))</f>
        <v/>
      </c>
      <c r="E61" t="str">
        <f>IF(B61="","",COUNTIF(_xlfn.XLOOKUP(B61,RESULTS!$I$76:$ZZ$76,RESULTS!$I$3:$ZZ$74),1))</f>
        <v/>
      </c>
    </row>
    <row r="62" spans="4:5" x14ac:dyDescent="0.3">
      <c r="D62" t="str">
        <f>IF(B62="","",COUNTIF(_xlfn.XLOOKUP(B62,RESULTS!$I$76:$ZZ$76,RESULTS!$I$3:$ZZ$74),3))</f>
        <v/>
      </c>
      <c r="E62" t="str">
        <f>IF(B62="","",COUNTIF(_xlfn.XLOOKUP(B62,RESULTS!$I$76:$ZZ$76,RESULTS!$I$3:$ZZ$74),1))</f>
        <v/>
      </c>
    </row>
    <row r="63" spans="4:5" x14ac:dyDescent="0.3">
      <c r="D63" t="str">
        <f>IF(B63="","",COUNTIF(_xlfn.XLOOKUP(B63,RESULTS!$I$76:$ZZ$76,RESULTS!$I$3:$ZZ$74),3))</f>
        <v/>
      </c>
      <c r="E63" t="str">
        <f>IF(B63="","",COUNTIF(_xlfn.XLOOKUP(B63,RESULTS!$I$76:$ZZ$76,RESULTS!$I$3:$ZZ$74),1))</f>
        <v/>
      </c>
    </row>
    <row r="64" spans="4:5" x14ac:dyDescent="0.3">
      <c r="D64" t="str">
        <f>IF(B64="","",COUNTIF(_xlfn.XLOOKUP(B64,RESULTS!$I$76:$ZZ$76,RESULTS!$I$3:$ZZ$74),3))</f>
        <v/>
      </c>
      <c r="E64" t="str">
        <f>IF(B64="","",COUNTIF(_xlfn.XLOOKUP(B64,RESULTS!$I$76:$ZZ$76,RESULTS!$I$3:$ZZ$74),1))</f>
        <v/>
      </c>
    </row>
    <row r="65" spans="4:5" x14ac:dyDescent="0.3">
      <c r="D65" t="str">
        <f>IF(B65="","",COUNTIF(_xlfn.XLOOKUP(B65,RESULTS!$I$76:$ZZ$76,RESULTS!$I$3:$ZZ$74),3))</f>
        <v/>
      </c>
      <c r="E65" t="str">
        <f>IF(B65="","",COUNTIF(_xlfn.XLOOKUP(B65,RESULTS!$I$76:$ZZ$76,RESULTS!$I$3:$ZZ$74),1))</f>
        <v/>
      </c>
    </row>
    <row r="66" spans="4:5" x14ac:dyDescent="0.3">
      <c r="D66" t="str">
        <f>IF(B66="","",COUNTIF(_xlfn.XLOOKUP(B66,RESULTS!$I$76:$ZZ$76,RESULTS!$I$3:$ZZ$74),3))</f>
        <v/>
      </c>
      <c r="E66" t="str">
        <f>IF(B66="","",COUNTIF(_xlfn.XLOOKUP(B66,RESULTS!$I$76:$ZZ$76,RESULTS!$I$3:$ZZ$74),1))</f>
        <v/>
      </c>
    </row>
    <row r="67" spans="4:5" x14ac:dyDescent="0.3">
      <c r="D67" t="str">
        <f>IF(B67="","",COUNTIF(_xlfn.XLOOKUP(B67,RESULTS!$I$76:$ZZ$76,RESULTS!$I$3:$ZZ$74),3))</f>
        <v/>
      </c>
      <c r="E67" t="str">
        <f>IF(B67="","",COUNTIF(_xlfn.XLOOKUP(B67,RESULTS!$I$76:$ZZ$76,RESULTS!$I$3:$ZZ$74),1))</f>
        <v/>
      </c>
    </row>
    <row r="68" spans="4:5" x14ac:dyDescent="0.3">
      <c r="D68" t="str">
        <f>IF(B68="","",COUNTIF(_xlfn.XLOOKUP(B68,RESULTS!$I$76:$ZZ$76,RESULTS!$I$3:$ZZ$74),3))</f>
        <v/>
      </c>
      <c r="E68" t="str">
        <f>IF(B68="","",COUNTIF(_xlfn.XLOOKUP(B68,RESULTS!$I$76:$ZZ$76,RESULTS!$I$3:$ZZ$74),1))</f>
        <v/>
      </c>
    </row>
    <row r="69" spans="4:5" x14ac:dyDescent="0.3">
      <c r="D69" t="str">
        <f>IF(B69="","",COUNTIF(_xlfn.XLOOKUP(B69,RESULTS!$I$76:$ZZ$76,RESULTS!$I$3:$ZZ$74),3))</f>
        <v/>
      </c>
      <c r="E69" t="str">
        <f>IF(B69="","",COUNTIF(_xlfn.XLOOKUP(B69,RESULTS!$I$76:$ZZ$76,RESULTS!$I$3:$ZZ$74),1))</f>
        <v/>
      </c>
    </row>
    <row r="70" spans="4:5" x14ac:dyDescent="0.3">
      <c r="D70" t="str">
        <f>IF(B70="","",COUNTIF(_xlfn.XLOOKUP(B70,RESULTS!$I$76:$ZZ$76,RESULTS!$I$3:$ZZ$74),3))</f>
        <v/>
      </c>
      <c r="E70" t="str">
        <f>IF(B70="","",COUNTIF(_xlfn.XLOOKUP(B70,RESULTS!$I$76:$ZZ$76,RESULTS!$I$3:$ZZ$74),1))</f>
        <v/>
      </c>
    </row>
    <row r="71" spans="4:5" x14ac:dyDescent="0.3">
      <c r="D71" t="str">
        <f>IF(B71="","",COUNTIF(_xlfn.XLOOKUP(B71,RESULTS!$I$76:$ZZ$76,RESULTS!$I$3:$ZZ$74),3))</f>
        <v/>
      </c>
      <c r="E71" t="str">
        <f>IF(B71="","",COUNTIF(_xlfn.XLOOKUP(B71,RESULTS!$I$76:$ZZ$76,RESULTS!$I$3:$ZZ$74),1))</f>
        <v/>
      </c>
    </row>
    <row r="72" spans="4:5" x14ac:dyDescent="0.3">
      <c r="D72" t="str">
        <f>IF(B72="","",COUNTIF(_xlfn.XLOOKUP(B72,RESULTS!$I$76:$ZZ$76,RESULTS!$I$3:$ZZ$74),3))</f>
        <v/>
      </c>
      <c r="E72" t="str">
        <f>IF(B72="","",COUNTIF(_xlfn.XLOOKUP(B72,RESULTS!$I$76:$ZZ$76,RESULTS!$I$3:$ZZ$74),1))</f>
        <v/>
      </c>
    </row>
    <row r="73" spans="4:5" x14ac:dyDescent="0.3">
      <c r="D73" t="str">
        <f>IF(B73="","",COUNTIF(_xlfn.XLOOKUP(B73,RESULTS!$I$76:$ZZ$76,RESULTS!$I$3:$ZZ$74),3))</f>
        <v/>
      </c>
      <c r="E73" t="str">
        <f>IF(B73="","",COUNTIF(_xlfn.XLOOKUP(B73,RESULTS!$I$76:$ZZ$76,RESULTS!$I$3:$ZZ$74),1))</f>
        <v/>
      </c>
    </row>
    <row r="74" spans="4:5" x14ac:dyDescent="0.3">
      <c r="D74" t="str">
        <f>IF(B74="","",COUNTIF(_xlfn.XLOOKUP(B74,RESULTS!$I$76:$ZZ$76,RESULTS!$I$3:$ZZ$74),3))</f>
        <v/>
      </c>
      <c r="E74" t="str">
        <f>IF(B74="","",COUNTIF(_xlfn.XLOOKUP(B74,RESULTS!$I$76:$ZZ$76,RESULTS!$I$3:$ZZ$74),1))</f>
        <v/>
      </c>
    </row>
    <row r="75" spans="4:5" x14ac:dyDescent="0.3">
      <c r="D75" t="str">
        <f>IF(B75="","",COUNTIF(_xlfn.XLOOKUP(B75,RESULTS!$I$76:$ZZ$76,RESULTS!$I$3:$ZZ$74),3))</f>
        <v/>
      </c>
      <c r="E75" t="str">
        <f>IF(B75="","",COUNTIF(_xlfn.XLOOKUP(B75,RESULTS!$I$76:$ZZ$76,RESULTS!$I$3:$ZZ$74),1))</f>
        <v/>
      </c>
    </row>
    <row r="76" spans="4:5" x14ac:dyDescent="0.3">
      <c r="D76" t="str">
        <f>IF(B76="","",COUNTIF(_xlfn.XLOOKUP(B76,RESULTS!$I$76:$ZZ$76,RESULTS!$I$3:$ZZ$74),3))</f>
        <v/>
      </c>
      <c r="E76" t="str">
        <f>IF(B76="","",COUNTIF(_xlfn.XLOOKUP(B76,RESULTS!$I$76:$ZZ$76,RESULTS!$I$3:$ZZ$74),1))</f>
        <v/>
      </c>
    </row>
    <row r="77" spans="4:5" x14ac:dyDescent="0.3">
      <c r="D77" t="str">
        <f>IF(B77="","",COUNTIF(_xlfn.XLOOKUP(B77,RESULTS!$I$76:$ZZ$76,RESULTS!$I$3:$ZZ$74),3))</f>
        <v/>
      </c>
      <c r="E77" t="str">
        <f>IF(B77="","",COUNTIF(_xlfn.XLOOKUP(B77,RESULTS!$I$76:$ZZ$76,RESULTS!$I$3:$ZZ$74),1))</f>
        <v/>
      </c>
    </row>
    <row r="78" spans="4:5" x14ac:dyDescent="0.3">
      <c r="D78" t="str">
        <f>IF(B78="","",COUNTIF(_xlfn.XLOOKUP(B78,RESULTS!$I$76:$ZZ$76,RESULTS!$I$3:$ZZ$74),3))</f>
        <v/>
      </c>
      <c r="E78" t="str">
        <f>IF(B78="","",COUNTIF(_xlfn.XLOOKUP(B78,RESULTS!$I$76:$ZZ$76,RESULTS!$I$3:$ZZ$74),1))</f>
        <v/>
      </c>
    </row>
    <row r="79" spans="4:5" x14ac:dyDescent="0.3">
      <c r="D79" t="str">
        <f>IF(B79="","",COUNTIF(_xlfn.XLOOKUP(B79,RESULTS!$I$76:$ZZ$76,RESULTS!$I$3:$ZZ$74),3))</f>
        <v/>
      </c>
      <c r="E79" t="str">
        <f>IF(B79="","",COUNTIF(_xlfn.XLOOKUP(B79,RESULTS!$I$76:$ZZ$76,RESULTS!$I$3:$ZZ$74),1))</f>
        <v/>
      </c>
    </row>
    <row r="80" spans="4:5" x14ac:dyDescent="0.3">
      <c r="D80" t="str">
        <f>IF(B80="","",COUNTIF(_xlfn.XLOOKUP(B80,RESULTS!$I$76:$ZZ$76,RESULTS!$I$3:$ZZ$74),3))</f>
        <v/>
      </c>
      <c r="E80" t="str">
        <f>IF(B80="","",COUNTIF(_xlfn.XLOOKUP(B80,RESULTS!$I$76:$ZZ$76,RESULTS!$I$3:$ZZ$74),1))</f>
        <v/>
      </c>
    </row>
    <row r="81" spans="4:5" x14ac:dyDescent="0.3">
      <c r="D81" t="str">
        <f>IF(B81="","",COUNTIF(_xlfn.XLOOKUP(B81,RESULTS!$I$76:$ZZ$76,RESULTS!$I$3:$ZZ$74),3))</f>
        <v/>
      </c>
      <c r="E81" t="str">
        <f>IF(B81="","",COUNTIF(_xlfn.XLOOKUP(B81,RESULTS!$I$76:$ZZ$76,RESULTS!$I$3:$ZZ$74),1))</f>
        <v/>
      </c>
    </row>
    <row r="82" spans="4:5" x14ac:dyDescent="0.3">
      <c r="D82" t="str">
        <f>IF(B82="","",COUNTIF(_xlfn.XLOOKUP(B82,RESULTS!$I$76:$ZZ$76,RESULTS!$I$3:$ZZ$74),3))</f>
        <v/>
      </c>
      <c r="E82" t="str">
        <f>IF(B82="","",COUNTIF(_xlfn.XLOOKUP(B82,RESULTS!$I$76:$ZZ$76,RESULTS!$I$3:$ZZ$74),1))</f>
        <v/>
      </c>
    </row>
    <row r="83" spans="4:5" x14ac:dyDescent="0.3">
      <c r="D83" t="str">
        <f>IF(B83="","",COUNTIF(_xlfn.XLOOKUP(B83,RESULTS!$I$76:$ZZ$76,RESULTS!$I$3:$ZZ$74),3))</f>
        <v/>
      </c>
      <c r="E83" t="str">
        <f>IF(B83="","",COUNTIF(_xlfn.XLOOKUP(B83,RESULTS!$I$76:$ZZ$76,RESULTS!$I$3:$ZZ$74),1))</f>
        <v/>
      </c>
    </row>
    <row r="84" spans="4:5" x14ac:dyDescent="0.3">
      <c r="D84" t="str">
        <f>IF(B84="","",COUNTIF(_xlfn.XLOOKUP(B84,RESULTS!$I$76:$ZZ$76,RESULTS!$I$3:$ZZ$74),3))</f>
        <v/>
      </c>
      <c r="E84" t="str">
        <f>IF(B84="","",COUNTIF(_xlfn.XLOOKUP(B84,RESULTS!$I$76:$ZZ$76,RESULTS!$I$3:$ZZ$74),1))</f>
        <v/>
      </c>
    </row>
    <row r="85" spans="4:5" x14ac:dyDescent="0.3">
      <c r="D85" t="str">
        <f>IF(B85="","",COUNTIF(_xlfn.XLOOKUP(B85,RESULTS!$I$76:$ZZ$76,RESULTS!$I$3:$ZZ$74),3))</f>
        <v/>
      </c>
      <c r="E85" t="str">
        <f>IF(B85="","",COUNTIF(_xlfn.XLOOKUP(B85,RESULTS!$I$76:$ZZ$76,RESULTS!$I$3:$ZZ$74),1))</f>
        <v/>
      </c>
    </row>
    <row r="86" spans="4:5" x14ac:dyDescent="0.3">
      <c r="D86" t="str">
        <f>IF(B86="","",COUNTIF(_xlfn.XLOOKUP(B86,RESULTS!$I$76:$ZZ$76,RESULTS!$I$3:$ZZ$74),3))</f>
        <v/>
      </c>
      <c r="E86" t="str">
        <f>IF(B86="","",COUNTIF(_xlfn.XLOOKUP(B86,RESULTS!$I$76:$ZZ$76,RESULTS!$I$3:$ZZ$74),1))</f>
        <v/>
      </c>
    </row>
    <row r="87" spans="4:5" x14ac:dyDescent="0.3">
      <c r="D87" t="str">
        <f>IF(B87="","",COUNTIF(_xlfn.XLOOKUP(B87,RESULTS!$I$76:$ZZ$76,RESULTS!$I$3:$ZZ$74),3))</f>
        <v/>
      </c>
      <c r="E87" t="str">
        <f>IF(B87="","",COUNTIF(_xlfn.XLOOKUP(B87,RESULTS!$I$76:$ZZ$76,RESULTS!$I$3:$ZZ$74),1))</f>
        <v/>
      </c>
    </row>
    <row r="88" spans="4:5" x14ac:dyDescent="0.3">
      <c r="D88" t="str">
        <f>IF(B88="","",COUNTIF(_xlfn.XLOOKUP(B88,RESULTS!$I$76:$ZZ$76,RESULTS!$I$3:$ZZ$74),3))</f>
        <v/>
      </c>
      <c r="E88" t="str">
        <f>IF(B88="","",COUNTIF(_xlfn.XLOOKUP(B88,RESULTS!$I$76:$ZZ$76,RESULTS!$I$3:$ZZ$74),1))</f>
        <v/>
      </c>
    </row>
    <row r="89" spans="4:5" x14ac:dyDescent="0.3">
      <c r="D89" t="str">
        <f>IF(B89="","",COUNTIF(_xlfn.XLOOKUP(B89,RESULTS!$I$76:$ZZ$76,RESULTS!$I$3:$ZZ$74),3))</f>
        <v/>
      </c>
      <c r="E89" t="str">
        <f>IF(B89="","",COUNTIF(_xlfn.XLOOKUP(B89,RESULTS!$I$76:$ZZ$76,RESULTS!$I$3:$ZZ$74),1))</f>
        <v/>
      </c>
    </row>
    <row r="90" spans="4:5" x14ac:dyDescent="0.3">
      <c r="D90" t="str">
        <f>IF(B90="","",COUNTIF(_xlfn.XLOOKUP(B90,RESULTS!$I$76:$ZZ$76,RESULTS!$I$3:$ZZ$74),3))</f>
        <v/>
      </c>
      <c r="E90" t="str">
        <f>IF(B90="","",COUNTIF(_xlfn.XLOOKUP(B90,RESULTS!$I$76:$ZZ$76,RESULTS!$I$3:$ZZ$74),1))</f>
        <v/>
      </c>
    </row>
    <row r="91" spans="4:5" x14ac:dyDescent="0.3">
      <c r="D91" t="str">
        <f>IF(B91="","",COUNTIF(_xlfn.XLOOKUP(B91,RESULTS!$I$76:$ZZ$76,RESULTS!$I$3:$ZZ$74),3))</f>
        <v/>
      </c>
      <c r="E91" t="str">
        <f>IF(B91="","",COUNTIF(_xlfn.XLOOKUP(B91,RESULTS!$I$76:$ZZ$76,RESULTS!$I$3:$ZZ$74),1))</f>
        <v/>
      </c>
    </row>
    <row r="92" spans="4:5" x14ac:dyDescent="0.3">
      <c r="D92" t="str">
        <f>IF(B92="","",COUNTIF(_xlfn.XLOOKUP(B92,RESULTS!$I$76:$ZZ$76,RESULTS!$I$3:$ZZ$74),3))</f>
        <v/>
      </c>
      <c r="E92" t="str">
        <f>IF(B92="","",COUNTIF(_xlfn.XLOOKUP(B92,RESULTS!$I$76:$ZZ$76,RESULTS!$I$3:$ZZ$74),1))</f>
        <v/>
      </c>
    </row>
    <row r="93" spans="4:5" x14ac:dyDescent="0.3">
      <c r="D93" t="str">
        <f>IF(B93="","",COUNTIF(_xlfn.XLOOKUP(B93,RESULTS!$I$76:$ZZ$76,RESULTS!$I$3:$ZZ$74),3))</f>
        <v/>
      </c>
      <c r="E93" t="str">
        <f>IF(B93="","",COUNTIF(_xlfn.XLOOKUP(B93,RESULTS!$I$76:$ZZ$76,RESULTS!$I$3:$ZZ$74),1))</f>
        <v/>
      </c>
    </row>
    <row r="94" spans="4:5" x14ac:dyDescent="0.3">
      <c r="D94" t="str">
        <f>IF(B94="","",COUNTIF(_xlfn.XLOOKUP(B94,RESULTS!$I$76:$ZZ$76,RESULTS!$I$3:$ZZ$74),3))</f>
        <v/>
      </c>
      <c r="E94" t="str">
        <f>IF(B94="","",COUNTIF(_xlfn.XLOOKUP(B94,RESULTS!$I$76:$ZZ$76,RESULTS!$I$3:$ZZ$74),1))</f>
        <v/>
      </c>
    </row>
    <row r="95" spans="4:5" x14ac:dyDescent="0.3">
      <c r="D95" t="str">
        <f>IF(B95="","",COUNTIF(_xlfn.XLOOKUP(B95,RESULTS!$I$76:$ZZ$76,RESULTS!$I$3:$ZZ$74),3))</f>
        <v/>
      </c>
      <c r="E95" t="str">
        <f>IF(B95="","",COUNTIF(_xlfn.XLOOKUP(B95,RESULTS!$I$76:$ZZ$76,RESULTS!$I$3:$ZZ$74),1))</f>
        <v/>
      </c>
    </row>
    <row r="96" spans="4:5" x14ac:dyDescent="0.3">
      <c r="D96" t="str">
        <f>IF(B96="","",COUNTIF(_xlfn.XLOOKUP(B96,RESULTS!$I$76:$ZZ$76,RESULTS!$I$3:$ZZ$74),3))</f>
        <v/>
      </c>
      <c r="E96" t="str">
        <f>IF(B96="","",COUNTIF(_xlfn.XLOOKUP(B96,RESULTS!$I$76:$ZZ$76,RESULTS!$I$3:$ZZ$74),1))</f>
        <v/>
      </c>
    </row>
    <row r="97" spans="4:5" x14ac:dyDescent="0.3">
      <c r="D97" t="str">
        <f>IF(B97="","",COUNTIF(_xlfn.XLOOKUP(B97,RESULTS!$I$76:$ZZ$76,RESULTS!$I$3:$ZZ$74),3))</f>
        <v/>
      </c>
      <c r="E97" t="str">
        <f>IF(B97="","",COUNTIF(_xlfn.XLOOKUP(B97,RESULTS!$I$76:$ZZ$76,RESULTS!$I$3:$ZZ$74),1))</f>
        <v/>
      </c>
    </row>
    <row r="98" spans="4:5" x14ac:dyDescent="0.3">
      <c r="D98" t="str">
        <f>IF(B98="","",COUNTIF(_xlfn.XLOOKUP(B98,RESULTS!$I$76:$ZZ$76,RESULTS!$I$3:$ZZ$74),3))</f>
        <v/>
      </c>
      <c r="E98" t="str">
        <f>IF(B98="","",COUNTIF(_xlfn.XLOOKUP(B98,RESULTS!$I$76:$ZZ$76,RESULTS!$I$3:$ZZ$74),1))</f>
        <v/>
      </c>
    </row>
    <row r="99" spans="4:5" x14ac:dyDescent="0.3">
      <c r="D99" t="str">
        <f>IF(B99="","",COUNTIF(_xlfn.XLOOKUP(B99,RESULTS!$I$76:$ZZ$76,RESULTS!$I$3:$ZZ$74),3))</f>
        <v/>
      </c>
      <c r="E99" t="str">
        <f>IF(B99="","",COUNTIF(_xlfn.XLOOKUP(B99,RESULTS!$I$76:$ZZ$76,RESULTS!$I$3:$ZZ$74),1))</f>
        <v/>
      </c>
    </row>
    <row r="100" spans="4:5" x14ac:dyDescent="0.3">
      <c r="D100" t="str">
        <f>IF(B100="","",COUNTIF(_xlfn.XLOOKUP(B100,RESULTS!$I$76:$ZZ$76,RESULTS!$I$3:$ZZ$74),3))</f>
        <v/>
      </c>
      <c r="E100" t="str">
        <f>IF(B100="","",COUNTIF(_xlfn.XLOOKUP(B100,RESULTS!$I$76:$ZZ$76,RESULTS!$I$3:$ZZ$74),1))</f>
        <v/>
      </c>
    </row>
    <row r="101" spans="4:5" x14ac:dyDescent="0.3">
      <c r="D101" t="str">
        <f>IF(B101="","",COUNTIF(_xlfn.XLOOKUP(B101,RESULTS!$I$76:$ZZ$76,RESULTS!$I$3:$ZZ$74),3))</f>
        <v/>
      </c>
      <c r="E101" t="str">
        <f>IF(B101="","",COUNTIF(_xlfn.XLOOKUP(B101,RESULTS!$I$76:$ZZ$76,RESULTS!$I$3:$ZZ$74),1))</f>
        <v/>
      </c>
    </row>
    <row r="102" spans="4:5" x14ac:dyDescent="0.3">
      <c r="D102" t="str">
        <f>IF(B102="","",COUNTIF(_xlfn.XLOOKUP(B102,RESULTS!$I$76:$ZZ$76,RESULTS!$I$3:$ZZ$74),3))</f>
        <v/>
      </c>
      <c r="E102" t="str">
        <f>IF(B102="","",COUNTIF(_xlfn.XLOOKUP(B102,RESULTS!$I$76:$ZZ$76,RESULTS!$I$3:$ZZ$74),1))</f>
        <v/>
      </c>
    </row>
    <row r="103" spans="4:5" x14ac:dyDescent="0.3">
      <c r="D103" t="str">
        <f>IF(B103="","",COUNTIF(_xlfn.XLOOKUP(B103,RESULTS!$I$76:$ZZ$76,RESULTS!$I$3:$ZZ$74),3))</f>
        <v/>
      </c>
      <c r="E103" t="str">
        <f>IF(B103="","",COUNTIF(_xlfn.XLOOKUP(B103,RESULTS!$I$76:$ZZ$76,RESULTS!$I$3:$ZZ$74),1))</f>
        <v/>
      </c>
    </row>
    <row r="104" spans="4:5" x14ac:dyDescent="0.3">
      <c r="D104" t="str">
        <f>IF(B104="","",COUNTIF(_xlfn.XLOOKUP(B104,RESULTS!$I$76:$ZZ$76,RESULTS!$I$3:$ZZ$74),3))</f>
        <v/>
      </c>
      <c r="E104" t="str">
        <f>IF(B104="","",COUNTIF(_xlfn.XLOOKUP(B104,RESULTS!$I$76:$ZZ$76,RESULTS!$I$3:$ZZ$74),1))</f>
        <v/>
      </c>
    </row>
    <row r="105" spans="4:5" x14ac:dyDescent="0.3">
      <c r="D105" t="str">
        <f>IF(B105="","",COUNTIF(_xlfn.XLOOKUP(B105,RESULTS!$I$76:$ZZ$76,RESULTS!$I$3:$ZZ$74),3))</f>
        <v/>
      </c>
      <c r="E105" t="str">
        <f>IF(B105="","",COUNTIF(_xlfn.XLOOKUP(B105,RESULTS!$I$76:$ZZ$76,RESULTS!$I$3:$ZZ$74),1))</f>
        <v/>
      </c>
    </row>
    <row r="106" spans="4:5" x14ac:dyDescent="0.3">
      <c r="D106" t="str">
        <f>IF(B106="","",COUNTIF(_xlfn.XLOOKUP(B106,RESULTS!$I$76:$ZZ$76,RESULTS!$I$3:$ZZ$74),3))</f>
        <v/>
      </c>
      <c r="E106" t="str">
        <f>IF(B106="","",COUNTIF(_xlfn.XLOOKUP(B106,RESULTS!$I$76:$ZZ$76,RESULTS!$I$3:$ZZ$74),1))</f>
        <v/>
      </c>
    </row>
    <row r="107" spans="4:5" x14ac:dyDescent="0.3">
      <c r="D107" t="str">
        <f>IF(B107="","",COUNTIF(_xlfn.XLOOKUP(B107,RESULTS!$I$76:$ZZ$76,RESULTS!$I$3:$ZZ$74),3))</f>
        <v/>
      </c>
      <c r="E107" t="str">
        <f>IF(B107="","",COUNTIF(_xlfn.XLOOKUP(B107,RESULTS!$I$76:$ZZ$76,RESULTS!$I$3:$ZZ$74),1))</f>
        <v/>
      </c>
    </row>
    <row r="108" spans="4:5" x14ac:dyDescent="0.3">
      <c r="D108" t="str">
        <f>IF(B108="","",COUNTIF(_xlfn.XLOOKUP(B108,RESULTS!$I$76:$ZZ$76,RESULTS!$I$3:$ZZ$74),3))</f>
        <v/>
      </c>
      <c r="E108" t="str">
        <f>IF(B108="","",COUNTIF(_xlfn.XLOOKUP(B108,RESULTS!$I$76:$ZZ$76,RESULTS!$I$3:$ZZ$74),1))</f>
        <v/>
      </c>
    </row>
    <row r="109" spans="4:5" x14ac:dyDescent="0.3">
      <c r="D109" t="str">
        <f>IF(B109="","",COUNTIF(_xlfn.XLOOKUP(B109,RESULTS!$I$76:$ZZ$76,RESULTS!$I$3:$ZZ$74),3))</f>
        <v/>
      </c>
      <c r="E109" t="str">
        <f>IF(B109="","",COUNTIF(_xlfn.XLOOKUP(B109,RESULTS!$I$76:$ZZ$76,RESULTS!$I$3:$ZZ$74),1))</f>
        <v/>
      </c>
    </row>
    <row r="110" spans="4:5" x14ac:dyDescent="0.3">
      <c r="D110" t="str">
        <f>IF(B110="","",COUNTIF(_xlfn.XLOOKUP(B110,RESULTS!$I$76:$ZZ$76,RESULTS!$I$3:$ZZ$74),3))</f>
        <v/>
      </c>
      <c r="E110" t="str">
        <f>IF(B110="","",COUNTIF(_xlfn.XLOOKUP(B110,RESULTS!$I$76:$ZZ$76,RESULTS!$I$3:$ZZ$74),1))</f>
        <v/>
      </c>
    </row>
    <row r="111" spans="4:5" x14ac:dyDescent="0.3">
      <c r="D111" t="str">
        <f>IF(B111="","",COUNTIF(_xlfn.XLOOKUP(B111,RESULTS!$I$76:$ZZ$76,RESULTS!$I$3:$ZZ$74),3))</f>
        <v/>
      </c>
      <c r="E111" t="str">
        <f>IF(B111="","",COUNTIF(_xlfn.XLOOKUP(B111,RESULTS!$I$76:$ZZ$76,RESULTS!$I$3:$ZZ$74),1))</f>
        <v/>
      </c>
    </row>
    <row r="112" spans="4:5" x14ac:dyDescent="0.3">
      <c r="D112" t="str">
        <f>IF(B112="","",COUNTIF(_xlfn.XLOOKUP(B112,RESULTS!$I$76:$ZZ$76,RESULTS!$I$3:$ZZ$74),3))</f>
        <v/>
      </c>
      <c r="E112" t="str">
        <f>IF(B112="","",COUNTIF(_xlfn.XLOOKUP(B112,RESULTS!$I$76:$ZZ$76,RESULTS!$I$3:$ZZ$74),1))</f>
        <v/>
      </c>
    </row>
    <row r="113" spans="4:5" x14ac:dyDescent="0.3">
      <c r="D113" t="str">
        <f>IF(B113="","",COUNTIF(_xlfn.XLOOKUP(B113,RESULTS!$I$76:$ZZ$76,RESULTS!$I$3:$ZZ$74),3))</f>
        <v/>
      </c>
      <c r="E113" t="str">
        <f>IF(B113="","",COUNTIF(_xlfn.XLOOKUP(B113,RESULTS!$I$76:$ZZ$76,RESULTS!$I$3:$ZZ$74),1))</f>
        <v/>
      </c>
    </row>
    <row r="114" spans="4:5" x14ac:dyDescent="0.3">
      <c r="D114" t="str">
        <f>IF(B114="","",COUNTIF(_xlfn.XLOOKUP(B114,RESULTS!$I$76:$ZZ$76,RESULTS!$I$3:$ZZ$74),3))</f>
        <v/>
      </c>
      <c r="E114" t="str">
        <f>IF(B114="","",COUNTIF(_xlfn.XLOOKUP(B114,RESULTS!$I$76:$ZZ$76,RESULTS!$I$3:$ZZ$74),1))</f>
        <v/>
      </c>
    </row>
    <row r="115" spans="4:5" x14ac:dyDescent="0.3">
      <c r="D115" t="str">
        <f>IF(B115="","",COUNTIF(_xlfn.XLOOKUP(B115,RESULTS!$I$76:$ZZ$76,RESULTS!$I$3:$ZZ$74),3))</f>
        <v/>
      </c>
      <c r="E115" t="str">
        <f>IF(B115="","",COUNTIF(_xlfn.XLOOKUP(B115,RESULTS!$I$76:$ZZ$76,RESULTS!$I$3:$ZZ$74),1))</f>
        <v/>
      </c>
    </row>
    <row r="116" spans="4:5" x14ac:dyDescent="0.3">
      <c r="D116" t="str">
        <f>IF(B116="","",COUNTIF(_xlfn.XLOOKUP(B116,RESULTS!$I$76:$ZZ$76,RESULTS!$I$3:$ZZ$74),3))</f>
        <v/>
      </c>
      <c r="E116" t="str">
        <f>IF(B116="","",COUNTIF(_xlfn.XLOOKUP(B116,RESULTS!$I$76:$ZZ$76,RESULTS!$I$3:$ZZ$74),1))</f>
        <v/>
      </c>
    </row>
    <row r="117" spans="4:5" x14ac:dyDescent="0.3">
      <c r="D117" t="str">
        <f>IF(B117="","",COUNTIF(_xlfn.XLOOKUP(B117,RESULTS!$I$76:$ZZ$76,RESULTS!$I$3:$ZZ$74),3))</f>
        <v/>
      </c>
      <c r="E117" t="str">
        <f>IF(B117="","",COUNTIF(_xlfn.XLOOKUP(B117,RESULTS!$I$76:$ZZ$76,RESULTS!$I$3:$ZZ$74),1))</f>
        <v/>
      </c>
    </row>
    <row r="118" spans="4:5" x14ac:dyDescent="0.3">
      <c r="D118" t="str">
        <f>IF(B118="","",COUNTIF(_xlfn.XLOOKUP(B118,RESULTS!$I$76:$ZZ$76,RESULTS!$I$3:$ZZ$74),3))</f>
        <v/>
      </c>
      <c r="E118" t="str">
        <f>IF(B118="","",COUNTIF(_xlfn.XLOOKUP(B118,RESULTS!$I$76:$ZZ$76,RESULTS!$I$3:$ZZ$74),1))</f>
        <v/>
      </c>
    </row>
    <row r="119" spans="4:5" x14ac:dyDescent="0.3">
      <c r="D119" t="str">
        <f>IF(B119="","",COUNTIF(_xlfn.XLOOKUP(B119,RESULTS!$I$76:$ZZ$76,RESULTS!$I$3:$ZZ$74),3))</f>
        <v/>
      </c>
      <c r="E119" t="str">
        <f>IF(B119="","",COUNTIF(_xlfn.XLOOKUP(B119,RESULTS!$I$76:$ZZ$76,RESULTS!$I$3:$ZZ$74),1))</f>
        <v/>
      </c>
    </row>
    <row r="120" spans="4:5" x14ac:dyDescent="0.3">
      <c r="D120" t="str">
        <f>IF(B120="","",COUNTIF(_xlfn.XLOOKUP(B120,RESULTS!$I$76:$ZZ$76,RESULTS!$I$3:$ZZ$74),3))</f>
        <v/>
      </c>
      <c r="E120" t="str">
        <f>IF(B120="","",COUNTIF(_xlfn.XLOOKUP(B120,RESULTS!$I$76:$ZZ$76,RESULTS!$I$3:$ZZ$74),1))</f>
        <v/>
      </c>
    </row>
    <row r="121" spans="4:5" x14ac:dyDescent="0.3">
      <c r="D121" t="str">
        <f>IF(B121="","",COUNTIF(_xlfn.XLOOKUP(B121,RESULTS!$I$76:$ZZ$76,RESULTS!$I$3:$ZZ$74),3))</f>
        <v/>
      </c>
      <c r="E121" t="str">
        <f>IF(B121="","",COUNTIF(_xlfn.XLOOKUP(B121,RESULTS!$I$76:$ZZ$76,RESULTS!$I$3:$ZZ$74),1))</f>
        <v/>
      </c>
    </row>
    <row r="122" spans="4:5" x14ac:dyDescent="0.3">
      <c r="D122" t="str">
        <f>IF(B122="","",COUNTIF(_xlfn.XLOOKUP(B122,RESULTS!$I$76:$ZZ$76,RESULTS!$I$3:$ZZ$74),3))</f>
        <v/>
      </c>
      <c r="E122" t="str">
        <f>IF(B122="","",COUNTIF(_xlfn.XLOOKUP(B122,RESULTS!$I$76:$ZZ$76,RESULTS!$I$3:$ZZ$74),1))</f>
        <v/>
      </c>
    </row>
    <row r="123" spans="4:5" x14ac:dyDescent="0.3">
      <c r="D123" t="str">
        <f>IF(B123="","",COUNTIF(_xlfn.XLOOKUP(B123,RESULTS!$I$76:$ZZ$76,RESULTS!$I$3:$ZZ$74),3))</f>
        <v/>
      </c>
      <c r="E123" t="str">
        <f>IF(B123="","",COUNTIF(_xlfn.XLOOKUP(B123,RESULTS!$I$76:$ZZ$76,RESULTS!$I$3:$ZZ$74),1))</f>
        <v/>
      </c>
    </row>
    <row r="124" spans="4:5" x14ac:dyDescent="0.3">
      <c r="D124" t="str">
        <f>IF(B124="","",COUNTIF(_xlfn.XLOOKUP(B124,RESULTS!$I$76:$ZZ$76,RESULTS!$I$3:$ZZ$74),3))</f>
        <v/>
      </c>
      <c r="E124" t="str">
        <f>IF(B124="","",COUNTIF(_xlfn.XLOOKUP(B124,RESULTS!$I$76:$ZZ$76,RESULTS!$I$3:$ZZ$74),1))</f>
        <v/>
      </c>
    </row>
    <row r="125" spans="4:5" x14ac:dyDescent="0.3">
      <c r="D125" t="str">
        <f>IF(B125="","",COUNTIF(_xlfn.XLOOKUP(B125,RESULTS!$I$76:$ZZ$76,RESULTS!$I$3:$ZZ$74),3))</f>
        <v/>
      </c>
      <c r="E125" t="str">
        <f>IF(B125="","",COUNTIF(_xlfn.XLOOKUP(B125,RESULTS!$I$76:$ZZ$76,RESULTS!$I$3:$ZZ$74),1))</f>
        <v/>
      </c>
    </row>
    <row r="126" spans="4:5" x14ac:dyDescent="0.3">
      <c r="D126" t="str">
        <f>IF(B126="","",COUNTIF(_xlfn.XLOOKUP(B126,RESULTS!$I$76:$ZZ$76,RESULTS!$I$3:$ZZ$74),3))</f>
        <v/>
      </c>
      <c r="E126" t="str">
        <f>IF(B126="","",COUNTIF(_xlfn.XLOOKUP(B126,RESULTS!$I$76:$ZZ$76,RESULTS!$I$3:$ZZ$74),1))</f>
        <v/>
      </c>
    </row>
    <row r="127" spans="4:5" x14ac:dyDescent="0.3">
      <c r="D127" t="str">
        <f>IF(B127="","",COUNTIF(_xlfn.XLOOKUP(B127,RESULTS!$I$76:$ZZ$76,RESULTS!$I$3:$ZZ$74),3))</f>
        <v/>
      </c>
      <c r="E127" t="str">
        <f>IF(B127="","",COUNTIF(_xlfn.XLOOKUP(B127,RESULTS!$I$76:$ZZ$76,RESULTS!$I$3:$ZZ$74),1))</f>
        <v/>
      </c>
    </row>
    <row r="128" spans="4:5" x14ac:dyDescent="0.3">
      <c r="D128" t="str">
        <f>IF(B128="","",COUNTIF(_xlfn.XLOOKUP(B128,RESULTS!$I$76:$ZZ$76,RESULTS!$I$3:$ZZ$74),3))</f>
        <v/>
      </c>
      <c r="E128" t="str">
        <f>IF(B128="","",COUNTIF(_xlfn.XLOOKUP(B128,RESULTS!$I$76:$ZZ$76,RESULTS!$I$3:$ZZ$74),1))</f>
        <v/>
      </c>
    </row>
    <row r="129" spans="4:5" x14ac:dyDescent="0.3">
      <c r="D129" t="str">
        <f>IF(B129="","",COUNTIF(_xlfn.XLOOKUP(B129,RESULTS!$I$76:$ZZ$76,RESULTS!$I$3:$ZZ$74),3))</f>
        <v/>
      </c>
      <c r="E129" t="str">
        <f>IF(B129="","",COUNTIF(_xlfn.XLOOKUP(B129,RESULTS!$I$76:$ZZ$76,RESULTS!$I$3:$ZZ$74),1))</f>
        <v/>
      </c>
    </row>
    <row r="130" spans="4:5" x14ac:dyDescent="0.3">
      <c r="D130" t="str">
        <f>IF(B130="","",COUNTIF(_xlfn.XLOOKUP(B130,RESULTS!$I$76:$ZZ$76,RESULTS!$I$3:$ZZ$74),3))</f>
        <v/>
      </c>
      <c r="E130" t="str">
        <f>IF(B130="","",COUNTIF(_xlfn.XLOOKUP(B130,RESULTS!$I$76:$ZZ$76,RESULTS!$I$3:$ZZ$74),1))</f>
        <v/>
      </c>
    </row>
    <row r="131" spans="4:5" x14ac:dyDescent="0.3">
      <c r="D131" t="str">
        <f>IF(B131="","",COUNTIF(_xlfn.XLOOKUP(B131,RESULTS!$I$76:$ZZ$76,RESULTS!$I$3:$ZZ$74),3))</f>
        <v/>
      </c>
      <c r="E131" t="str">
        <f>IF(B131="","",COUNTIF(_xlfn.XLOOKUP(B131,RESULTS!$I$76:$ZZ$76,RESULTS!$I$3:$ZZ$74),1))</f>
        <v/>
      </c>
    </row>
    <row r="132" spans="4:5" x14ac:dyDescent="0.3">
      <c r="D132" t="str">
        <f>IF(B132="","",COUNTIF(_xlfn.XLOOKUP(B132,RESULTS!$I$76:$ZZ$76,RESULTS!$I$3:$ZZ$74),3))</f>
        <v/>
      </c>
      <c r="E132" t="str">
        <f>IF(B132="","",COUNTIF(_xlfn.XLOOKUP(B132,RESULTS!$I$76:$ZZ$76,RESULTS!$I$3:$ZZ$74),1))</f>
        <v/>
      </c>
    </row>
    <row r="133" spans="4:5" x14ac:dyDescent="0.3">
      <c r="D133" t="str">
        <f>IF(B133="","",COUNTIF(_xlfn.XLOOKUP(B133,RESULTS!$I$76:$ZZ$76,RESULTS!$I$3:$ZZ$74),3))</f>
        <v/>
      </c>
      <c r="E133" t="str">
        <f>IF(B133="","",COUNTIF(_xlfn.XLOOKUP(B133,RESULTS!$I$76:$ZZ$76,RESULTS!$I$3:$ZZ$74),1))</f>
        <v/>
      </c>
    </row>
    <row r="134" spans="4:5" x14ac:dyDescent="0.3">
      <c r="D134" t="str">
        <f>IF(B134="","",COUNTIF(_xlfn.XLOOKUP(B134,RESULTS!$I$76:$ZZ$76,RESULTS!$I$3:$ZZ$74),3))</f>
        <v/>
      </c>
      <c r="E134" t="str">
        <f>IF(B134="","",COUNTIF(_xlfn.XLOOKUP(B134,RESULTS!$I$76:$ZZ$76,RESULTS!$I$3:$ZZ$74),1))</f>
        <v/>
      </c>
    </row>
    <row r="135" spans="4:5" x14ac:dyDescent="0.3">
      <c r="D135" t="str">
        <f>IF(B135="","",COUNTIF(_xlfn.XLOOKUP(B135,RESULTS!$I$76:$ZZ$76,RESULTS!$I$3:$ZZ$74),3))</f>
        <v/>
      </c>
      <c r="E135" t="str">
        <f>IF(B135="","",COUNTIF(_xlfn.XLOOKUP(B135,RESULTS!$I$76:$ZZ$76,RESULTS!$I$3:$ZZ$74),1))</f>
        <v/>
      </c>
    </row>
    <row r="136" spans="4:5" x14ac:dyDescent="0.3">
      <c r="D136" t="str">
        <f>IF(B136="","",COUNTIF(_xlfn.XLOOKUP(B136,RESULTS!$I$76:$ZZ$76,RESULTS!$I$3:$ZZ$74),3))</f>
        <v/>
      </c>
      <c r="E136" t="str">
        <f>IF(B136="","",COUNTIF(_xlfn.XLOOKUP(B136,RESULTS!$I$76:$ZZ$76,RESULTS!$I$3:$ZZ$74),1))</f>
        <v/>
      </c>
    </row>
    <row r="137" spans="4:5" x14ac:dyDescent="0.3">
      <c r="D137" t="str">
        <f>IF(B137="","",COUNTIF(_xlfn.XLOOKUP(B137,RESULTS!$I$76:$ZZ$76,RESULTS!$I$3:$ZZ$74),3))</f>
        <v/>
      </c>
      <c r="E137" t="str">
        <f>IF(B137="","",COUNTIF(_xlfn.XLOOKUP(B137,RESULTS!$I$76:$ZZ$76,RESULTS!$I$3:$ZZ$74),1))</f>
        <v/>
      </c>
    </row>
    <row r="138" spans="4:5" x14ac:dyDescent="0.3">
      <c r="D138" t="str">
        <f>IF(B138="","",COUNTIF(_xlfn.XLOOKUP(B138,RESULTS!$I$76:$ZZ$76,RESULTS!$I$3:$ZZ$74),3))</f>
        <v/>
      </c>
      <c r="E138" t="str">
        <f>IF(B138="","",COUNTIF(_xlfn.XLOOKUP(B138,RESULTS!$I$76:$ZZ$76,RESULTS!$I$3:$ZZ$74),1))</f>
        <v/>
      </c>
    </row>
    <row r="139" spans="4:5" x14ac:dyDescent="0.3">
      <c r="D139" t="str">
        <f>IF(B139="","",COUNTIF(_xlfn.XLOOKUP(B139,RESULTS!$I$76:$ZZ$76,RESULTS!$I$3:$ZZ$74),3))</f>
        <v/>
      </c>
      <c r="E139" t="str">
        <f>IF(B139="","",COUNTIF(_xlfn.XLOOKUP(B139,RESULTS!$I$76:$ZZ$76,RESULTS!$I$3:$ZZ$74),1))</f>
        <v/>
      </c>
    </row>
    <row r="140" spans="4:5" x14ac:dyDescent="0.3">
      <c r="D140" t="str">
        <f>IF(B140="","",COUNTIF(_xlfn.XLOOKUP(B140,RESULTS!$I$76:$ZZ$76,RESULTS!$I$3:$ZZ$74),3))</f>
        <v/>
      </c>
      <c r="E140" t="str">
        <f>IF(B140="","",COUNTIF(_xlfn.XLOOKUP(B140,RESULTS!$I$76:$ZZ$76,RESULTS!$I$3:$ZZ$74),1))</f>
        <v/>
      </c>
    </row>
    <row r="141" spans="4:5" x14ac:dyDescent="0.3">
      <c r="D141" t="str">
        <f>IF(B141="","",COUNTIF(_xlfn.XLOOKUP(B141,RESULTS!$I$76:$ZZ$76,RESULTS!$I$3:$ZZ$74),3))</f>
        <v/>
      </c>
      <c r="E141" t="str">
        <f>IF(B141="","",COUNTIF(_xlfn.XLOOKUP(B141,RESULTS!$I$76:$ZZ$76,RESULTS!$I$3:$ZZ$74),1))</f>
        <v/>
      </c>
    </row>
    <row r="142" spans="4:5" x14ac:dyDescent="0.3">
      <c r="D142" t="str">
        <f>IF(B142="","",COUNTIF(_xlfn.XLOOKUP(B142,RESULTS!$I$76:$ZZ$76,RESULTS!$I$3:$ZZ$74),3))</f>
        <v/>
      </c>
      <c r="E142" t="str">
        <f>IF(B142="","",COUNTIF(_xlfn.XLOOKUP(B142,RESULTS!$I$76:$ZZ$76,RESULTS!$I$3:$ZZ$74),1))</f>
        <v/>
      </c>
    </row>
    <row r="143" spans="4:5" x14ac:dyDescent="0.3">
      <c r="D143" t="str">
        <f>IF(B143="","",COUNTIF(_xlfn.XLOOKUP(B143,RESULTS!$I$76:$ZZ$76,RESULTS!$I$3:$ZZ$74),3))</f>
        <v/>
      </c>
      <c r="E143" t="str">
        <f>IF(B143="","",COUNTIF(_xlfn.XLOOKUP(B143,RESULTS!$I$76:$ZZ$76,RESULTS!$I$3:$ZZ$74),1))</f>
        <v/>
      </c>
    </row>
    <row r="144" spans="4:5" x14ac:dyDescent="0.3">
      <c r="D144" t="str">
        <f>IF(B144="","",COUNTIF(_xlfn.XLOOKUP(B144,RESULTS!$I$76:$ZZ$76,RESULTS!$I$3:$ZZ$74),3))</f>
        <v/>
      </c>
      <c r="E144" t="str">
        <f>IF(B144="","",COUNTIF(_xlfn.XLOOKUP(B144,RESULTS!$I$76:$ZZ$76,RESULTS!$I$3:$ZZ$74),1))</f>
        <v/>
      </c>
    </row>
    <row r="145" spans="4:5" x14ac:dyDescent="0.3">
      <c r="D145" t="str">
        <f>IF(B145="","",COUNTIF(_xlfn.XLOOKUP(B145,RESULTS!$I$76:$ZZ$76,RESULTS!$I$3:$ZZ$74),3))</f>
        <v/>
      </c>
      <c r="E145" t="str">
        <f>IF(B145="","",COUNTIF(_xlfn.XLOOKUP(B145,RESULTS!$I$76:$ZZ$76,RESULTS!$I$3:$ZZ$74),1))</f>
        <v/>
      </c>
    </row>
    <row r="146" spans="4:5" x14ac:dyDescent="0.3">
      <c r="D146" t="str">
        <f>IF(B146="","",COUNTIF(_xlfn.XLOOKUP(B146,RESULTS!$I$76:$ZZ$76,RESULTS!$I$3:$ZZ$74),3))</f>
        <v/>
      </c>
      <c r="E146" t="str">
        <f>IF(B146="","",COUNTIF(_xlfn.XLOOKUP(B146,RESULTS!$I$76:$ZZ$76,RESULTS!$I$3:$ZZ$74),1))</f>
        <v/>
      </c>
    </row>
    <row r="147" spans="4:5" x14ac:dyDescent="0.3">
      <c r="D147" t="str">
        <f>IF(B147="","",COUNTIF(_xlfn.XLOOKUP(B147,RESULTS!$I$76:$ZZ$76,RESULTS!$I$3:$ZZ$74),3))</f>
        <v/>
      </c>
      <c r="E147" t="str">
        <f>IF(B147="","",COUNTIF(_xlfn.XLOOKUP(B147,RESULTS!$I$76:$ZZ$76,RESULTS!$I$3:$ZZ$74),1))</f>
        <v/>
      </c>
    </row>
    <row r="148" spans="4:5" x14ac:dyDescent="0.3">
      <c r="D148" t="str">
        <f>IF(B148="","",COUNTIF(_xlfn.XLOOKUP(B148,RESULTS!$I$76:$ZZ$76,RESULTS!$I$3:$ZZ$74),3))</f>
        <v/>
      </c>
      <c r="E148" t="str">
        <f>IF(B148="","",COUNTIF(_xlfn.XLOOKUP(B148,RESULTS!$I$76:$ZZ$76,RESULTS!$I$3:$ZZ$74),1))</f>
        <v/>
      </c>
    </row>
    <row r="149" spans="4:5" x14ac:dyDescent="0.3">
      <c r="D149" t="str">
        <f>IF(B149="","",COUNTIF(_xlfn.XLOOKUP(B149,RESULTS!$I$76:$ZZ$76,RESULTS!$I$3:$ZZ$74),3))</f>
        <v/>
      </c>
      <c r="E149" t="str">
        <f>IF(B149="","",COUNTIF(_xlfn.XLOOKUP(B149,RESULTS!$I$76:$ZZ$76,RESULTS!$I$3:$ZZ$74),1))</f>
        <v/>
      </c>
    </row>
    <row r="150" spans="4:5" x14ac:dyDescent="0.3">
      <c r="D150" t="str">
        <f>IF(B150="","",COUNTIF(_xlfn.XLOOKUP(B150,RESULTS!$I$76:$ZZ$76,RESULTS!$I$3:$ZZ$74),3))</f>
        <v/>
      </c>
      <c r="E150" t="str">
        <f>IF(B150="","",COUNTIF(_xlfn.XLOOKUP(B150,RESULTS!$I$76:$ZZ$76,RESULTS!$I$3:$ZZ$74),1))</f>
        <v/>
      </c>
    </row>
    <row r="151" spans="4:5" x14ac:dyDescent="0.3">
      <c r="D151" t="str">
        <f>IF(B151="","",COUNTIF(_xlfn.XLOOKUP(B151,RESULTS!$I$76:$ZZ$76,RESULTS!$I$3:$ZZ$74),3))</f>
        <v/>
      </c>
    </row>
    <row r="152" spans="4:5" x14ac:dyDescent="0.3">
      <c r="D152" t="str">
        <f>IF(B152="","",COUNTIF(_xlfn.XLOOKUP(B152,RESULTS!$I$76:$ZZ$76,RESULTS!$I$3:$ZZ$74),3))</f>
        <v/>
      </c>
    </row>
    <row r="153" spans="4:5" x14ac:dyDescent="0.3">
      <c r="D153" t="str">
        <f>IF(B153="","",COUNTIF(_xlfn.XLOOKUP(B153,RESULTS!$I$76:$ZZ$76,RESULTS!$I$3:$ZZ$74),3))</f>
        <v/>
      </c>
    </row>
    <row r="154" spans="4:5" x14ac:dyDescent="0.3">
      <c r="D154" t="str">
        <f>IF(B154="","",COUNTIF(_xlfn.XLOOKUP(B154,RESULTS!$I$76:$ZZ$76,RESULTS!$I$3:$ZZ$74),3))</f>
        <v/>
      </c>
    </row>
    <row r="155" spans="4:5" x14ac:dyDescent="0.3">
      <c r="D155" t="str">
        <f>IF(B155="","",COUNTIF(_xlfn.XLOOKUP(B155,RESULTS!$I$76:$ZZ$76,RESULTS!$I$3:$ZZ$74),3))</f>
        <v/>
      </c>
    </row>
    <row r="156" spans="4:5" x14ac:dyDescent="0.3">
      <c r="D156" t="str">
        <f>IF(B156="","",COUNTIF(_xlfn.XLOOKUP(B156,RESULTS!$I$76:$ZZ$76,RESULTS!$I$3:$ZZ$74),3))</f>
        <v/>
      </c>
    </row>
    <row r="157" spans="4:5" x14ac:dyDescent="0.3">
      <c r="D157" t="str">
        <f>IF(B157="","",COUNTIF(_xlfn.XLOOKUP(B157,RESULTS!$I$76:$ZZ$76,RESULTS!$I$3:$ZZ$74),3))</f>
        <v/>
      </c>
    </row>
    <row r="158" spans="4:5" x14ac:dyDescent="0.3">
      <c r="D158" t="str">
        <f>IF(B158="","",COUNTIF(_xlfn.XLOOKUP(B158,RESULTS!$I$76:$ZZ$76,RESULTS!$I$3:$ZZ$74),3))</f>
        <v/>
      </c>
    </row>
    <row r="159" spans="4:5" x14ac:dyDescent="0.3">
      <c r="D159" t="str">
        <f>IF(B159="","",COUNTIF(_xlfn.XLOOKUP(B159,RESULTS!$I$76:$ZZ$76,RESULTS!$I$3:$ZZ$74),3))</f>
        <v/>
      </c>
    </row>
    <row r="160" spans="4:5" x14ac:dyDescent="0.3">
      <c r="D160" t="str">
        <f>IF(B160="","",COUNTIF(_xlfn.XLOOKUP(B160,RESULTS!$I$76:$ZZ$76,RESULTS!$I$3:$ZZ$74),3))</f>
        <v/>
      </c>
    </row>
    <row r="161" spans="4:4" x14ac:dyDescent="0.3">
      <c r="D161" t="str">
        <f>IF(B161="","",COUNTIF(_xlfn.XLOOKUP(B161,RESULTS!$I$76:$ZZ$76,RESULTS!$I$3:$ZZ$74),3))</f>
        <v/>
      </c>
    </row>
    <row r="162" spans="4:4" x14ac:dyDescent="0.3">
      <c r="D162" t="str">
        <f>IF(B162="","",COUNTIF(_xlfn.XLOOKUP(B162,RESULTS!$I$76:$ZZ$76,RESULTS!$I$3:$ZZ$74),3))</f>
        <v/>
      </c>
    </row>
    <row r="163" spans="4:4" x14ac:dyDescent="0.3">
      <c r="D163" t="str">
        <f>IF(B163="","",COUNTIF(_xlfn.XLOOKUP(B163,RESULTS!$I$76:$ZZ$76,RESULTS!$I$3:$ZZ$74),3))</f>
        <v/>
      </c>
    </row>
    <row r="164" spans="4:4" x14ac:dyDescent="0.3">
      <c r="D164" t="str">
        <f>IF(B164="","",COUNTIF(_xlfn.XLOOKUP(B164,RESULTS!$I$76:$ZZ$76,RESULTS!$I$3:$ZZ$74),3))</f>
        <v/>
      </c>
    </row>
    <row r="165" spans="4:4" x14ac:dyDescent="0.3">
      <c r="D165" t="str">
        <f>IF(B165="","",COUNTIF(_xlfn.XLOOKUP(B165,RESULTS!$I$76:$ZZ$76,RESULTS!$I$3:$ZZ$74),3))</f>
        <v/>
      </c>
    </row>
    <row r="166" spans="4:4" x14ac:dyDescent="0.3">
      <c r="D166" t="str">
        <f>IF(B166="","",COUNTIF(_xlfn.XLOOKUP(B166,RESULTS!$I$76:$ZZ$76,RESULTS!$I$3:$ZZ$74),3))</f>
        <v/>
      </c>
    </row>
    <row r="167" spans="4:4" x14ac:dyDescent="0.3">
      <c r="D167" t="str">
        <f>IF(B167="","",COUNTIF(_xlfn.XLOOKUP(B167,RESULTS!$I$76:$ZZ$76,RESULTS!$I$3:$ZZ$74),3))</f>
        <v/>
      </c>
    </row>
    <row r="168" spans="4:4" x14ac:dyDescent="0.3">
      <c r="D168" t="str">
        <f>IF(B168="","",COUNTIF(_xlfn.XLOOKUP(B168,RESULTS!$I$76:$ZZ$76,RESULTS!$I$3:$ZZ$74),3))</f>
        <v/>
      </c>
    </row>
    <row r="169" spans="4:4" x14ac:dyDescent="0.3">
      <c r="D169" t="str">
        <f>IF(B169="","",COUNTIF(_xlfn.XLOOKUP(B169,RESULTS!$I$76:$ZZ$76,RESULTS!$I$3:$ZZ$74),3))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F32F-7B0F-4861-BD31-B2B3EB49DBA8}">
  <sheetPr codeName="Sheet4">
    <tabColor rgb="FF00E600"/>
  </sheetPr>
  <dimension ref="A1:JD76"/>
  <sheetViews>
    <sheetView zoomScale="85" zoomScaleNormal="85" workbookViewId="0">
      <pane xSplit="6" ySplit="2" topLeftCell="G3" activePane="bottomRight" state="frozen"/>
      <selection pane="topRight" activeCell="K1" sqref="K1"/>
      <selection pane="bottomLeft" activeCell="A2" sqref="A2"/>
      <selection pane="bottomRight" activeCell="C3" sqref="C3"/>
    </sheetView>
  </sheetViews>
  <sheetFormatPr defaultRowHeight="14.4" x14ac:dyDescent="0.3"/>
  <cols>
    <col min="1" max="1" width="12.6640625" style="3" customWidth="1"/>
    <col min="2" max="2" width="16.44140625" bestFit="1" customWidth="1"/>
    <col min="3" max="4" width="3.6640625" style="9" customWidth="1"/>
    <col min="5" max="5" width="16.44140625" bestFit="1" customWidth="1"/>
    <col min="6" max="6" width="2.6640625" customWidth="1"/>
    <col min="7" max="8" width="8.88671875" style="17" customWidth="1"/>
    <col min="9" max="9" width="8.88671875" style="4" customWidth="1"/>
    <col min="10" max="11" width="8.88671875" style="17" customWidth="1"/>
    <col min="12" max="12" width="8.88671875" style="4" customWidth="1"/>
    <col min="13" max="14" width="8.88671875" style="17" customWidth="1"/>
    <col min="15" max="15" width="8.88671875" style="4" customWidth="1"/>
    <col min="16" max="17" width="8.88671875" style="17" customWidth="1"/>
    <col min="18" max="18" width="8.88671875" style="4" customWidth="1"/>
    <col min="19" max="20" width="8.88671875" style="17" customWidth="1"/>
    <col min="21" max="21" width="8.88671875" style="4" customWidth="1"/>
    <col min="22" max="23" width="8.88671875" style="17" customWidth="1"/>
    <col min="24" max="25" width="8.88671875" style="4" customWidth="1"/>
    <col min="27" max="27" width="8.88671875" customWidth="1"/>
    <col min="29" max="35" width="8.88671875" customWidth="1"/>
    <col min="262" max="263" width="8.88671875" style="17" customWidth="1"/>
    <col min="264" max="264" width="8.88671875" style="4" customWidth="1"/>
  </cols>
  <sheetData>
    <row r="1" spans="1:264" s="1" customFormat="1" ht="15" thickBot="1" x14ac:dyDescent="0.35">
      <c r="A1" s="1">
        <f>COUNTA($F$1:$JA$1)</f>
        <v>85</v>
      </c>
      <c r="B1" s="2" t="s">
        <v>2</v>
      </c>
      <c r="C1" s="9"/>
      <c r="D1" s="9"/>
      <c r="F1" s="11"/>
      <c r="G1" s="68" t="s">
        <v>1</v>
      </c>
      <c r="H1" s="69"/>
      <c r="I1" s="70"/>
      <c r="J1" s="68" t="s">
        <v>1</v>
      </c>
      <c r="K1" s="69"/>
      <c r="L1" s="70"/>
      <c r="M1" s="68" t="s">
        <v>1</v>
      </c>
      <c r="N1" s="69"/>
      <c r="O1" s="70"/>
      <c r="P1" s="68" t="s">
        <v>1</v>
      </c>
      <c r="Q1" s="69"/>
      <c r="R1" s="70"/>
      <c r="S1" s="68" t="s">
        <v>1</v>
      </c>
      <c r="T1" s="69"/>
      <c r="U1" s="70"/>
      <c r="V1" s="68" t="s">
        <v>1</v>
      </c>
      <c r="W1" s="69"/>
      <c r="X1" s="70"/>
      <c r="Y1" s="68" t="s">
        <v>1</v>
      </c>
      <c r="Z1" s="69"/>
      <c r="AA1" s="70"/>
      <c r="AB1" s="68" t="s">
        <v>1</v>
      </c>
      <c r="AC1" s="69"/>
      <c r="AD1" s="70"/>
      <c r="AE1" s="68" t="s">
        <v>1</v>
      </c>
      <c r="AF1" s="69"/>
      <c r="AG1" s="70"/>
      <c r="AH1" s="68" t="s">
        <v>1</v>
      </c>
      <c r="AI1" s="69"/>
      <c r="AJ1" s="70"/>
      <c r="AK1" s="68" t="s">
        <v>1</v>
      </c>
      <c r="AL1" s="69"/>
      <c r="AM1" s="70"/>
      <c r="AN1" s="68" t="s">
        <v>1</v>
      </c>
      <c r="AO1" s="69"/>
      <c r="AP1" s="70"/>
      <c r="AQ1" s="68" t="s">
        <v>1</v>
      </c>
      <c r="AR1" s="69"/>
      <c r="AS1" s="70"/>
      <c r="AT1" s="68" t="s">
        <v>1</v>
      </c>
      <c r="AU1" s="69"/>
      <c r="AV1" s="70"/>
      <c r="AW1" s="68" t="s">
        <v>1</v>
      </c>
      <c r="AX1" s="69"/>
      <c r="AY1" s="70"/>
      <c r="AZ1" s="68" t="s">
        <v>1</v>
      </c>
      <c r="BA1" s="69"/>
      <c r="BB1" s="70"/>
      <c r="BC1" s="68" t="s">
        <v>1</v>
      </c>
      <c r="BD1" s="69"/>
      <c r="BE1" s="70"/>
      <c r="BF1" s="68" t="s">
        <v>1</v>
      </c>
      <c r="BG1" s="69"/>
      <c r="BH1" s="70"/>
      <c r="BI1" s="68" t="s">
        <v>1</v>
      </c>
      <c r="BJ1" s="69"/>
      <c r="BK1" s="70"/>
      <c r="BL1" s="68" t="s">
        <v>1</v>
      </c>
      <c r="BM1" s="69"/>
      <c r="BN1" s="70"/>
      <c r="BO1" s="68" t="s">
        <v>1</v>
      </c>
      <c r="BP1" s="69"/>
      <c r="BQ1" s="70"/>
      <c r="BR1" s="68" t="s">
        <v>1</v>
      </c>
      <c r="BS1" s="69"/>
      <c r="BT1" s="70"/>
      <c r="BU1" s="68" t="s">
        <v>1</v>
      </c>
      <c r="BV1" s="69"/>
      <c r="BW1" s="70"/>
      <c r="BX1" s="68" t="s">
        <v>1</v>
      </c>
      <c r="BY1" s="69"/>
      <c r="BZ1" s="70"/>
      <c r="CA1" s="68" t="s">
        <v>1</v>
      </c>
      <c r="CB1" s="69"/>
      <c r="CC1" s="70"/>
      <c r="CD1" s="68" t="s">
        <v>1</v>
      </c>
      <c r="CE1" s="69"/>
      <c r="CF1" s="70"/>
      <c r="CG1" s="68" t="s">
        <v>1</v>
      </c>
      <c r="CH1" s="69"/>
      <c r="CI1" s="70"/>
      <c r="CJ1" s="68" t="s">
        <v>1</v>
      </c>
      <c r="CK1" s="69"/>
      <c r="CL1" s="70"/>
      <c r="CM1" s="68" t="s">
        <v>1</v>
      </c>
      <c r="CN1" s="69"/>
      <c r="CO1" s="70"/>
      <c r="CP1" s="68" t="s">
        <v>1</v>
      </c>
      <c r="CQ1" s="69"/>
      <c r="CR1" s="70"/>
      <c r="CS1" s="68" t="s">
        <v>1</v>
      </c>
      <c r="CT1" s="69"/>
      <c r="CU1" s="70"/>
      <c r="CV1" s="68" t="s">
        <v>1</v>
      </c>
      <c r="CW1" s="69"/>
      <c r="CX1" s="70"/>
      <c r="CY1" s="68" t="s">
        <v>1</v>
      </c>
      <c r="CZ1" s="69"/>
      <c r="DA1" s="70"/>
      <c r="DB1" s="68" t="s">
        <v>1</v>
      </c>
      <c r="DC1" s="69"/>
      <c r="DD1" s="70"/>
      <c r="DE1" s="68" t="s">
        <v>1</v>
      </c>
      <c r="DF1" s="69"/>
      <c r="DG1" s="70"/>
      <c r="DH1" s="68" t="s">
        <v>1</v>
      </c>
      <c r="DI1" s="69"/>
      <c r="DJ1" s="70"/>
      <c r="DK1" s="68" t="s">
        <v>1</v>
      </c>
      <c r="DL1" s="69"/>
      <c r="DM1" s="70"/>
      <c r="DN1" s="68" t="s">
        <v>1</v>
      </c>
      <c r="DO1" s="69"/>
      <c r="DP1" s="70"/>
      <c r="DQ1" s="68" t="s">
        <v>1</v>
      </c>
      <c r="DR1" s="69"/>
      <c r="DS1" s="70"/>
      <c r="DT1" s="68" t="s">
        <v>1</v>
      </c>
      <c r="DU1" s="69"/>
      <c r="DV1" s="70"/>
      <c r="DW1" s="68" t="s">
        <v>1</v>
      </c>
      <c r="DX1" s="69"/>
      <c r="DY1" s="70"/>
      <c r="DZ1" s="68" t="s">
        <v>1</v>
      </c>
      <c r="EA1" s="69"/>
      <c r="EB1" s="70"/>
      <c r="EC1" s="68" t="s">
        <v>1</v>
      </c>
      <c r="ED1" s="69"/>
      <c r="EE1" s="70"/>
      <c r="EF1" s="68" t="s">
        <v>1</v>
      </c>
      <c r="EG1" s="69"/>
      <c r="EH1" s="70"/>
      <c r="EI1" s="68" t="s">
        <v>1</v>
      </c>
      <c r="EJ1" s="69"/>
      <c r="EK1" s="70"/>
      <c r="EL1" s="68" t="s">
        <v>1</v>
      </c>
      <c r="EM1" s="69"/>
      <c r="EN1" s="70"/>
      <c r="EO1" s="68" t="s">
        <v>1</v>
      </c>
      <c r="EP1" s="69"/>
      <c r="EQ1" s="70"/>
      <c r="ER1" s="68" t="s">
        <v>1</v>
      </c>
      <c r="ES1" s="69"/>
      <c r="ET1" s="70"/>
      <c r="EU1" s="68" t="s">
        <v>1</v>
      </c>
      <c r="EV1" s="69"/>
      <c r="EW1" s="70"/>
      <c r="EX1" s="68" t="s">
        <v>1</v>
      </c>
      <c r="EY1" s="69"/>
      <c r="EZ1" s="70"/>
      <c r="FA1" s="68" t="s">
        <v>1</v>
      </c>
      <c r="FB1" s="69"/>
      <c r="FC1" s="70"/>
      <c r="FD1" s="68" t="s">
        <v>1</v>
      </c>
      <c r="FE1" s="69"/>
      <c r="FF1" s="70"/>
      <c r="FG1" s="68" t="s">
        <v>1</v>
      </c>
      <c r="FH1" s="69"/>
      <c r="FI1" s="70"/>
      <c r="FJ1" s="68" t="s">
        <v>1</v>
      </c>
      <c r="FK1" s="69"/>
      <c r="FL1" s="70"/>
      <c r="FM1" s="68" t="s">
        <v>1</v>
      </c>
      <c r="FN1" s="69"/>
      <c r="FO1" s="70"/>
      <c r="FP1" s="68" t="s">
        <v>1</v>
      </c>
      <c r="FQ1" s="69"/>
      <c r="FR1" s="70"/>
      <c r="FS1" s="68" t="s">
        <v>1</v>
      </c>
      <c r="FT1" s="69"/>
      <c r="FU1" s="70"/>
      <c r="FV1" s="68" t="s">
        <v>1</v>
      </c>
      <c r="FW1" s="69"/>
      <c r="FX1" s="70"/>
      <c r="FY1" s="68" t="s">
        <v>1</v>
      </c>
      <c r="FZ1" s="69"/>
      <c r="GA1" s="70"/>
      <c r="GB1" s="68" t="s">
        <v>1</v>
      </c>
      <c r="GC1" s="69"/>
      <c r="GD1" s="70"/>
      <c r="GE1" s="68" t="s">
        <v>1</v>
      </c>
      <c r="GF1" s="69"/>
      <c r="GG1" s="70"/>
      <c r="GH1" s="68" t="s">
        <v>1</v>
      </c>
      <c r="GI1" s="69"/>
      <c r="GJ1" s="70"/>
      <c r="GK1" s="68" t="s">
        <v>1</v>
      </c>
      <c r="GL1" s="69"/>
      <c r="GM1" s="70"/>
      <c r="GN1" s="68" t="s">
        <v>1</v>
      </c>
      <c r="GO1" s="69"/>
      <c r="GP1" s="70"/>
      <c r="GQ1" s="68" t="s">
        <v>1</v>
      </c>
      <c r="GR1" s="69"/>
      <c r="GS1" s="70"/>
      <c r="GT1" s="68" t="s">
        <v>1</v>
      </c>
      <c r="GU1" s="69"/>
      <c r="GV1" s="70"/>
      <c r="GW1" s="68" t="s">
        <v>1</v>
      </c>
      <c r="GX1" s="69"/>
      <c r="GY1" s="70"/>
      <c r="GZ1" s="68" t="s">
        <v>1</v>
      </c>
      <c r="HA1" s="69"/>
      <c r="HB1" s="70"/>
      <c r="HC1" s="68" t="s">
        <v>1</v>
      </c>
      <c r="HD1" s="69"/>
      <c r="HE1" s="70"/>
      <c r="HF1" s="68" t="s">
        <v>1</v>
      </c>
      <c r="HG1" s="69"/>
      <c r="HH1" s="70"/>
      <c r="HI1" s="68" t="s">
        <v>1</v>
      </c>
      <c r="HJ1" s="69"/>
      <c r="HK1" s="70"/>
      <c r="HL1" s="68" t="s">
        <v>1</v>
      </c>
      <c r="HM1" s="69"/>
      <c r="HN1" s="70"/>
      <c r="HO1" s="68" t="s">
        <v>1</v>
      </c>
      <c r="HP1" s="69"/>
      <c r="HQ1" s="70"/>
      <c r="HR1" s="68" t="s">
        <v>1</v>
      </c>
      <c r="HS1" s="69"/>
      <c r="HT1" s="70"/>
      <c r="HU1" s="68" t="s">
        <v>1</v>
      </c>
      <c r="HV1" s="69"/>
      <c r="HW1" s="70"/>
      <c r="HX1" s="68" t="s">
        <v>1</v>
      </c>
      <c r="HY1" s="69"/>
      <c r="HZ1" s="70"/>
      <c r="IA1" s="68" t="s">
        <v>1</v>
      </c>
      <c r="IB1" s="69"/>
      <c r="IC1" s="70"/>
      <c r="ID1" s="68" t="s">
        <v>1</v>
      </c>
      <c r="IE1" s="69"/>
      <c r="IF1" s="70"/>
      <c r="IG1" s="68" t="s">
        <v>1</v>
      </c>
      <c r="IH1" s="69"/>
      <c r="II1" s="70"/>
      <c r="IJ1" s="68" t="s">
        <v>1</v>
      </c>
      <c r="IK1" s="69"/>
      <c r="IL1" s="70"/>
      <c r="IM1" s="68" t="s">
        <v>1</v>
      </c>
      <c r="IN1" s="69"/>
      <c r="IO1" s="70"/>
      <c r="IP1" s="68" t="s">
        <v>1</v>
      </c>
      <c r="IQ1" s="69"/>
      <c r="IR1" s="70"/>
      <c r="IS1" s="68" t="s">
        <v>1</v>
      </c>
      <c r="IT1" s="69"/>
      <c r="IU1" s="70"/>
      <c r="IV1" s="68" t="s">
        <v>1</v>
      </c>
      <c r="IW1" s="69"/>
      <c r="IX1" s="70"/>
      <c r="IY1" s="68" t="s">
        <v>1</v>
      </c>
      <c r="IZ1" s="69"/>
      <c r="JA1" s="70"/>
      <c r="JB1" s="68" t="s">
        <v>1</v>
      </c>
      <c r="JC1" s="69"/>
      <c r="JD1" s="70"/>
    </row>
    <row r="2" spans="1:264" s="1" customFormat="1" ht="15" thickBot="1" x14ac:dyDescent="0.35">
      <c r="A2" s="5" t="s">
        <v>3</v>
      </c>
      <c r="B2" s="6" t="s">
        <v>4</v>
      </c>
      <c r="C2" s="73" t="s">
        <v>5</v>
      </c>
      <c r="D2" s="74"/>
      <c r="E2" s="7" t="s">
        <v>6</v>
      </c>
      <c r="F2" s="8"/>
      <c r="G2" s="71" t="s">
        <v>7</v>
      </c>
      <c r="H2" s="72"/>
      <c r="I2" s="34" t="s">
        <v>8</v>
      </c>
      <c r="J2" s="71" t="s">
        <v>7</v>
      </c>
      <c r="K2" s="72"/>
      <c r="L2" s="34" t="s">
        <v>8</v>
      </c>
      <c r="M2" s="71" t="s">
        <v>7</v>
      </c>
      <c r="N2" s="72"/>
      <c r="O2" s="34" t="s">
        <v>8</v>
      </c>
      <c r="P2" s="71" t="s">
        <v>7</v>
      </c>
      <c r="Q2" s="72"/>
      <c r="R2" s="34" t="s">
        <v>8</v>
      </c>
      <c r="S2" s="71" t="s">
        <v>7</v>
      </c>
      <c r="T2" s="72"/>
      <c r="U2" s="34" t="s">
        <v>8</v>
      </c>
      <c r="V2" s="71" t="s">
        <v>7</v>
      </c>
      <c r="W2" s="72"/>
      <c r="X2" s="34" t="s">
        <v>8</v>
      </c>
      <c r="Y2" s="71" t="s">
        <v>7</v>
      </c>
      <c r="Z2" s="72"/>
      <c r="AA2" s="34" t="s">
        <v>8</v>
      </c>
      <c r="AB2" s="71" t="s">
        <v>7</v>
      </c>
      <c r="AC2" s="72"/>
      <c r="AD2" s="34" t="s">
        <v>8</v>
      </c>
      <c r="AE2" s="71" t="s">
        <v>7</v>
      </c>
      <c r="AF2" s="72"/>
      <c r="AG2" s="34" t="s">
        <v>8</v>
      </c>
      <c r="AH2" s="71" t="s">
        <v>7</v>
      </c>
      <c r="AI2" s="72"/>
      <c r="AJ2" s="34" t="s">
        <v>8</v>
      </c>
      <c r="AK2" s="71" t="s">
        <v>7</v>
      </c>
      <c r="AL2" s="72"/>
      <c r="AM2" s="34" t="s">
        <v>8</v>
      </c>
      <c r="AN2" s="71" t="s">
        <v>7</v>
      </c>
      <c r="AO2" s="72"/>
      <c r="AP2" s="34" t="s">
        <v>8</v>
      </c>
      <c r="AQ2" s="71" t="s">
        <v>7</v>
      </c>
      <c r="AR2" s="72"/>
      <c r="AS2" s="34" t="s">
        <v>8</v>
      </c>
      <c r="AT2" s="71" t="s">
        <v>7</v>
      </c>
      <c r="AU2" s="72"/>
      <c r="AV2" s="34" t="s">
        <v>8</v>
      </c>
      <c r="AW2" s="71" t="s">
        <v>7</v>
      </c>
      <c r="AX2" s="72"/>
      <c r="AY2" s="34" t="s">
        <v>8</v>
      </c>
      <c r="AZ2" s="71" t="s">
        <v>7</v>
      </c>
      <c r="BA2" s="72"/>
      <c r="BB2" s="34" t="s">
        <v>8</v>
      </c>
      <c r="BC2" s="71" t="s">
        <v>7</v>
      </c>
      <c r="BD2" s="72"/>
      <c r="BE2" s="34" t="s">
        <v>8</v>
      </c>
      <c r="BF2" s="71" t="s">
        <v>7</v>
      </c>
      <c r="BG2" s="72"/>
      <c r="BH2" s="34" t="s">
        <v>8</v>
      </c>
      <c r="BI2" s="71" t="s">
        <v>7</v>
      </c>
      <c r="BJ2" s="72"/>
      <c r="BK2" s="34" t="s">
        <v>8</v>
      </c>
      <c r="BL2" s="71" t="s">
        <v>7</v>
      </c>
      <c r="BM2" s="72"/>
      <c r="BN2" s="34" t="s">
        <v>8</v>
      </c>
      <c r="BO2" s="71" t="s">
        <v>7</v>
      </c>
      <c r="BP2" s="72"/>
      <c r="BQ2" s="34" t="s">
        <v>8</v>
      </c>
      <c r="BR2" s="71" t="s">
        <v>7</v>
      </c>
      <c r="BS2" s="72"/>
      <c r="BT2" s="34" t="s">
        <v>8</v>
      </c>
      <c r="BU2" s="71" t="s">
        <v>7</v>
      </c>
      <c r="BV2" s="72"/>
      <c r="BW2" s="34" t="s">
        <v>8</v>
      </c>
      <c r="BX2" s="71" t="s">
        <v>7</v>
      </c>
      <c r="BY2" s="72"/>
      <c r="BZ2" s="34" t="s">
        <v>8</v>
      </c>
      <c r="CA2" s="71" t="s">
        <v>7</v>
      </c>
      <c r="CB2" s="72"/>
      <c r="CC2" s="34" t="s">
        <v>8</v>
      </c>
      <c r="CD2" s="71" t="s">
        <v>7</v>
      </c>
      <c r="CE2" s="72"/>
      <c r="CF2" s="34" t="s">
        <v>8</v>
      </c>
      <c r="CG2" s="71" t="s">
        <v>7</v>
      </c>
      <c r="CH2" s="72"/>
      <c r="CI2" s="34" t="s">
        <v>8</v>
      </c>
      <c r="CJ2" s="71" t="s">
        <v>7</v>
      </c>
      <c r="CK2" s="72"/>
      <c r="CL2" s="34" t="s">
        <v>8</v>
      </c>
      <c r="CM2" s="71" t="s">
        <v>7</v>
      </c>
      <c r="CN2" s="72"/>
      <c r="CO2" s="34" t="s">
        <v>8</v>
      </c>
      <c r="CP2" s="71" t="s">
        <v>7</v>
      </c>
      <c r="CQ2" s="72"/>
      <c r="CR2" s="34" t="s">
        <v>8</v>
      </c>
      <c r="CS2" s="71" t="s">
        <v>7</v>
      </c>
      <c r="CT2" s="72"/>
      <c r="CU2" s="34" t="s">
        <v>8</v>
      </c>
      <c r="CV2" s="71" t="s">
        <v>7</v>
      </c>
      <c r="CW2" s="72"/>
      <c r="CX2" s="34" t="s">
        <v>8</v>
      </c>
      <c r="CY2" s="71" t="s">
        <v>7</v>
      </c>
      <c r="CZ2" s="72"/>
      <c r="DA2" s="34" t="s">
        <v>8</v>
      </c>
      <c r="DB2" s="71" t="s">
        <v>7</v>
      </c>
      <c r="DC2" s="72"/>
      <c r="DD2" s="34" t="s">
        <v>8</v>
      </c>
      <c r="DE2" s="71" t="s">
        <v>7</v>
      </c>
      <c r="DF2" s="72"/>
      <c r="DG2" s="34" t="s">
        <v>8</v>
      </c>
      <c r="DH2" s="71" t="s">
        <v>7</v>
      </c>
      <c r="DI2" s="72"/>
      <c r="DJ2" s="34" t="s">
        <v>8</v>
      </c>
      <c r="DK2" s="71" t="s">
        <v>7</v>
      </c>
      <c r="DL2" s="72"/>
      <c r="DM2" s="34" t="s">
        <v>8</v>
      </c>
      <c r="DN2" s="71" t="s">
        <v>7</v>
      </c>
      <c r="DO2" s="72"/>
      <c r="DP2" s="34" t="s">
        <v>8</v>
      </c>
      <c r="DQ2" s="71" t="s">
        <v>7</v>
      </c>
      <c r="DR2" s="72"/>
      <c r="DS2" s="34" t="s">
        <v>8</v>
      </c>
      <c r="DT2" s="71" t="s">
        <v>7</v>
      </c>
      <c r="DU2" s="72"/>
      <c r="DV2" s="34" t="s">
        <v>8</v>
      </c>
      <c r="DW2" s="71" t="s">
        <v>7</v>
      </c>
      <c r="DX2" s="72"/>
      <c r="DY2" s="34" t="s">
        <v>8</v>
      </c>
      <c r="DZ2" s="71" t="s">
        <v>7</v>
      </c>
      <c r="EA2" s="72"/>
      <c r="EB2" s="34" t="s">
        <v>8</v>
      </c>
      <c r="EC2" s="71" t="s">
        <v>7</v>
      </c>
      <c r="ED2" s="72"/>
      <c r="EE2" s="34" t="s">
        <v>8</v>
      </c>
      <c r="EF2" s="71" t="s">
        <v>7</v>
      </c>
      <c r="EG2" s="72"/>
      <c r="EH2" s="34" t="s">
        <v>8</v>
      </c>
      <c r="EI2" s="71" t="s">
        <v>7</v>
      </c>
      <c r="EJ2" s="72"/>
      <c r="EK2" s="34" t="s">
        <v>8</v>
      </c>
      <c r="EL2" s="71" t="s">
        <v>7</v>
      </c>
      <c r="EM2" s="72"/>
      <c r="EN2" s="34" t="s">
        <v>8</v>
      </c>
      <c r="EO2" s="71" t="s">
        <v>7</v>
      </c>
      <c r="EP2" s="72"/>
      <c r="EQ2" s="34" t="s">
        <v>8</v>
      </c>
      <c r="ER2" s="71" t="s">
        <v>7</v>
      </c>
      <c r="ES2" s="72"/>
      <c r="ET2" s="34" t="s">
        <v>8</v>
      </c>
      <c r="EU2" s="71" t="s">
        <v>7</v>
      </c>
      <c r="EV2" s="72"/>
      <c r="EW2" s="34" t="s">
        <v>8</v>
      </c>
      <c r="EX2" s="71" t="s">
        <v>7</v>
      </c>
      <c r="EY2" s="72"/>
      <c r="EZ2" s="34" t="s">
        <v>8</v>
      </c>
      <c r="FA2" s="71" t="s">
        <v>7</v>
      </c>
      <c r="FB2" s="72"/>
      <c r="FC2" s="34" t="s">
        <v>8</v>
      </c>
      <c r="FD2" s="71" t="s">
        <v>7</v>
      </c>
      <c r="FE2" s="72"/>
      <c r="FF2" s="34" t="s">
        <v>8</v>
      </c>
      <c r="FG2" s="71" t="s">
        <v>7</v>
      </c>
      <c r="FH2" s="72"/>
      <c r="FI2" s="34" t="s">
        <v>8</v>
      </c>
      <c r="FJ2" s="71" t="s">
        <v>7</v>
      </c>
      <c r="FK2" s="72"/>
      <c r="FL2" s="34" t="s">
        <v>8</v>
      </c>
      <c r="FM2" s="71" t="s">
        <v>7</v>
      </c>
      <c r="FN2" s="72"/>
      <c r="FO2" s="34" t="s">
        <v>8</v>
      </c>
      <c r="FP2" s="71" t="s">
        <v>7</v>
      </c>
      <c r="FQ2" s="72"/>
      <c r="FR2" s="34" t="s">
        <v>8</v>
      </c>
      <c r="FS2" s="71" t="s">
        <v>7</v>
      </c>
      <c r="FT2" s="72"/>
      <c r="FU2" s="34" t="s">
        <v>8</v>
      </c>
      <c r="FV2" s="71" t="s">
        <v>7</v>
      </c>
      <c r="FW2" s="72"/>
      <c r="FX2" s="34" t="s">
        <v>8</v>
      </c>
      <c r="FY2" s="71" t="s">
        <v>7</v>
      </c>
      <c r="FZ2" s="72"/>
      <c r="GA2" s="34" t="s">
        <v>8</v>
      </c>
      <c r="GB2" s="71" t="s">
        <v>7</v>
      </c>
      <c r="GC2" s="72"/>
      <c r="GD2" s="34" t="s">
        <v>8</v>
      </c>
      <c r="GE2" s="71" t="s">
        <v>7</v>
      </c>
      <c r="GF2" s="72"/>
      <c r="GG2" s="34" t="s">
        <v>8</v>
      </c>
      <c r="GH2" s="71" t="s">
        <v>7</v>
      </c>
      <c r="GI2" s="72"/>
      <c r="GJ2" s="34" t="s">
        <v>8</v>
      </c>
      <c r="GK2" s="71" t="s">
        <v>7</v>
      </c>
      <c r="GL2" s="72"/>
      <c r="GM2" s="34" t="s">
        <v>8</v>
      </c>
      <c r="GN2" s="71" t="s">
        <v>7</v>
      </c>
      <c r="GO2" s="72"/>
      <c r="GP2" s="34" t="s">
        <v>8</v>
      </c>
      <c r="GQ2" s="71" t="s">
        <v>7</v>
      </c>
      <c r="GR2" s="72"/>
      <c r="GS2" s="34" t="s">
        <v>8</v>
      </c>
      <c r="GT2" s="71" t="s">
        <v>7</v>
      </c>
      <c r="GU2" s="72"/>
      <c r="GV2" s="34" t="s">
        <v>8</v>
      </c>
      <c r="GW2" s="71" t="s">
        <v>7</v>
      </c>
      <c r="GX2" s="72"/>
      <c r="GY2" s="34" t="s">
        <v>8</v>
      </c>
      <c r="GZ2" s="71" t="s">
        <v>7</v>
      </c>
      <c r="HA2" s="72"/>
      <c r="HB2" s="34" t="s">
        <v>8</v>
      </c>
      <c r="HC2" s="71" t="s">
        <v>7</v>
      </c>
      <c r="HD2" s="72"/>
      <c r="HE2" s="34" t="s">
        <v>8</v>
      </c>
      <c r="HF2" s="71" t="s">
        <v>7</v>
      </c>
      <c r="HG2" s="72"/>
      <c r="HH2" s="34" t="s">
        <v>8</v>
      </c>
      <c r="HI2" s="71" t="s">
        <v>7</v>
      </c>
      <c r="HJ2" s="72"/>
      <c r="HK2" s="34" t="s">
        <v>8</v>
      </c>
      <c r="HL2" s="71" t="s">
        <v>7</v>
      </c>
      <c r="HM2" s="72"/>
      <c r="HN2" s="34" t="s">
        <v>8</v>
      </c>
      <c r="HO2" s="71" t="s">
        <v>7</v>
      </c>
      <c r="HP2" s="72"/>
      <c r="HQ2" s="34" t="s">
        <v>8</v>
      </c>
      <c r="HR2" s="71" t="s">
        <v>7</v>
      </c>
      <c r="HS2" s="72"/>
      <c r="HT2" s="34" t="s">
        <v>8</v>
      </c>
      <c r="HU2" s="71" t="s">
        <v>7</v>
      </c>
      <c r="HV2" s="72"/>
      <c r="HW2" s="34" t="s">
        <v>8</v>
      </c>
      <c r="HX2" s="71" t="s">
        <v>7</v>
      </c>
      <c r="HY2" s="72"/>
      <c r="HZ2" s="34" t="s">
        <v>8</v>
      </c>
      <c r="IA2" s="71" t="s">
        <v>7</v>
      </c>
      <c r="IB2" s="72"/>
      <c r="IC2" s="34" t="s">
        <v>8</v>
      </c>
      <c r="ID2" s="71" t="s">
        <v>7</v>
      </c>
      <c r="IE2" s="72"/>
      <c r="IF2" s="34" t="s">
        <v>8</v>
      </c>
      <c r="IG2" s="71" t="s">
        <v>7</v>
      </c>
      <c r="IH2" s="72"/>
      <c r="II2" s="34" t="s">
        <v>8</v>
      </c>
      <c r="IJ2" s="71" t="s">
        <v>7</v>
      </c>
      <c r="IK2" s="72"/>
      <c r="IL2" s="34" t="s">
        <v>8</v>
      </c>
      <c r="IM2" s="71" t="s">
        <v>7</v>
      </c>
      <c r="IN2" s="72"/>
      <c r="IO2" s="34" t="s">
        <v>8</v>
      </c>
      <c r="IP2" s="71" t="s">
        <v>7</v>
      </c>
      <c r="IQ2" s="72"/>
      <c r="IR2" s="34" t="s">
        <v>8</v>
      </c>
      <c r="IS2" s="71" t="s">
        <v>7</v>
      </c>
      <c r="IT2" s="72"/>
      <c r="IU2" s="34" t="s">
        <v>8</v>
      </c>
      <c r="IV2" s="71" t="s">
        <v>7</v>
      </c>
      <c r="IW2" s="72"/>
      <c r="IX2" s="34" t="s">
        <v>8</v>
      </c>
      <c r="IY2" s="71" t="s">
        <v>7</v>
      </c>
      <c r="IZ2" s="72"/>
      <c r="JA2" s="34" t="s">
        <v>8</v>
      </c>
      <c r="JB2" s="71" t="s">
        <v>7</v>
      </c>
      <c r="JC2" s="72"/>
      <c r="JD2" s="34" t="s">
        <v>8</v>
      </c>
    </row>
    <row r="3" spans="1:264" ht="15" thickBot="1" x14ac:dyDescent="0.35">
      <c r="A3" s="23">
        <v>46184</v>
      </c>
      <c r="B3" s="26" t="s">
        <v>34</v>
      </c>
      <c r="C3" s="53" t="str" cm="1">
        <f t="array" ref="C3">_xlfn.LET(
_xlpm.x,_xlfn.XLOOKUP(1,(Scores_Fixtures[Date]=A3)*(Scores_Fixtures[Home.1]=B3),Scores_Fixtures[Score.1],""),
IF(_xlpm.x="","",_xlpm.x)
)</f>
        <v/>
      </c>
      <c r="D3" s="53" t="str" cm="1">
        <f t="array" ref="D3">_xlfn.LET(
_xlpm.x,_xlfn.XLOOKUP(1,(Scores_Fixtures[Date]=A3)*(Scores_Fixtures[Home.1]=B3),Scores_Fixtures[Score.2],""),
IF(_xlpm.x="","",_xlpm.x)
)</f>
        <v/>
      </c>
      <c r="E3" s="27" t="s">
        <v>61</v>
      </c>
      <c r="F3" s="24"/>
      <c r="G3" s="53"/>
      <c r="H3" s="53"/>
      <c r="I3" s="33" t="str" cm="1">
        <f t="array" ref="I3">_xlfn.IFS($D3="","",AND(G3=$C3,H3=$D3),3,($C3-$D3)/MAX(ABS($C3-$D3),1)=(G3-H3)/MAX(ABS(G3-H3),1),1,TRUE,0)</f>
        <v/>
      </c>
      <c r="J3" s="13"/>
      <c r="K3" s="14"/>
      <c r="L3" s="33" t="str" cm="1">
        <f t="array" ref="L3">_xlfn.IFS($D3="","",AND(J3=$C3,K3=$D3),3,($C3-$D3)/MAX(ABS($C3-$D3),1)=(J3-K3)/MAX(ABS(J3-K3),1),1,TRUE,0)</f>
        <v/>
      </c>
      <c r="M3" s="13"/>
      <c r="N3" s="14"/>
      <c r="O3" s="33" t="str" cm="1">
        <f t="array" ref="O3">_xlfn.IFS($D3="","",AND(M3=$C3,N3=$D3),3,($C3-$D3)/MAX(ABS($C3-$D3),1)=(M3-N3)/MAX(ABS(M3-N3),1),1,TRUE,0)</f>
        <v/>
      </c>
      <c r="P3" s="13"/>
      <c r="Q3" s="14"/>
      <c r="R3" s="33" t="str" cm="1">
        <f t="array" ref="R3">_xlfn.IFS($D3="","",AND(P3=$C3,Q3=$D3),3,($C3-$D3)/MAX(ABS($C3-$D3),1)=(P3-Q3)/MAX(ABS(P3-Q3),1),1,TRUE,0)</f>
        <v/>
      </c>
      <c r="S3" s="13"/>
      <c r="T3" s="14"/>
      <c r="U3" s="33" t="str" cm="1">
        <f t="array" ref="U3">_xlfn.IFS($D3="","",AND(S3=$C3,T3=$D3),3,($C3-$D3)/MAX(ABS($C3-$D3),1)=(S3-T3)/MAX(ABS(S3-T3),1),1,TRUE,0)</f>
        <v/>
      </c>
      <c r="V3" s="13"/>
      <c r="W3" s="14"/>
      <c r="X3" s="33" t="str" cm="1">
        <f t="array" ref="X3">_xlfn.IFS($D3="","",AND(V3=$C3,W3=$D3),3,($C3-$D3)/MAX(ABS($C3-$D3),1)=(V3-W3)/MAX(ABS(V3-W3),1),1,TRUE,0)</f>
        <v/>
      </c>
      <c r="Y3" s="13"/>
      <c r="Z3" s="14"/>
      <c r="AA3" s="33" t="str" cm="1">
        <f t="array" ref="AA3">_xlfn.IFS($D3="","",AND(Y3=$C3,Z3=$D3),3,($C3-$D3)/MAX(ABS($C3-$D3),1)=(Y3-Z3)/MAX(ABS(Y3-Z3),1),1,TRUE,0)</f>
        <v/>
      </c>
      <c r="AB3" s="13"/>
      <c r="AC3" s="14"/>
      <c r="AD3" s="33" t="str" cm="1">
        <f t="array" ref="AD3">_xlfn.IFS($D3="","",AND(AB3=$C3,AC3=$D3),3,($C3-$D3)/MAX(ABS($C3-$D3),1)=(AB3-AC3)/MAX(ABS(AB3-AC3),1),1,TRUE,0)</f>
        <v/>
      </c>
      <c r="AE3" s="13"/>
      <c r="AF3" s="14"/>
      <c r="AG3" s="33" t="str" cm="1">
        <f t="array" ref="AG3">_xlfn.IFS($D3="","",AND(AE3=$C3,AF3=$D3),3,($C3-$D3)/MAX(ABS($C3-$D3),1)=(AE3-AF3)/MAX(ABS(AE3-AF3),1),1,TRUE,0)</f>
        <v/>
      </c>
      <c r="AH3" s="13"/>
      <c r="AI3" s="14"/>
      <c r="AJ3" s="33" t="str" cm="1">
        <f t="array" ref="AJ3">_xlfn.IFS($D3="","",AND(AH3=$C3,AI3=$D3),3,($C3-$D3)/MAX(ABS($C3-$D3),1)=(AH3-AI3)/MAX(ABS(AH3-AI3),1),1,TRUE,0)</f>
        <v/>
      </c>
      <c r="AK3" s="13"/>
      <c r="AL3" s="14"/>
      <c r="AM3" s="33" t="str" cm="1">
        <f t="array" ref="AM3">_xlfn.IFS($D3="","",AND(AK3=$C3,AL3=$D3),3,($C3-$D3)/MAX(ABS($C3-$D3),1)=(AK3-AL3)/MAX(ABS(AK3-AL3),1),1,TRUE,0)</f>
        <v/>
      </c>
      <c r="AN3" s="13"/>
      <c r="AO3" s="14"/>
      <c r="AP3" s="33" t="str" cm="1">
        <f t="array" ref="AP3">_xlfn.IFS($D3="","",AND(AN3=$C3,AO3=$D3),3,($C3-$D3)/MAX(ABS($C3-$D3),1)=(AN3-AO3)/MAX(ABS(AN3-AO3),1),1,TRUE,0)</f>
        <v/>
      </c>
      <c r="AQ3" s="13"/>
      <c r="AR3" s="14"/>
      <c r="AS3" s="33" t="str" cm="1">
        <f t="array" ref="AS3">_xlfn.IFS($D3="","",AND(AQ3=$C3,AR3=$D3),3,($C3-$D3)/MAX(ABS($C3-$D3),1)=(AQ3-AR3)/MAX(ABS(AQ3-AR3),1),1,TRUE,0)</f>
        <v/>
      </c>
      <c r="AT3" s="13"/>
      <c r="AU3" s="14"/>
      <c r="AV3" s="33" t="str" cm="1">
        <f t="array" ref="AV3">_xlfn.IFS($D3="","",AND(AT3=$C3,AU3=$D3),3,($C3-$D3)/MAX(ABS($C3-$D3),1)=(AT3-AU3)/MAX(ABS(AT3-AU3),1),1,TRUE,0)</f>
        <v/>
      </c>
      <c r="AW3" s="13"/>
      <c r="AX3" s="14"/>
      <c r="AY3" s="33" t="str" cm="1">
        <f t="array" ref="AY3">_xlfn.IFS($D3="","",AND(AW3=$C3,AX3=$D3),3,($C3-$D3)/MAX(ABS($C3-$D3),1)=(AW3-AX3)/MAX(ABS(AW3-AX3),1),1,TRUE,0)</f>
        <v/>
      </c>
      <c r="AZ3" s="13"/>
      <c r="BA3" s="14"/>
      <c r="BB3" s="33" t="str" cm="1">
        <f t="array" ref="BB3">_xlfn.IFS($D3="","",AND(AZ3=$C3,BA3=$D3),3,($C3-$D3)/MAX(ABS($C3-$D3),1)=(AZ3-BA3)/MAX(ABS(AZ3-BA3),1),1,TRUE,0)</f>
        <v/>
      </c>
      <c r="BC3" s="13"/>
      <c r="BD3" s="14"/>
      <c r="BE3" s="33" t="str" cm="1">
        <f t="array" ref="BE3">_xlfn.IFS($D3="","",AND(BC3=$C3,BD3=$D3),3,($C3-$D3)/MAX(ABS($C3-$D3),1)=(BC3-BD3)/MAX(ABS(BC3-BD3),1),1,TRUE,0)</f>
        <v/>
      </c>
      <c r="BF3" s="13"/>
      <c r="BG3" s="14"/>
      <c r="BH3" s="33" t="str" cm="1">
        <f t="array" ref="BH3">_xlfn.IFS($D3="","",AND(BF3=$C3,BG3=$D3),3,($C3-$D3)/MAX(ABS($C3-$D3),1)=(BF3-BG3)/MAX(ABS(BF3-BG3),1),1,TRUE,0)</f>
        <v/>
      </c>
      <c r="BI3" s="13"/>
      <c r="BJ3" s="14"/>
      <c r="BK3" s="33" t="str" cm="1">
        <f t="array" ref="BK3">_xlfn.IFS($D3="","",AND(BI3=$C3,BJ3=$D3),3,($C3-$D3)/MAX(ABS($C3-$D3),1)=(BI3-BJ3)/MAX(ABS(BI3-BJ3),1),1,TRUE,0)</f>
        <v/>
      </c>
      <c r="BL3" s="13"/>
      <c r="BM3" s="14"/>
      <c r="BN3" s="33" t="str" cm="1">
        <f t="array" ref="BN3">_xlfn.IFS($D3="","",AND(BL3=$C3,BM3=$D3),3,($C3-$D3)/MAX(ABS($C3-$D3),1)=(BL3-BM3)/MAX(ABS(BL3-BM3),1),1,TRUE,0)</f>
        <v/>
      </c>
      <c r="BO3" s="13"/>
      <c r="BP3" s="14"/>
      <c r="BQ3" s="33" t="str" cm="1">
        <f t="array" ref="BQ3">_xlfn.IFS($D3="","",AND(BO3=$C3,BP3=$D3),3,($C3-$D3)/MAX(ABS($C3-$D3),1)=(BO3-BP3)/MAX(ABS(BO3-BP3),1),1,TRUE,0)</f>
        <v/>
      </c>
      <c r="BR3" s="13"/>
      <c r="BS3" s="14"/>
      <c r="BT3" s="33" t="str" cm="1">
        <f t="array" ref="BT3">_xlfn.IFS($D3="","",AND(BR3=$C3,BS3=$D3),3,($C3-$D3)/MAX(ABS($C3-$D3),1)=(BR3-BS3)/MAX(ABS(BR3-BS3),1),1,TRUE,0)</f>
        <v/>
      </c>
      <c r="BU3" s="13"/>
      <c r="BV3" s="14"/>
      <c r="BW3" s="33" t="str" cm="1">
        <f t="array" ref="BW3">_xlfn.IFS($D3="","",AND(BU3=$C3,BV3=$D3),3,($C3-$D3)/MAX(ABS($C3-$D3),1)=(BU3-BV3)/MAX(ABS(BU3-BV3),1),1,TRUE,0)</f>
        <v/>
      </c>
      <c r="BX3" s="13"/>
      <c r="BY3" s="14"/>
      <c r="BZ3" s="33" t="str" cm="1">
        <f t="array" ref="BZ3">_xlfn.IFS($D3="","",AND(BX3=$C3,BY3=$D3),3,($C3-$D3)/MAX(ABS($C3-$D3),1)=(BX3-BY3)/MAX(ABS(BX3-BY3),1),1,TRUE,0)</f>
        <v/>
      </c>
      <c r="CA3" s="13"/>
      <c r="CB3" s="14"/>
      <c r="CC3" s="33" t="str" cm="1">
        <f t="array" ref="CC3">_xlfn.IFS($D3="","",AND(CA3=$C3,CB3=$D3),3,($C3-$D3)/MAX(ABS($C3-$D3),1)=(CA3-CB3)/MAX(ABS(CA3-CB3),1),1,TRUE,0)</f>
        <v/>
      </c>
      <c r="CD3" s="13"/>
      <c r="CE3" s="14"/>
      <c r="CF3" s="33" t="str" cm="1">
        <f t="array" ref="CF3">_xlfn.IFS($D3="","",AND(CD3=$C3,CE3=$D3),3,($C3-$D3)/MAX(ABS($C3-$D3),1)=(CD3-CE3)/MAX(ABS(CD3-CE3),1),1,TRUE,0)</f>
        <v/>
      </c>
      <c r="CG3" s="13"/>
      <c r="CH3" s="14"/>
      <c r="CI3" s="33" t="str" cm="1">
        <f t="array" ref="CI3">_xlfn.IFS($D3="","",AND(CG3=$C3,CH3=$D3),3,($C3-$D3)/MAX(ABS($C3-$D3),1)=(CG3-CH3)/MAX(ABS(CG3-CH3),1),1,TRUE,0)</f>
        <v/>
      </c>
      <c r="CJ3" s="13"/>
      <c r="CK3" s="14"/>
      <c r="CL3" s="33" t="str" cm="1">
        <f t="array" ref="CL3">_xlfn.IFS($D3="","",AND(CJ3=$C3,CK3=$D3),3,($C3-$D3)/MAX(ABS($C3-$D3),1)=(CJ3-CK3)/MAX(ABS(CJ3-CK3),1),1,TRUE,0)</f>
        <v/>
      </c>
      <c r="CM3" s="13"/>
      <c r="CN3" s="14"/>
      <c r="CO3" s="33" t="str" cm="1">
        <f t="array" ref="CO3">_xlfn.IFS($D3="","",AND(CM3=$C3,CN3=$D3),3,($C3-$D3)/MAX(ABS($C3-$D3),1)=(CM3-CN3)/MAX(ABS(CM3-CN3),1),1,TRUE,0)</f>
        <v/>
      </c>
      <c r="CP3" s="13"/>
      <c r="CQ3" s="14"/>
      <c r="CR3" s="33" t="str" cm="1">
        <f t="array" ref="CR3">_xlfn.IFS($D3="","",AND(CP3=$C3,CQ3=$D3),3,($C3-$D3)/MAX(ABS($C3-$D3),1)=(CP3-CQ3)/MAX(ABS(CP3-CQ3),1),1,TRUE,0)</f>
        <v/>
      </c>
      <c r="CS3" s="13"/>
      <c r="CT3" s="14"/>
      <c r="CU3" s="33" t="str" cm="1">
        <f t="array" ref="CU3">_xlfn.IFS($D3="","",AND(CS3=$C3,CT3=$D3),3,($C3-$D3)/MAX(ABS($C3-$D3),1)=(CS3-CT3)/MAX(ABS(CS3-CT3),1),1,TRUE,0)</f>
        <v/>
      </c>
      <c r="CV3" s="13"/>
      <c r="CW3" s="14"/>
      <c r="CX3" s="33" t="str" cm="1">
        <f t="array" ref="CX3">_xlfn.IFS($D3="","",AND(CV3=$C3,CW3=$D3),3,($C3-$D3)/MAX(ABS($C3-$D3),1)=(CV3-CW3)/MAX(ABS(CV3-CW3),1),1,TRUE,0)</f>
        <v/>
      </c>
      <c r="CY3" s="13"/>
      <c r="CZ3" s="14"/>
      <c r="DA3" s="33" t="str" cm="1">
        <f t="array" ref="DA3">_xlfn.IFS($D3="","",AND(CY3=$C3,CZ3=$D3),3,($C3-$D3)/MAX(ABS($C3-$D3),1)=(CY3-CZ3)/MAX(ABS(CY3-CZ3),1),1,TRUE,0)</f>
        <v/>
      </c>
      <c r="DB3" s="35"/>
      <c r="DC3" s="36"/>
      <c r="DD3" s="33" t="str" cm="1">
        <f t="array" ref="DD3">_xlfn.IFS($D3="","",AND(DB3=$C3,DC3=$D3),3,($C3-$D3)/MAX(ABS($C3-$D3),1)=(DB3-DC3)/MAX(ABS(DB3-DC3),1),1,TRUE,0)</f>
        <v/>
      </c>
      <c r="DE3" s="13"/>
      <c r="DF3" s="14"/>
      <c r="DG3" s="33" t="str" cm="1">
        <f t="array" ref="DG3">_xlfn.IFS($D3="","",AND(DE3=$C3,DF3=$D3),3,($C3-$D3)/MAX(ABS($C3-$D3),1)=(DE3-DF3)/MAX(ABS(DE3-DF3),1),1,TRUE,0)</f>
        <v/>
      </c>
      <c r="DH3" s="13"/>
      <c r="DI3" s="14"/>
      <c r="DJ3" s="33" t="str" cm="1">
        <f t="array" ref="DJ3">_xlfn.IFS($D3="","",AND(DH3=$C3,DI3=$D3),3,($C3-$D3)/MAX(ABS($C3-$D3),1)=(DH3-DI3)/MAX(ABS(DH3-DI3),1),1,TRUE,0)</f>
        <v/>
      </c>
      <c r="DK3" s="13"/>
      <c r="DL3" s="14"/>
      <c r="DM3" s="33" t="str" cm="1">
        <f t="array" ref="DM3">_xlfn.IFS($D3="","",AND(DK3=$C3,DL3=$D3),3,($C3-$D3)/MAX(ABS($C3-$D3),1)=(DK3-DL3)/MAX(ABS(DK3-DL3),1),1,TRUE,0)</f>
        <v/>
      </c>
      <c r="DN3" s="13"/>
      <c r="DO3" s="14"/>
      <c r="DP3" s="33" t="str" cm="1">
        <f t="array" ref="DP3">_xlfn.IFS($D3="","",AND(DN3=$C3,DO3=$D3),3,($C3-$D3)/MAX(ABS($C3-$D3),1)=(DN3-DO3)/MAX(ABS(DN3-DO3),1),1,TRUE,0)</f>
        <v/>
      </c>
      <c r="DQ3" s="13"/>
      <c r="DR3" s="14"/>
      <c r="DS3" s="33" t="str" cm="1">
        <f t="array" ref="DS3">_xlfn.IFS($D3="","",AND(DQ3=$C3,DR3=$D3),3,($C3-$D3)/MAX(ABS($C3-$D3),1)=(DQ3-DR3)/MAX(ABS(DQ3-DR3),1),1,TRUE,0)</f>
        <v/>
      </c>
      <c r="DT3" s="13"/>
      <c r="DU3" s="14"/>
      <c r="DV3" s="33" t="str" cm="1">
        <f t="array" ref="DV3">_xlfn.IFS($D3="","",AND(DT3=$C3,DU3=$D3),3,($C3-$D3)/MAX(ABS($C3-$D3),1)=(DT3-DU3)/MAX(ABS(DT3-DU3),1),1,TRUE,0)</f>
        <v/>
      </c>
      <c r="DW3" s="13"/>
      <c r="DX3" s="14"/>
      <c r="DY3" s="33" t="str" cm="1">
        <f t="array" ref="DY3">_xlfn.IFS($D3="","",AND(DW3=$C3,DX3=$D3),3,($C3-$D3)/MAX(ABS($C3-$D3),1)=(DW3-DX3)/MAX(ABS(DW3-DX3),1),1,TRUE,0)</f>
        <v/>
      </c>
      <c r="DZ3" s="13"/>
      <c r="EA3" s="14"/>
      <c r="EB3" s="33" t="str" cm="1">
        <f t="array" ref="EB3">_xlfn.IFS($D3="","",AND(DZ3=$C3,EA3=$D3),3,($C3-$D3)/MAX(ABS($C3-$D3),1)=(DZ3-EA3)/MAX(ABS(DZ3-EA3),1),1,TRUE,0)</f>
        <v/>
      </c>
      <c r="EC3" s="13"/>
      <c r="ED3" s="14"/>
      <c r="EE3" s="33" t="str" cm="1">
        <f t="array" ref="EE3">_xlfn.IFS($D3="","",AND(EC3=$C3,ED3=$D3),3,($C3-$D3)/MAX(ABS($C3-$D3),1)=(EC3-ED3)/MAX(ABS(EC3-ED3),1),1,TRUE,0)</f>
        <v/>
      </c>
      <c r="EF3" s="13"/>
      <c r="EG3" s="14"/>
      <c r="EH3" s="33" t="str" cm="1">
        <f t="array" ref="EH3">_xlfn.IFS($D3="","",AND(EF3=$C3,EG3=$D3),3,($C3-$D3)/MAX(ABS($C3-$D3),1)=(EF3-EG3)/MAX(ABS(EF3-EG3),1),1,TRUE,0)</f>
        <v/>
      </c>
      <c r="EI3" s="41"/>
      <c r="EJ3" s="42"/>
      <c r="EK3" s="33" t="str" cm="1">
        <f t="array" ref="EK3">_xlfn.IFS($D3="","",AND(EI3=$C3,EJ3=$D3),3,($C3-$D3)/MAX(ABS($C3-$D3),1)=(EI3-EJ3)/MAX(ABS(EI3-EJ3),1),1,TRUE,0)</f>
        <v/>
      </c>
      <c r="EL3" s="13"/>
      <c r="EM3" s="14"/>
      <c r="EN3" s="33" t="str" cm="1">
        <f t="array" ref="EN3">_xlfn.IFS($D3="","",AND(EL3=$C3,EM3=$D3),3,($C3-$D3)/MAX(ABS($C3-$D3),1)=(EL3-EM3)/MAX(ABS(EL3-EM3),1),1,TRUE,0)</f>
        <v/>
      </c>
      <c r="EO3" s="13"/>
      <c r="EP3" s="14"/>
      <c r="EQ3" s="33" t="str" cm="1">
        <f t="array" ref="EQ3">_xlfn.IFS($D3="","",AND(EO3=$C3,EP3=$D3),3,($C3-$D3)/MAX(ABS($C3-$D3),1)=(EO3-EP3)/MAX(ABS(EO3-EP3),1),1,TRUE,0)</f>
        <v/>
      </c>
      <c r="ER3" s="13"/>
      <c r="ES3" s="14"/>
      <c r="ET3" s="33" t="str" cm="1">
        <f t="array" ref="ET3">_xlfn.IFS($D3="","",AND(ER3=$C3,ES3=$D3),3,($C3-$D3)/MAX(ABS($C3-$D3),1)=(ER3-ES3)/MAX(ABS(ER3-ES3),1),1,TRUE,0)</f>
        <v/>
      </c>
      <c r="EU3" s="13"/>
      <c r="EV3" s="14"/>
      <c r="EW3" s="33" t="str" cm="1">
        <f t="array" ref="EW3">_xlfn.IFS($D3="","",AND(EU3=$C3,EV3=$D3),3,($C3-$D3)/MAX(ABS($C3-$D3),1)=(EU3-EV3)/MAX(ABS(EU3-EV3),1),1,TRUE,0)</f>
        <v/>
      </c>
      <c r="EX3" s="13"/>
      <c r="EY3" s="14"/>
      <c r="EZ3" s="33" t="str" cm="1">
        <f t="array" ref="EZ3">_xlfn.IFS($D3="","",AND(EX3=$C3,EY3=$D3),3,($C3-$D3)/MAX(ABS($C3-$D3),1)=(EX3-EY3)/MAX(ABS(EX3-EY3),1),1,TRUE,0)</f>
        <v/>
      </c>
      <c r="FA3" s="13"/>
      <c r="FB3" s="14"/>
      <c r="FC3" s="33" t="str" cm="1">
        <f t="array" ref="FC3">_xlfn.IFS($D3="","",AND(FA3=$C3,FB3=$D3),3,($C3-$D3)/MAX(ABS($C3-$D3),1)=(FA3-FB3)/MAX(ABS(FA3-FB3),1),1,TRUE,0)</f>
        <v/>
      </c>
      <c r="FD3" s="13"/>
      <c r="FE3" s="14"/>
      <c r="FF3" s="33" t="str" cm="1">
        <f t="array" ref="FF3">_xlfn.IFS($D3="","",AND(FD3=$C3,FE3=$D3),3,($C3-$D3)/MAX(ABS($C3-$D3),1)=(FD3-FE3)/MAX(ABS(FD3-FE3),1),1,TRUE,0)</f>
        <v/>
      </c>
      <c r="FG3" s="13"/>
      <c r="FH3" s="14"/>
      <c r="FI3" s="33" t="str" cm="1">
        <f t="array" ref="FI3">_xlfn.IFS($D3="","",AND(FG3=$C3,FH3=$D3),3,($C3-$D3)/MAX(ABS($C3-$D3),1)=(FG3-FH3)/MAX(ABS(FG3-FH3),1),1,TRUE,0)</f>
        <v/>
      </c>
      <c r="FJ3" s="13"/>
      <c r="FK3" s="14"/>
      <c r="FL3" s="33" t="str" cm="1">
        <f t="array" ref="FL3">_xlfn.IFS($D3="","",AND(FJ3=$C3,FK3=$D3),3,($C3-$D3)/MAX(ABS($C3-$D3),1)=(FJ3-FK3)/MAX(ABS(FJ3-FK3),1),1,TRUE,0)</f>
        <v/>
      </c>
      <c r="FM3" s="13"/>
      <c r="FN3" s="14"/>
      <c r="FO3" s="33" t="str" cm="1">
        <f t="array" ref="FO3">_xlfn.IFS($D3="","",AND(FM3=$C3,FN3=$D3),3,($C3-$D3)/MAX(ABS($C3-$D3),1)=(FM3-FN3)/MAX(ABS(FM3-FN3),1),1,TRUE,0)</f>
        <v/>
      </c>
      <c r="FP3" s="13"/>
      <c r="FQ3" s="14"/>
      <c r="FR3" s="33" t="str" cm="1">
        <f t="array" ref="FR3">_xlfn.IFS($D3="","",AND(FP3=$C3,FQ3=$D3),3,($C3-$D3)/MAX(ABS($C3-$D3),1)=(FP3-FQ3)/MAX(ABS(FP3-FQ3),1),1,TRUE,0)</f>
        <v/>
      </c>
      <c r="FS3" s="13"/>
      <c r="FT3" s="14"/>
      <c r="FU3" s="33" t="str" cm="1">
        <f t="array" ref="FU3">_xlfn.IFS($D3="","",AND(FS3=$C3,FT3=$D3),3,($C3-$D3)/MAX(ABS($C3-$D3),1)=(FS3-FT3)/MAX(ABS(FS3-FT3),1),1,TRUE,0)</f>
        <v/>
      </c>
      <c r="FV3" s="13"/>
      <c r="FW3" s="14"/>
      <c r="FX3" s="33" t="str" cm="1">
        <f t="array" ref="FX3">_xlfn.IFS($D3="","",AND(FV3=$C3,FW3=$D3),3,($C3-$D3)/MAX(ABS($C3-$D3),1)=(FV3-FW3)/MAX(ABS(FV3-FW3),1),1,TRUE,0)</f>
        <v/>
      </c>
      <c r="FY3" s="13"/>
      <c r="FZ3" s="14"/>
      <c r="GA3" s="33" t="str" cm="1">
        <f t="array" ref="GA3">_xlfn.IFS($D3="","",AND(FY3=$C3,FZ3=$D3),3,($C3-$D3)/MAX(ABS($C3-$D3),1)=(FY3-FZ3)/MAX(ABS(FY3-FZ3),1),1,TRUE,0)</f>
        <v/>
      </c>
      <c r="GB3" s="13"/>
      <c r="GC3" s="14"/>
      <c r="GD3" s="33" t="str" cm="1">
        <f t="array" ref="GD3">_xlfn.IFS($D3="","",AND(GB3=$C3,GC3=$D3),3,($C3-$D3)/MAX(ABS($C3-$D3),1)=(GB3-GC3)/MAX(ABS(GB3-GC3),1),1,TRUE,0)</f>
        <v/>
      </c>
      <c r="GE3" s="46"/>
      <c r="GF3" s="14"/>
      <c r="GG3" s="33" t="str" cm="1">
        <f t="array" ref="GG3">_xlfn.IFS($D3="","",AND(GE3=$C3,GF3=$D3),3,($C3-$D3)/MAX(ABS($C3-$D3),1)=(GE3-GF3)/MAX(ABS(GE3-GF3),1),1,TRUE,0)</f>
        <v/>
      </c>
      <c r="GH3" s="13"/>
      <c r="GI3" s="14"/>
      <c r="GJ3" s="33" t="str" cm="1">
        <f t="array" ref="GJ3">_xlfn.IFS($D3="","",AND(GH3=$C3,GI3=$D3),3,($C3-$D3)/MAX(ABS($C3-$D3),1)=(GH3-GI3)/MAX(ABS(GH3-GI3),1),1,TRUE,0)</f>
        <v/>
      </c>
      <c r="GK3" s="13"/>
      <c r="GL3" s="14"/>
      <c r="GM3" s="33" t="str" cm="1">
        <f t="array" ref="GM3">_xlfn.IFS($D3="","",AND(GK3=$C3,GL3=$D3),3,($C3-$D3)/MAX(ABS($C3-$D3),1)=(GK3-GL3)/MAX(ABS(GK3-GL3),1),1,TRUE,0)</f>
        <v/>
      </c>
      <c r="GN3" s="13"/>
      <c r="GO3" s="14"/>
      <c r="GP3" s="33" t="str" cm="1">
        <f t="array" ref="GP3">_xlfn.IFS($D3="","",AND(GN3=$C3,GO3=$D3),3,($C3-$D3)/MAX(ABS($C3-$D3),1)=(GN3-GO3)/MAX(ABS(GN3-GO3),1),1,TRUE,0)</f>
        <v/>
      </c>
      <c r="GQ3" s="13"/>
      <c r="GR3" s="14"/>
      <c r="GS3" s="33" t="str" cm="1">
        <f t="array" ref="GS3">_xlfn.IFS($D3="","",AND(GQ3=$C3,GR3=$D3),3,($C3-$D3)/MAX(ABS($C3-$D3),1)=(GQ3-GR3)/MAX(ABS(GQ3-GR3),1),1,TRUE,0)</f>
        <v/>
      </c>
      <c r="GT3" s="13"/>
      <c r="GU3" s="14"/>
      <c r="GV3" s="33" t="str" cm="1">
        <f t="array" ref="GV3">_xlfn.IFS($D3="","",AND(GT3=$C3,GU3=$D3),3,($C3-$D3)/MAX(ABS($C3-$D3),1)=(GT3-GU3)/MAX(ABS(GT3-GU3),1),1,TRUE,0)</f>
        <v/>
      </c>
      <c r="GW3" s="13"/>
      <c r="GX3" s="14"/>
      <c r="GY3" s="33" t="str" cm="1">
        <f t="array" ref="GY3">_xlfn.IFS($D3="","",AND(GW3=$C3,GX3=$D3),3,($C3-$D3)/MAX(ABS($C3-$D3),1)=(GW3-GX3)/MAX(ABS(GW3-GX3),1),1,TRUE,0)</f>
        <v/>
      </c>
      <c r="GZ3" s="13"/>
      <c r="HA3" s="14"/>
      <c r="HB3" s="33" t="str" cm="1">
        <f t="array" ref="HB3">_xlfn.IFS($D3="","",AND(GZ3=$C3,HA3=$D3),3,($C3-$D3)/MAX(ABS($C3-$D3),1)=(GZ3-HA3)/MAX(ABS(GZ3-HA3),1),1,TRUE,0)</f>
        <v/>
      </c>
      <c r="HC3" s="13"/>
      <c r="HD3" s="14"/>
      <c r="HE3" s="33" t="str" cm="1">
        <f t="array" ref="HE3">_xlfn.IFS($D3="","",AND(HC3=$C3,HD3=$D3),3,($C3-$D3)/MAX(ABS($C3-$D3),1)=(HC3-HD3)/MAX(ABS(HC3-HD3),1),1,TRUE,0)</f>
        <v/>
      </c>
      <c r="HF3" s="13"/>
      <c r="HG3" s="14"/>
      <c r="HH3" s="33" t="str" cm="1">
        <f t="array" ref="HH3">_xlfn.IFS($D3="","",AND(HF3=$C3,HG3=$D3),3,($C3-$D3)/MAX(ABS($C3-$D3),1)=(HF3-HG3)/MAX(ABS(HF3-HG3),1),1,TRUE,0)</f>
        <v/>
      </c>
      <c r="HI3" s="13"/>
      <c r="HJ3" s="14"/>
      <c r="HK3" s="33" t="str" cm="1">
        <f t="array" ref="HK3">_xlfn.IFS($D3="","",AND(HI3=$C3,HJ3=$D3),3,($C3-$D3)/MAX(ABS($C3-$D3),1)=(HI3-HJ3)/MAX(ABS(HI3-HJ3),1),1,TRUE,0)</f>
        <v/>
      </c>
      <c r="HL3" s="13"/>
      <c r="HM3" s="14"/>
      <c r="HN3" s="33" t="str" cm="1">
        <f t="array" ref="HN3">_xlfn.IFS($D3="","",AND(HL3=$C3,HM3=$D3),3,($C3-$D3)/MAX(ABS($C3-$D3),1)=(HL3-HM3)/MAX(ABS(HL3-HM3),1),1,TRUE,0)</f>
        <v/>
      </c>
      <c r="HO3" s="13"/>
      <c r="HP3" s="14"/>
      <c r="HQ3" s="33" t="str" cm="1">
        <f t="array" ref="HQ3">_xlfn.IFS($D3="","",AND(HO3=$C3,HP3=$D3),3,($C3-$D3)/MAX(ABS($C3-$D3),1)=(HO3-HP3)/MAX(ABS(HO3-HP3),1),1,TRUE,0)</f>
        <v/>
      </c>
      <c r="HR3" s="13"/>
      <c r="HS3" s="14"/>
      <c r="HT3" s="33" t="str" cm="1">
        <f t="array" ref="HT3">_xlfn.IFS($D3="","",AND(HR3=$C3,HS3=$D3),3,($C3-$D3)/MAX(ABS($C3-$D3),1)=(HR3-HS3)/MAX(ABS(HR3-HS3),1),1,TRUE,0)</f>
        <v/>
      </c>
      <c r="HU3" s="13"/>
      <c r="HV3" s="14"/>
      <c r="HW3" s="33" t="str" cm="1">
        <f t="array" ref="HW3">_xlfn.IFS($D3="","",AND(HU3=$C3,HV3=$D3),3,($C3-$D3)/MAX(ABS($C3-$D3),1)=(HU3-HV3)/MAX(ABS(HU3-HV3),1),1,TRUE,0)</f>
        <v/>
      </c>
      <c r="HX3" s="13"/>
      <c r="HY3" s="14"/>
      <c r="HZ3" s="33" t="str" cm="1">
        <f t="array" ref="HZ3">_xlfn.IFS($D3="","",AND(HX3=$C3,HY3=$D3),3,($C3-$D3)/MAX(ABS($C3-$D3),1)=(HX3-HY3)/MAX(ABS(HX3-HY3),1),1,TRUE,0)</f>
        <v/>
      </c>
      <c r="IA3" s="13"/>
      <c r="IB3" s="14"/>
      <c r="IC3" s="33" t="str" cm="1">
        <f t="array" ref="IC3">_xlfn.IFS($D3="","",AND(IA3=$C3,IB3=$D3),3,($C3-$D3)/MAX(ABS($C3-$D3),1)=(IA3-IB3)/MAX(ABS(IA3-IB3),1),1,TRUE,0)</f>
        <v/>
      </c>
      <c r="ID3" s="13"/>
      <c r="IE3" s="14"/>
      <c r="IF3" s="33" t="str" cm="1">
        <f t="array" ref="IF3">_xlfn.IFS($D3="","",AND(ID3=$C3,IE3=$D3),3,($C3-$D3)/MAX(ABS($C3-$D3),1)=(ID3-IE3)/MAX(ABS(ID3-IE3),1),1,TRUE,0)</f>
        <v/>
      </c>
      <c r="IG3" s="13"/>
      <c r="IH3" s="14"/>
      <c r="II3" s="33" t="str" cm="1">
        <f t="array" ref="II3">_xlfn.IFS($D3="","",AND(IG3=$C3,IH3=$D3),3,($C3-$D3)/MAX(ABS($C3-$D3),1)=(IG3-IH3)/MAX(ABS(IG3-IH3),1),1,TRUE,0)</f>
        <v/>
      </c>
      <c r="IJ3" s="13"/>
      <c r="IK3" s="14"/>
      <c r="IL3" s="33" t="str" cm="1">
        <f t="array" ref="IL3">_xlfn.IFS($D3="","",AND(IJ3=$C3,IK3=$D3),3,($C3-$D3)/MAX(ABS($C3-$D3),1)=(IJ3-IK3)/MAX(ABS(IJ3-IK3),1),1,TRUE,0)</f>
        <v/>
      </c>
      <c r="IM3" s="13"/>
      <c r="IN3" s="14"/>
      <c r="IO3" s="33" t="str" cm="1">
        <f t="array" ref="IO3">_xlfn.IFS($D3="","",AND(IM3=$C3,IN3=$D3),3,($C3-$D3)/MAX(ABS($C3-$D3),1)=(IM3-IN3)/MAX(ABS(IM3-IN3),1),1,TRUE,0)</f>
        <v/>
      </c>
      <c r="IP3" s="13"/>
      <c r="IQ3" s="14"/>
      <c r="IR3" s="33" t="str" cm="1">
        <f t="array" ref="IR3">_xlfn.IFS($D3="","",AND(IP3=$C3,IQ3=$D3),3,($C3-$D3)/MAX(ABS($C3-$D3),1)=(IP3-IQ3)/MAX(ABS(IP3-IQ3),1),1,TRUE,0)</f>
        <v/>
      </c>
      <c r="IS3" s="13"/>
      <c r="IT3" s="14"/>
      <c r="IU3" s="33" t="str" cm="1">
        <f t="array" ref="IU3">_xlfn.IFS($D3="","",AND(IS3=$C3,IT3=$D3),3,($C3-$D3)/MAX(ABS($C3-$D3),1)=(IS3-IT3)/MAX(ABS(IS3-IT3),1),1,TRUE,0)</f>
        <v/>
      </c>
      <c r="IV3" s="13"/>
      <c r="IW3" s="14"/>
      <c r="IX3" s="33" t="str" cm="1">
        <f t="array" ref="IX3">_xlfn.IFS($D3="","",AND(IV3=$C3,IW3=$D3),3,($C3-$D3)/MAX(ABS($C3-$D3),1)=(IV3-IW3)/MAX(ABS(IV3-IW3),1),1,TRUE,0)</f>
        <v/>
      </c>
      <c r="IY3" s="13"/>
      <c r="IZ3" s="14"/>
      <c r="JA3" s="33" t="str" cm="1">
        <f t="array" ref="JA3">_xlfn.IFS($D3="","",AND(IY3=$C3,IZ3=$D3),3,($C3-$D3)/MAX(ABS($C3-$D3),1)=(IY3-IZ3)/MAX(ABS(IY3-IZ3),1),1,TRUE,0)</f>
        <v/>
      </c>
      <c r="JB3" s="13"/>
      <c r="JC3" s="14"/>
      <c r="JD3" s="33" t="str" cm="1">
        <f t="array" ref="JD3">_xlfn.IFS($D3="","",AND(JB3=$C3,JC3=$D3),3,($C3-$D3)/MAX(ABS($C3-$D3),1)=(JB3-JC3)/MAX(ABS(JB3-JC3),1),1,TRUE,0)</f>
        <v/>
      </c>
    </row>
    <row r="4" spans="1:264" ht="15" thickBot="1" x14ac:dyDescent="0.35">
      <c r="A4" s="22">
        <v>46185</v>
      </c>
      <c r="B4" s="28" t="s">
        <v>35</v>
      </c>
      <c r="C4" s="53" t="str" cm="1">
        <f t="array" ref="C4">_xlfn.LET(
_xlpm.x,_xlfn.XLOOKUP(1,(Scores_Fixtures[Date]=A4)*(Scores_Fixtures[Home.1]=B4),Scores_Fixtures[Score.1],""),
IF(_xlpm.x="","",_xlpm.x)
)</f>
        <v/>
      </c>
      <c r="D4" s="53" t="str" cm="1">
        <f t="array" ref="D4">_xlfn.LET(
_xlpm.x,_xlfn.XLOOKUP(1,(Scores_Fixtures[Date]=A4)*(Scores_Fixtures[Home.1]=B4),Scores_Fixtures[Score.2],""),
IF(_xlpm.x="","",_xlpm.x)
)</f>
        <v/>
      </c>
      <c r="E4" s="12" t="s">
        <v>33</v>
      </c>
      <c r="F4" s="15"/>
      <c r="G4" s="53"/>
      <c r="H4" s="53"/>
      <c r="I4" s="33" t="str" cm="1">
        <f t="array" ref="I4">_xlfn.IFS($D4="","",AND(G4=$C4,H4=$D4),3,($C4-$D4)/MAX(ABS($C4-$D4),1)=(G4-H4)/MAX(ABS(G4-H4),1),1,TRUE,0)</f>
        <v/>
      </c>
      <c r="J4" s="18"/>
      <c r="K4" s="19"/>
      <c r="L4" s="33" t="str" cm="1">
        <f t="array" ref="L4">_xlfn.IFS($D4="","",AND(J4=$C4,K4=$D4),3,($C4-$D4)/MAX(ABS($C4-$D4),1)=(J4-K4)/MAX(ABS(J4-K4),1),1,TRUE,0)</f>
        <v/>
      </c>
      <c r="M4" s="18"/>
      <c r="N4" s="19"/>
      <c r="O4" s="33" t="str" cm="1">
        <f t="array" ref="O4">_xlfn.IFS($D4="","",AND(M4=$C4,N4=$D4),3,($C4-$D4)/MAX(ABS($C4-$D4),1)=(M4-N4)/MAX(ABS(M4-N4),1),1,TRUE,0)</f>
        <v/>
      </c>
      <c r="P4" s="18"/>
      <c r="Q4" s="19"/>
      <c r="R4" s="33" t="str" cm="1">
        <f t="array" ref="R4">_xlfn.IFS($D4="","",AND(P4=$C4,Q4=$D4),3,($C4-$D4)/MAX(ABS($C4-$D4),1)=(P4-Q4)/MAX(ABS(P4-Q4),1),1,TRUE,0)</f>
        <v/>
      </c>
      <c r="S4" s="18"/>
      <c r="T4" s="19"/>
      <c r="U4" s="33" t="str" cm="1">
        <f t="array" ref="U4">_xlfn.IFS($D4="","",AND(S4=$C4,T4=$D4),3,($C4-$D4)/MAX(ABS($C4-$D4),1)=(S4-T4)/MAX(ABS(S4-T4),1),1,TRUE,0)</f>
        <v/>
      </c>
      <c r="V4" s="18"/>
      <c r="W4" s="19"/>
      <c r="X4" s="33" t="str" cm="1">
        <f t="array" ref="X4">_xlfn.IFS($D4="","",AND(V4=$C4,W4=$D4),3,($C4-$D4)/MAX(ABS($C4-$D4),1)=(V4-W4)/MAX(ABS(V4-W4),1),1,TRUE,0)</f>
        <v/>
      </c>
      <c r="Y4" s="18"/>
      <c r="Z4" s="19"/>
      <c r="AA4" s="33" t="str" cm="1">
        <f t="array" ref="AA4">_xlfn.IFS($D4="","",AND(Y4=$C4,Z4=$D4),3,($C4-$D4)/MAX(ABS($C4-$D4),1)=(Y4-Z4)/MAX(ABS(Y4-Z4),1),1,TRUE,0)</f>
        <v/>
      </c>
      <c r="AB4" s="18"/>
      <c r="AC4" s="19"/>
      <c r="AD4" s="33" t="str" cm="1">
        <f t="array" ref="AD4">_xlfn.IFS($D4="","",AND(AB4=$C4,AC4=$D4),3,($C4-$D4)/MAX(ABS($C4-$D4),1)=(AB4-AC4)/MAX(ABS(AB4-AC4),1),1,TRUE,0)</f>
        <v/>
      </c>
      <c r="AE4" s="18"/>
      <c r="AF4" s="19"/>
      <c r="AG4" s="33" t="str" cm="1">
        <f t="array" ref="AG4">_xlfn.IFS($D4="","",AND(AE4=$C4,AF4=$D4),3,($C4-$D4)/MAX(ABS($C4-$D4),1)=(AE4-AF4)/MAX(ABS(AE4-AF4),1),1,TRUE,0)</f>
        <v/>
      </c>
      <c r="AH4" s="18"/>
      <c r="AI4" s="19"/>
      <c r="AJ4" s="33" t="str" cm="1">
        <f t="array" ref="AJ4">_xlfn.IFS($D4="","",AND(AH4=$C4,AI4=$D4),3,($C4-$D4)/MAX(ABS($C4-$D4),1)=(AH4-AI4)/MAX(ABS(AH4-AI4),1),1,TRUE,0)</f>
        <v/>
      </c>
      <c r="AK4" s="18"/>
      <c r="AL4" s="19"/>
      <c r="AM4" s="33" t="str" cm="1">
        <f t="array" ref="AM4">_xlfn.IFS($D4="","",AND(AK4=$C4,AL4=$D4),3,($C4-$D4)/MAX(ABS($C4-$D4),1)=(AK4-AL4)/MAX(ABS(AK4-AL4),1),1,TRUE,0)</f>
        <v/>
      </c>
      <c r="AN4" s="18"/>
      <c r="AO4" s="19"/>
      <c r="AP4" s="33" t="str" cm="1">
        <f t="array" ref="AP4">_xlfn.IFS($D4="","",AND(AN4=$C4,AO4=$D4),3,($C4-$D4)/MAX(ABS($C4-$D4),1)=(AN4-AO4)/MAX(ABS(AN4-AO4),1),1,TRUE,0)</f>
        <v/>
      </c>
      <c r="AQ4" s="18"/>
      <c r="AR4" s="19"/>
      <c r="AS4" s="33" t="str" cm="1">
        <f t="array" ref="AS4">_xlfn.IFS($D4="","",AND(AQ4=$C4,AR4=$D4),3,($C4-$D4)/MAX(ABS($C4-$D4),1)=(AQ4-AR4)/MAX(ABS(AQ4-AR4),1),1,TRUE,0)</f>
        <v/>
      </c>
      <c r="AT4" s="18"/>
      <c r="AU4" s="19"/>
      <c r="AV4" s="33" t="str" cm="1">
        <f t="array" ref="AV4">_xlfn.IFS($D4="","",AND(AT4=$C4,AU4=$D4),3,($C4-$D4)/MAX(ABS($C4-$D4),1)=(AT4-AU4)/MAX(ABS(AT4-AU4),1),1,TRUE,0)</f>
        <v/>
      </c>
      <c r="AW4" s="18"/>
      <c r="AX4" s="19"/>
      <c r="AY4" s="33" t="str" cm="1">
        <f t="array" ref="AY4">_xlfn.IFS($D4="","",AND(AW4=$C4,AX4=$D4),3,($C4-$D4)/MAX(ABS($C4-$D4),1)=(AW4-AX4)/MAX(ABS(AW4-AX4),1),1,TRUE,0)</f>
        <v/>
      </c>
      <c r="AZ4" s="18"/>
      <c r="BA4" s="19"/>
      <c r="BB4" s="33" t="str" cm="1">
        <f t="array" ref="BB4">_xlfn.IFS($D4="","",AND(AZ4=$C4,BA4=$D4),3,($C4-$D4)/MAX(ABS($C4-$D4),1)=(AZ4-BA4)/MAX(ABS(AZ4-BA4),1),1,TRUE,0)</f>
        <v/>
      </c>
      <c r="BC4" s="18"/>
      <c r="BD4" s="19"/>
      <c r="BE4" s="33" t="str" cm="1">
        <f t="array" ref="BE4">_xlfn.IFS($D4="","",AND(BC4=$C4,BD4=$D4),3,($C4-$D4)/MAX(ABS($C4-$D4),1)=(BC4-BD4)/MAX(ABS(BC4-BD4),1),1,TRUE,0)</f>
        <v/>
      </c>
      <c r="BF4" s="18"/>
      <c r="BG4" s="19"/>
      <c r="BH4" s="33" t="str" cm="1">
        <f t="array" ref="BH4">_xlfn.IFS($D4="","",AND(BF4=$C4,BG4=$D4),3,($C4-$D4)/MAX(ABS($C4-$D4),1)=(BF4-BG4)/MAX(ABS(BF4-BG4),1),1,TRUE,0)</f>
        <v/>
      </c>
      <c r="BI4" s="18"/>
      <c r="BJ4" s="19"/>
      <c r="BK4" s="33" t="str" cm="1">
        <f t="array" ref="BK4">_xlfn.IFS($D4="","",AND(BI4=$C4,BJ4=$D4),3,($C4-$D4)/MAX(ABS($C4-$D4),1)=(BI4-BJ4)/MAX(ABS(BI4-BJ4),1),1,TRUE,0)</f>
        <v/>
      </c>
      <c r="BL4" s="18"/>
      <c r="BM4" s="19"/>
      <c r="BN4" s="33" t="str" cm="1">
        <f t="array" ref="BN4">_xlfn.IFS($D4="","",AND(BL4=$C4,BM4=$D4),3,($C4-$D4)/MAX(ABS($C4-$D4),1)=(BL4-BM4)/MAX(ABS(BL4-BM4),1),1,TRUE,0)</f>
        <v/>
      </c>
      <c r="BO4" s="18"/>
      <c r="BP4" s="19"/>
      <c r="BQ4" s="33" t="str" cm="1">
        <f t="array" ref="BQ4">_xlfn.IFS($D4="","",AND(BO4=$C4,BP4=$D4),3,($C4-$D4)/MAX(ABS($C4-$D4),1)=(BO4-BP4)/MAX(ABS(BO4-BP4),1),1,TRUE,0)</f>
        <v/>
      </c>
      <c r="BR4" s="18"/>
      <c r="BS4" s="19"/>
      <c r="BT4" s="33" t="str" cm="1">
        <f t="array" ref="BT4">_xlfn.IFS($D4="","",AND(BR4=$C4,BS4=$D4),3,($C4-$D4)/MAX(ABS($C4-$D4),1)=(BR4-BS4)/MAX(ABS(BR4-BS4),1),1,TRUE,0)</f>
        <v/>
      </c>
      <c r="BU4" s="18"/>
      <c r="BV4" s="19"/>
      <c r="BW4" s="33" t="str" cm="1">
        <f t="array" ref="BW4">_xlfn.IFS($D4="","",AND(BU4=$C4,BV4=$D4),3,($C4-$D4)/MAX(ABS($C4-$D4),1)=(BU4-BV4)/MAX(ABS(BU4-BV4),1),1,TRUE,0)</f>
        <v/>
      </c>
      <c r="BX4" s="18"/>
      <c r="BY4" s="19"/>
      <c r="BZ4" s="33" t="str" cm="1">
        <f t="array" ref="BZ4">_xlfn.IFS($D4="","",AND(BX4=$C4,BY4=$D4),3,($C4-$D4)/MAX(ABS($C4-$D4),1)=(BX4-BY4)/MAX(ABS(BX4-BY4),1),1,TRUE,0)</f>
        <v/>
      </c>
      <c r="CA4" s="18"/>
      <c r="CB4" s="19"/>
      <c r="CC4" s="33" t="str" cm="1">
        <f t="array" ref="CC4">_xlfn.IFS($D4="","",AND(CA4=$C4,CB4=$D4),3,($C4-$D4)/MAX(ABS($C4-$D4),1)=(CA4-CB4)/MAX(ABS(CA4-CB4),1),1,TRUE,0)</f>
        <v/>
      </c>
      <c r="CD4" s="18"/>
      <c r="CE4" s="19"/>
      <c r="CF4" s="33" t="str" cm="1">
        <f t="array" ref="CF4">_xlfn.IFS($D4="","",AND(CD4=$C4,CE4=$D4),3,($C4-$D4)/MAX(ABS($C4-$D4),1)=(CD4-CE4)/MAX(ABS(CD4-CE4),1),1,TRUE,0)</f>
        <v/>
      </c>
      <c r="CG4" s="18"/>
      <c r="CH4" s="19"/>
      <c r="CI4" s="33" t="str" cm="1">
        <f t="array" ref="CI4">_xlfn.IFS($D4="","",AND(CG4=$C4,CH4=$D4),3,($C4-$D4)/MAX(ABS($C4-$D4),1)=(CG4-CH4)/MAX(ABS(CG4-CH4),1),1,TRUE,0)</f>
        <v/>
      </c>
      <c r="CJ4" s="18"/>
      <c r="CK4" s="19"/>
      <c r="CL4" s="33" t="str" cm="1">
        <f t="array" ref="CL4">_xlfn.IFS($D4="","",AND(CJ4=$C4,CK4=$D4),3,($C4-$D4)/MAX(ABS($C4-$D4),1)=(CJ4-CK4)/MAX(ABS(CJ4-CK4),1),1,TRUE,0)</f>
        <v/>
      </c>
      <c r="CM4" s="18"/>
      <c r="CN4" s="19"/>
      <c r="CO4" s="33" t="str" cm="1">
        <f t="array" ref="CO4">_xlfn.IFS($D4="","",AND(CM4=$C4,CN4=$D4),3,($C4-$D4)/MAX(ABS($C4-$D4),1)=(CM4-CN4)/MAX(ABS(CM4-CN4),1),1,TRUE,0)</f>
        <v/>
      </c>
      <c r="CP4" s="18"/>
      <c r="CQ4" s="19"/>
      <c r="CR4" s="33" t="str" cm="1">
        <f t="array" ref="CR4">_xlfn.IFS($D4="","",AND(CP4=$C4,CQ4=$D4),3,($C4-$D4)/MAX(ABS($C4-$D4),1)=(CP4-CQ4)/MAX(ABS(CP4-CQ4),1),1,TRUE,0)</f>
        <v/>
      </c>
      <c r="CS4" s="18"/>
      <c r="CT4" s="19"/>
      <c r="CU4" s="33" t="str" cm="1">
        <f t="array" ref="CU4">_xlfn.IFS($D4="","",AND(CS4=$C4,CT4=$D4),3,($C4-$D4)/MAX(ABS($C4-$D4),1)=(CS4-CT4)/MAX(ABS(CS4-CT4),1),1,TRUE,0)</f>
        <v/>
      </c>
      <c r="CV4" s="18"/>
      <c r="CW4" s="19"/>
      <c r="CX4" s="33" t="str" cm="1">
        <f t="array" ref="CX4">_xlfn.IFS($D4="","",AND(CV4=$C4,CW4=$D4),3,($C4-$D4)/MAX(ABS($C4-$D4),1)=(CV4-CW4)/MAX(ABS(CV4-CW4),1),1,TRUE,0)</f>
        <v/>
      </c>
      <c r="CY4" s="18"/>
      <c r="CZ4" s="19"/>
      <c r="DA4" s="33" t="str" cm="1">
        <f t="array" ref="DA4">_xlfn.IFS($D4="","",AND(CY4=$C4,CZ4=$D4),3,($C4-$D4)/MAX(ABS($C4-$D4),1)=(CY4-CZ4)/MAX(ABS(CY4-CZ4),1),1,TRUE,0)</f>
        <v/>
      </c>
      <c r="DB4" s="37"/>
      <c r="DC4" s="38"/>
      <c r="DD4" s="33" t="str" cm="1">
        <f t="array" ref="DD4">_xlfn.IFS($D4="","",AND(DB4=$C4,DC4=$D4),3,($C4-$D4)/MAX(ABS($C4-$D4),1)=(DB4-DC4)/MAX(ABS(DB4-DC4),1),1,TRUE,0)</f>
        <v/>
      </c>
      <c r="DE4" s="18"/>
      <c r="DF4" s="19"/>
      <c r="DG4" s="33" t="str" cm="1">
        <f t="array" ref="DG4">_xlfn.IFS($D4="","",AND(DE4=$C4,DF4=$D4),3,($C4-$D4)/MAX(ABS($C4-$D4),1)=(DE4-DF4)/MAX(ABS(DE4-DF4),1),1,TRUE,0)</f>
        <v/>
      </c>
      <c r="DH4" s="18"/>
      <c r="DI4" s="19"/>
      <c r="DJ4" s="33" t="str" cm="1">
        <f t="array" ref="DJ4">_xlfn.IFS($D4="","",AND(DH4=$C4,DI4=$D4),3,($C4-$D4)/MAX(ABS($C4-$D4),1)=(DH4-DI4)/MAX(ABS(DH4-DI4),1),1,TRUE,0)</f>
        <v/>
      </c>
      <c r="DK4" s="18"/>
      <c r="DL4" s="19"/>
      <c r="DM4" s="33" t="str" cm="1">
        <f t="array" ref="DM4">_xlfn.IFS($D4="","",AND(DK4=$C4,DL4=$D4),3,($C4-$D4)/MAX(ABS($C4-$D4),1)=(DK4-DL4)/MAX(ABS(DK4-DL4),1),1,TRUE,0)</f>
        <v/>
      </c>
      <c r="DN4" s="18"/>
      <c r="DO4" s="19"/>
      <c r="DP4" s="33" t="str" cm="1">
        <f t="array" ref="DP4">_xlfn.IFS($D4="","",AND(DN4=$C4,DO4=$D4),3,($C4-$D4)/MAX(ABS($C4-$D4),1)=(DN4-DO4)/MAX(ABS(DN4-DO4),1),1,TRUE,0)</f>
        <v/>
      </c>
      <c r="DQ4" s="18"/>
      <c r="DR4" s="19"/>
      <c r="DS4" s="33" t="str" cm="1">
        <f t="array" ref="DS4">_xlfn.IFS($D4="","",AND(DQ4=$C4,DR4=$D4),3,($C4-$D4)/MAX(ABS($C4-$D4),1)=(DQ4-DR4)/MAX(ABS(DQ4-DR4),1),1,TRUE,0)</f>
        <v/>
      </c>
      <c r="DT4" s="18"/>
      <c r="DU4" s="19"/>
      <c r="DV4" s="33" t="str" cm="1">
        <f t="array" ref="DV4">_xlfn.IFS($D4="","",AND(DT4=$C4,DU4=$D4),3,($C4-$D4)/MAX(ABS($C4-$D4),1)=(DT4-DU4)/MAX(ABS(DT4-DU4),1),1,TRUE,0)</f>
        <v/>
      </c>
      <c r="DW4" s="18"/>
      <c r="DX4" s="19"/>
      <c r="DY4" s="33" t="str" cm="1">
        <f t="array" ref="DY4">_xlfn.IFS($D4="","",AND(DW4=$C4,DX4=$D4),3,($C4-$D4)/MAX(ABS($C4-$D4),1)=(DW4-DX4)/MAX(ABS(DW4-DX4),1),1,TRUE,0)</f>
        <v/>
      </c>
      <c r="DZ4" s="18"/>
      <c r="EA4" s="19"/>
      <c r="EB4" s="33" t="str" cm="1">
        <f t="array" ref="EB4">_xlfn.IFS($D4="","",AND(DZ4=$C4,EA4=$D4),3,($C4-$D4)/MAX(ABS($C4-$D4),1)=(DZ4-EA4)/MAX(ABS(DZ4-EA4),1),1,TRUE,0)</f>
        <v/>
      </c>
      <c r="EC4" s="18"/>
      <c r="ED4" s="19"/>
      <c r="EE4" s="33" t="str" cm="1">
        <f t="array" ref="EE4">_xlfn.IFS($D4="","",AND(EC4=$C4,ED4=$D4),3,($C4-$D4)/MAX(ABS($C4-$D4),1)=(EC4-ED4)/MAX(ABS(EC4-ED4),1),1,TRUE,0)</f>
        <v/>
      </c>
      <c r="EF4" s="18"/>
      <c r="EG4" s="19"/>
      <c r="EH4" s="33" t="str" cm="1">
        <f t="array" ref="EH4">_xlfn.IFS($D4="","",AND(EF4=$C4,EG4=$D4),3,($C4-$D4)/MAX(ABS($C4-$D4),1)=(EF4-EG4)/MAX(ABS(EF4-EG4),1),1,TRUE,0)</f>
        <v/>
      </c>
      <c r="EI4" s="43"/>
      <c r="EJ4" s="44"/>
      <c r="EK4" s="33" t="str" cm="1">
        <f t="array" ref="EK4">_xlfn.IFS($D4="","",AND(EI4=$C4,EJ4=$D4),3,($C4-$D4)/MAX(ABS($C4-$D4),1)=(EI4-EJ4)/MAX(ABS(EI4-EJ4),1),1,TRUE,0)</f>
        <v/>
      </c>
      <c r="EL4" s="18"/>
      <c r="EM4" s="19"/>
      <c r="EN4" s="33" t="str" cm="1">
        <f t="array" ref="EN4">_xlfn.IFS($D4="","",AND(EL4=$C4,EM4=$D4),3,($C4-$D4)/MAX(ABS($C4-$D4),1)=(EL4-EM4)/MAX(ABS(EL4-EM4),1),1,TRUE,0)</f>
        <v/>
      </c>
      <c r="EO4" s="18"/>
      <c r="EP4" s="19"/>
      <c r="EQ4" s="33" t="str" cm="1">
        <f t="array" ref="EQ4">_xlfn.IFS($D4="","",AND(EO4=$C4,EP4=$D4),3,($C4-$D4)/MAX(ABS($C4-$D4),1)=(EO4-EP4)/MAX(ABS(EO4-EP4),1),1,TRUE,0)</f>
        <v/>
      </c>
      <c r="ER4" s="18"/>
      <c r="ES4" s="19"/>
      <c r="ET4" s="33" t="str" cm="1">
        <f t="array" ref="ET4">_xlfn.IFS($D4="","",AND(ER4=$C4,ES4=$D4),3,($C4-$D4)/MAX(ABS($C4-$D4),1)=(ER4-ES4)/MAX(ABS(ER4-ES4),1),1,TRUE,0)</f>
        <v/>
      </c>
      <c r="EU4" s="18"/>
      <c r="EV4" s="19"/>
      <c r="EW4" s="33" t="str" cm="1">
        <f t="array" ref="EW4">_xlfn.IFS($D4="","",AND(EU4=$C4,EV4=$D4),3,($C4-$D4)/MAX(ABS($C4-$D4),1)=(EU4-EV4)/MAX(ABS(EU4-EV4),1),1,TRUE,0)</f>
        <v/>
      </c>
      <c r="EX4" s="18"/>
      <c r="EY4" s="19"/>
      <c r="EZ4" s="33" t="str" cm="1">
        <f t="array" ref="EZ4">_xlfn.IFS($D4="","",AND(EX4=$C4,EY4=$D4),3,($C4-$D4)/MAX(ABS($C4-$D4),1)=(EX4-EY4)/MAX(ABS(EX4-EY4),1),1,TRUE,0)</f>
        <v/>
      </c>
      <c r="FA4" s="18"/>
      <c r="FB4" s="19"/>
      <c r="FC4" s="33" t="str" cm="1">
        <f t="array" ref="FC4">_xlfn.IFS($D4="","",AND(FA4=$C4,FB4=$D4),3,($C4-$D4)/MAX(ABS($C4-$D4),1)=(FA4-FB4)/MAX(ABS(FA4-FB4),1),1,TRUE,0)</f>
        <v/>
      </c>
      <c r="FD4" s="18"/>
      <c r="FE4" s="19"/>
      <c r="FF4" s="33" t="str" cm="1">
        <f t="array" ref="FF4">_xlfn.IFS($D4="","",AND(FD4=$C4,FE4=$D4),3,($C4-$D4)/MAX(ABS($C4-$D4),1)=(FD4-FE4)/MAX(ABS(FD4-FE4),1),1,TRUE,0)</f>
        <v/>
      </c>
      <c r="FG4" s="18"/>
      <c r="FH4" s="19"/>
      <c r="FI4" s="33" t="str" cm="1">
        <f t="array" ref="FI4">_xlfn.IFS($D4="","",AND(FG4=$C4,FH4=$D4),3,($C4-$D4)/MAX(ABS($C4-$D4),1)=(FG4-FH4)/MAX(ABS(FG4-FH4),1),1,TRUE,0)</f>
        <v/>
      </c>
      <c r="FJ4" s="18"/>
      <c r="FK4" s="19"/>
      <c r="FL4" s="33" t="str" cm="1">
        <f t="array" ref="FL4">_xlfn.IFS($D4="","",AND(FJ4=$C4,FK4=$D4),3,($C4-$D4)/MAX(ABS($C4-$D4),1)=(FJ4-FK4)/MAX(ABS(FJ4-FK4),1),1,TRUE,0)</f>
        <v/>
      </c>
      <c r="FM4" s="18"/>
      <c r="FN4" s="19"/>
      <c r="FO4" s="33" t="str" cm="1">
        <f t="array" ref="FO4">_xlfn.IFS($D4="","",AND(FM4=$C4,FN4=$D4),3,($C4-$D4)/MAX(ABS($C4-$D4),1)=(FM4-FN4)/MAX(ABS(FM4-FN4),1),1,TRUE,0)</f>
        <v/>
      </c>
      <c r="FP4" s="18"/>
      <c r="FQ4" s="19"/>
      <c r="FR4" s="33" t="str" cm="1">
        <f t="array" ref="FR4">_xlfn.IFS($D4="","",AND(FP4=$C4,FQ4=$D4),3,($C4-$D4)/MAX(ABS($C4-$D4),1)=(FP4-FQ4)/MAX(ABS(FP4-FQ4),1),1,TRUE,0)</f>
        <v/>
      </c>
      <c r="FS4" s="18"/>
      <c r="FT4" s="19"/>
      <c r="FU4" s="33" t="str" cm="1">
        <f t="array" ref="FU4">_xlfn.IFS($D4="","",AND(FS4=$C4,FT4=$D4),3,($C4-$D4)/MAX(ABS($C4-$D4),1)=(FS4-FT4)/MAX(ABS(FS4-FT4),1),1,TRUE,0)</f>
        <v/>
      </c>
      <c r="FV4" s="18"/>
      <c r="FW4" s="19"/>
      <c r="FX4" s="33" t="str" cm="1">
        <f t="array" ref="FX4">_xlfn.IFS($D4="","",AND(FV4=$C4,FW4=$D4),3,($C4-$D4)/MAX(ABS($C4-$D4),1)=(FV4-FW4)/MAX(ABS(FV4-FW4),1),1,TRUE,0)</f>
        <v/>
      </c>
      <c r="FY4" s="18"/>
      <c r="FZ4" s="19"/>
      <c r="GA4" s="33" t="str" cm="1">
        <f t="array" ref="GA4">_xlfn.IFS($D4="","",AND(FY4=$C4,FZ4=$D4),3,($C4-$D4)/MAX(ABS($C4-$D4),1)=(FY4-FZ4)/MAX(ABS(FY4-FZ4),1),1,TRUE,0)</f>
        <v/>
      </c>
      <c r="GB4" s="18"/>
      <c r="GC4" s="19"/>
      <c r="GD4" s="33" t="str" cm="1">
        <f t="array" ref="GD4">_xlfn.IFS($D4="","",AND(GB4=$C4,GC4=$D4),3,($C4-$D4)/MAX(ABS($C4-$D4),1)=(GB4-GC4)/MAX(ABS(GB4-GC4),1),1,TRUE,0)</f>
        <v/>
      </c>
      <c r="GE4" s="47"/>
      <c r="GF4" s="45"/>
      <c r="GG4" s="33" t="str" cm="1">
        <f t="array" ref="GG4">_xlfn.IFS($D4="","",AND(GE4=$C4,GF4=$D4),3,($C4-$D4)/MAX(ABS($C4-$D4),1)=(GE4-GF4)/MAX(ABS(GE4-GF4),1),1,TRUE,0)</f>
        <v/>
      </c>
      <c r="GH4" s="18"/>
      <c r="GI4" s="19"/>
      <c r="GJ4" s="33" t="str" cm="1">
        <f t="array" ref="GJ4">_xlfn.IFS($D4="","",AND(GH4=$C4,GI4=$D4),3,($C4-$D4)/MAX(ABS($C4-$D4),1)=(GH4-GI4)/MAX(ABS(GH4-GI4),1),1,TRUE,0)</f>
        <v/>
      </c>
      <c r="GK4" s="18"/>
      <c r="GL4" s="19"/>
      <c r="GM4" s="33" t="str" cm="1">
        <f t="array" ref="GM4">_xlfn.IFS($D4="","",AND(GK4=$C4,GL4=$D4),3,($C4-$D4)/MAX(ABS($C4-$D4),1)=(GK4-GL4)/MAX(ABS(GK4-GL4),1),1,TRUE,0)</f>
        <v/>
      </c>
      <c r="GN4" s="18"/>
      <c r="GO4" s="19"/>
      <c r="GP4" s="33" t="str" cm="1">
        <f t="array" ref="GP4">_xlfn.IFS($D4="","",AND(GN4=$C4,GO4=$D4),3,($C4-$D4)/MAX(ABS($C4-$D4),1)=(GN4-GO4)/MAX(ABS(GN4-GO4),1),1,TRUE,0)</f>
        <v/>
      </c>
      <c r="GQ4" s="18"/>
      <c r="GR4" s="19"/>
      <c r="GS4" s="33" t="str" cm="1">
        <f t="array" ref="GS4">_xlfn.IFS($D4="","",AND(GQ4=$C4,GR4=$D4),3,($C4-$D4)/MAX(ABS($C4-$D4),1)=(GQ4-GR4)/MAX(ABS(GQ4-GR4),1),1,TRUE,0)</f>
        <v/>
      </c>
      <c r="GT4" s="18"/>
      <c r="GU4" s="19"/>
      <c r="GV4" s="33" t="str" cm="1">
        <f t="array" ref="GV4">_xlfn.IFS($D4="","",AND(GT4=$C4,GU4=$D4),3,($C4-$D4)/MAX(ABS($C4-$D4),1)=(GT4-GU4)/MAX(ABS(GT4-GU4),1),1,TRUE,0)</f>
        <v/>
      </c>
      <c r="GW4" s="18"/>
      <c r="GX4" s="19"/>
      <c r="GY4" s="33" t="str" cm="1">
        <f t="array" ref="GY4">_xlfn.IFS($D4="","",AND(GW4=$C4,GX4=$D4),3,($C4-$D4)/MAX(ABS($C4-$D4),1)=(GW4-GX4)/MAX(ABS(GW4-GX4),1),1,TRUE,0)</f>
        <v/>
      </c>
      <c r="GZ4" s="18"/>
      <c r="HA4" s="19"/>
      <c r="HB4" s="33" t="str" cm="1">
        <f t="array" ref="HB4">_xlfn.IFS($D4="","",AND(GZ4=$C4,HA4=$D4),3,($C4-$D4)/MAX(ABS($C4-$D4),1)=(GZ4-HA4)/MAX(ABS(GZ4-HA4),1),1,TRUE,0)</f>
        <v/>
      </c>
      <c r="HC4" s="18"/>
      <c r="HD4" s="19"/>
      <c r="HE4" s="33" t="str" cm="1">
        <f t="array" ref="HE4">_xlfn.IFS($D4="","",AND(HC4=$C4,HD4=$D4),3,($C4-$D4)/MAX(ABS($C4-$D4),1)=(HC4-HD4)/MAX(ABS(HC4-HD4),1),1,TRUE,0)</f>
        <v/>
      </c>
      <c r="HF4" s="18"/>
      <c r="HG4" s="19"/>
      <c r="HH4" s="33" t="str" cm="1">
        <f t="array" ref="HH4">_xlfn.IFS($D4="","",AND(HF4=$C4,HG4=$D4),3,($C4-$D4)/MAX(ABS($C4-$D4),1)=(HF4-HG4)/MAX(ABS(HF4-HG4),1),1,TRUE,0)</f>
        <v/>
      </c>
      <c r="HI4" s="18"/>
      <c r="HJ4" s="19"/>
      <c r="HK4" s="33" t="str" cm="1">
        <f t="array" ref="HK4">_xlfn.IFS($D4="","",AND(HI4=$C4,HJ4=$D4),3,($C4-$D4)/MAX(ABS($C4-$D4),1)=(HI4-HJ4)/MAX(ABS(HI4-HJ4),1),1,TRUE,0)</f>
        <v/>
      </c>
      <c r="HL4" s="18"/>
      <c r="HM4" s="19"/>
      <c r="HN4" s="33" t="str" cm="1">
        <f t="array" ref="HN4">_xlfn.IFS($D4="","",AND(HL4=$C4,HM4=$D4),3,($C4-$D4)/MAX(ABS($C4-$D4),1)=(HL4-HM4)/MAX(ABS(HL4-HM4),1),1,TRUE,0)</f>
        <v/>
      </c>
      <c r="HO4" s="18"/>
      <c r="HP4" s="19"/>
      <c r="HQ4" s="33" t="str" cm="1">
        <f t="array" ref="HQ4">_xlfn.IFS($D4="","",AND(HO4=$C4,HP4=$D4),3,($C4-$D4)/MAX(ABS($C4-$D4),1)=(HO4-HP4)/MAX(ABS(HO4-HP4),1),1,TRUE,0)</f>
        <v/>
      </c>
      <c r="HR4" s="18"/>
      <c r="HS4" s="19"/>
      <c r="HT4" s="33" t="str" cm="1">
        <f t="array" ref="HT4">_xlfn.IFS($D4="","",AND(HR4=$C4,HS4=$D4),3,($C4-$D4)/MAX(ABS($C4-$D4),1)=(HR4-HS4)/MAX(ABS(HR4-HS4),1),1,TRUE,0)</f>
        <v/>
      </c>
      <c r="HU4" s="18"/>
      <c r="HV4" s="19"/>
      <c r="HW4" s="33" t="str" cm="1">
        <f t="array" ref="HW4">_xlfn.IFS($D4="","",AND(HU4=$C4,HV4=$D4),3,($C4-$D4)/MAX(ABS($C4-$D4),1)=(HU4-HV4)/MAX(ABS(HU4-HV4),1),1,TRUE,0)</f>
        <v/>
      </c>
      <c r="HX4" s="18"/>
      <c r="HY4" s="19"/>
      <c r="HZ4" s="33" t="str" cm="1">
        <f t="array" ref="HZ4">_xlfn.IFS($D4="","",AND(HX4=$C4,HY4=$D4),3,($C4-$D4)/MAX(ABS($C4-$D4),1)=(HX4-HY4)/MAX(ABS(HX4-HY4),1),1,TRUE,0)</f>
        <v/>
      </c>
      <c r="IA4" s="18"/>
      <c r="IB4" s="19"/>
      <c r="IC4" s="33" t="str" cm="1">
        <f t="array" ref="IC4">_xlfn.IFS($D4="","",AND(IA4=$C4,IB4=$D4),3,($C4-$D4)/MAX(ABS($C4-$D4),1)=(IA4-IB4)/MAX(ABS(IA4-IB4),1),1,TRUE,0)</f>
        <v/>
      </c>
      <c r="ID4" s="18"/>
      <c r="IE4" s="19"/>
      <c r="IF4" s="33" t="str" cm="1">
        <f t="array" ref="IF4">_xlfn.IFS($D4="","",AND(ID4=$C4,IE4=$D4),3,($C4-$D4)/MAX(ABS($C4-$D4),1)=(ID4-IE4)/MAX(ABS(ID4-IE4),1),1,TRUE,0)</f>
        <v/>
      </c>
      <c r="IG4" s="18"/>
      <c r="IH4" s="19"/>
      <c r="II4" s="33" t="str" cm="1">
        <f t="array" ref="II4">_xlfn.IFS($D4="","",AND(IG4=$C4,IH4=$D4),3,($C4-$D4)/MAX(ABS($C4-$D4),1)=(IG4-IH4)/MAX(ABS(IG4-IH4),1),1,TRUE,0)</f>
        <v/>
      </c>
      <c r="IJ4" s="18"/>
      <c r="IK4" s="19"/>
      <c r="IL4" s="33" t="str" cm="1">
        <f t="array" ref="IL4">_xlfn.IFS($D4="","",AND(IJ4=$C4,IK4=$D4),3,($C4-$D4)/MAX(ABS($C4-$D4),1)=(IJ4-IK4)/MAX(ABS(IJ4-IK4),1),1,TRUE,0)</f>
        <v/>
      </c>
      <c r="IM4" s="18"/>
      <c r="IN4" s="19"/>
      <c r="IO4" s="33" t="str" cm="1">
        <f t="array" ref="IO4">_xlfn.IFS($D4="","",AND(IM4=$C4,IN4=$D4),3,($C4-$D4)/MAX(ABS($C4-$D4),1)=(IM4-IN4)/MAX(ABS(IM4-IN4),1),1,TRUE,0)</f>
        <v/>
      </c>
      <c r="IP4" s="18"/>
      <c r="IQ4" s="19"/>
      <c r="IR4" s="33" t="str" cm="1">
        <f t="array" ref="IR4">_xlfn.IFS($D4="","",AND(IP4=$C4,IQ4=$D4),3,($C4-$D4)/MAX(ABS($C4-$D4),1)=(IP4-IQ4)/MAX(ABS(IP4-IQ4),1),1,TRUE,0)</f>
        <v/>
      </c>
      <c r="IS4" s="18"/>
      <c r="IT4" s="19"/>
      <c r="IU4" s="33" t="str" cm="1">
        <f t="array" ref="IU4">_xlfn.IFS($D4="","",AND(IS4=$C4,IT4=$D4),3,($C4-$D4)/MAX(ABS($C4-$D4),1)=(IS4-IT4)/MAX(ABS(IS4-IT4),1),1,TRUE,0)</f>
        <v/>
      </c>
      <c r="IV4" s="18"/>
      <c r="IW4" s="19"/>
      <c r="IX4" s="33" t="str" cm="1">
        <f t="array" ref="IX4">_xlfn.IFS($D4="","",AND(IV4=$C4,IW4=$D4),3,($C4-$D4)/MAX(ABS($C4-$D4),1)=(IV4-IW4)/MAX(ABS(IV4-IW4),1),1,TRUE,0)</f>
        <v/>
      </c>
      <c r="IY4" s="18"/>
      <c r="IZ4" s="19"/>
      <c r="JA4" s="33" t="str" cm="1">
        <f t="array" ref="JA4">_xlfn.IFS($D4="","",AND(IY4=$C4,IZ4=$D4),3,($C4-$D4)/MAX(ABS($C4-$D4),1)=(IY4-IZ4)/MAX(ABS(IY4-IZ4),1),1,TRUE,0)</f>
        <v/>
      </c>
      <c r="JB4" s="18"/>
      <c r="JC4" s="19"/>
      <c r="JD4" s="33" t="str" cm="1">
        <f t="array" ref="JD4">_xlfn.IFS($D4="","",AND(JB4=$C4,JC4=$D4),3,($C4-$D4)/MAX(ABS($C4-$D4),1)=(JB4-JC4)/MAX(ABS(JB4-JC4),1),1,TRUE,0)</f>
        <v/>
      </c>
    </row>
    <row r="5" spans="1:264" ht="15" thickBot="1" x14ac:dyDescent="0.35">
      <c r="A5" s="22">
        <v>46185</v>
      </c>
      <c r="B5" s="28" t="s">
        <v>36</v>
      </c>
      <c r="C5" s="53" t="str" cm="1">
        <f t="array" ref="C5">_xlfn.LET(
_xlpm.x,_xlfn.XLOOKUP(1,(Scores_Fixtures[Date]=A5)*(Scores_Fixtures[Home.1]=B5),Scores_Fixtures[Score.1],""),
IF(_xlpm.x="","",_xlpm.x)
)</f>
        <v/>
      </c>
      <c r="D5" s="53" t="str" cm="1">
        <f t="array" ref="D5">_xlfn.LET(
_xlpm.x,_xlfn.XLOOKUP(1,(Scores_Fixtures[Date]=A5)*(Scores_Fixtures[Home.1]=B5),Scores_Fixtures[Score.2],""),
IF(_xlpm.x="","",_xlpm.x)
)</f>
        <v/>
      </c>
      <c r="E5" s="12" t="s">
        <v>59</v>
      </c>
      <c r="F5" s="15"/>
      <c r="G5" s="53"/>
      <c r="H5" s="53"/>
      <c r="I5" s="33" t="str" cm="1">
        <f t="array" ref="I5">_xlfn.IFS($D5="","",AND(G5=$C5,H5=$D5),3,($C5-$D5)/MAX(ABS($C5-$D5),1)=(G5-H5)/MAX(ABS(G5-H5),1),1,TRUE,0)</f>
        <v/>
      </c>
      <c r="J5" s="18"/>
      <c r="K5" s="19"/>
      <c r="L5" s="33" t="str" cm="1">
        <f t="array" ref="L5">_xlfn.IFS($D5="","",AND(J5=$C5,K5=$D5),3,($C5-$D5)/MAX(ABS($C5-$D5),1)=(J5-K5)/MAX(ABS(J5-K5),1),1,TRUE,0)</f>
        <v/>
      </c>
      <c r="M5" s="18"/>
      <c r="N5" s="19"/>
      <c r="O5" s="33" t="str" cm="1">
        <f t="array" ref="O5">_xlfn.IFS($D5="","",AND(M5=$C5,N5=$D5),3,($C5-$D5)/MAX(ABS($C5-$D5),1)=(M5-N5)/MAX(ABS(M5-N5),1),1,TRUE,0)</f>
        <v/>
      </c>
      <c r="P5" s="18"/>
      <c r="Q5" s="19"/>
      <c r="R5" s="33" t="str" cm="1">
        <f t="array" ref="R5">_xlfn.IFS($D5="","",AND(P5=$C5,Q5=$D5),3,($C5-$D5)/MAX(ABS($C5-$D5),1)=(P5-Q5)/MAX(ABS(P5-Q5),1),1,TRUE,0)</f>
        <v/>
      </c>
      <c r="S5" s="18"/>
      <c r="T5" s="19"/>
      <c r="U5" s="33" t="str" cm="1">
        <f t="array" ref="U5">_xlfn.IFS($D5="","",AND(S5=$C5,T5=$D5),3,($C5-$D5)/MAX(ABS($C5-$D5),1)=(S5-T5)/MAX(ABS(S5-T5),1),1,TRUE,0)</f>
        <v/>
      </c>
      <c r="V5" s="18"/>
      <c r="W5" s="19"/>
      <c r="X5" s="33" t="str" cm="1">
        <f t="array" ref="X5">_xlfn.IFS($D5="","",AND(V5=$C5,W5=$D5),3,($C5-$D5)/MAX(ABS($C5-$D5),1)=(V5-W5)/MAX(ABS(V5-W5),1),1,TRUE,0)</f>
        <v/>
      </c>
      <c r="Y5" s="18"/>
      <c r="Z5" s="19"/>
      <c r="AA5" s="33" t="str" cm="1">
        <f t="array" ref="AA5">_xlfn.IFS($D5="","",AND(Y5=$C5,Z5=$D5),3,($C5-$D5)/MAX(ABS($C5-$D5),1)=(Y5-Z5)/MAX(ABS(Y5-Z5),1),1,TRUE,0)</f>
        <v/>
      </c>
      <c r="AB5" s="18"/>
      <c r="AC5" s="19"/>
      <c r="AD5" s="33" t="str" cm="1">
        <f t="array" ref="AD5">_xlfn.IFS($D5="","",AND(AB5=$C5,AC5=$D5),3,($C5-$D5)/MAX(ABS($C5-$D5),1)=(AB5-AC5)/MAX(ABS(AB5-AC5),1),1,TRUE,0)</f>
        <v/>
      </c>
      <c r="AE5" s="18"/>
      <c r="AF5" s="19"/>
      <c r="AG5" s="33" t="str" cm="1">
        <f t="array" ref="AG5">_xlfn.IFS($D5="","",AND(AE5=$C5,AF5=$D5),3,($C5-$D5)/MAX(ABS($C5-$D5),1)=(AE5-AF5)/MAX(ABS(AE5-AF5),1),1,TRUE,0)</f>
        <v/>
      </c>
      <c r="AH5" s="18"/>
      <c r="AI5" s="19"/>
      <c r="AJ5" s="33" t="str" cm="1">
        <f t="array" ref="AJ5">_xlfn.IFS($D5="","",AND(AH5=$C5,AI5=$D5),3,($C5-$D5)/MAX(ABS($C5-$D5),1)=(AH5-AI5)/MAX(ABS(AH5-AI5),1),1,TRUE,0)</f>
        <v/>
      </c>
      <c r="AK5" s="18"/>
      <c r="AL5" s="19"/>
      <c r="AM5" s="33" t="str" cm="1">
        <f t="array" ref="AM5">_xlfn.IFS($D5="","",AND(AK5=$C5,AL5=$D5),3,($C5-$D5)/MAX(ABS($C5-$D5),1)=(AK5-AL5)/MAX(ABS(AK5-AL5),1),1,TRUE,0)</f>
        <v/>
      </c>
      <c r="AN5" s="18"/>
      <c r="AO5" s="19"/>
      <c r="AP5" s="33" t="str" cm="1">
        <f t="array" ref="AP5">_xlfn.IFS($D5="","",AND(AN5=$C5,AO5=$D5),3,($C5-$D5)/MAX(ABS($C5-$D5),1)=(AN5-AO5)/MAX(ABS(AN5-AO5),1),1,TRUE,0)</f>
        <v/>
      </c>
      <c r="AQ5" s="18"/>
      <c r="AR5" s="19"/>
      <c r="AS5" s="33" t="str" cm="1">
        <f t="array" ref="AS5">_xlfn.IFS($D5="","",AND(AQ5=$C5,AR5=$D5),3,($C5-$D5)/MAX(ABS($C5-$D5),1)=(AQ5-AR5)/MAX(ABS(AQ5-AR5),1),1,TRUE,0)</f>
        <v/>
      </c>
      <c r="AT5" s="18"/>
      <c r="AU5" s="19"/>
      <c r="AV5" s="33" t="str" cm="1">
        <f t="array" ref="AV5">_xlfn.IFS($D5="","",AND(AT5=$C5,AU5=$D5),3,($C5-$D5)/MAX(ABS($C5-$D5),1)=(AT5-AU5)/MAX(ABS(AT5-AU5),1),1,TRUE,0)</f>
        <v/>
      </c>
      <c r="AW5" s="18"/>
      <c r="AX5" s="19"/>
      <c r="AY5" s="33" t="str" cm="1">
        <f t="array" ref="AY5">_xlfn.IFS($D5="","",AND(AW5=$C5,AX5=$D5),3,($C5-$D5)/MAX(ABS($C5-$D5),1)=(AW5-AX5)/MAX(ABS(AW5-AX5),1),1,TRUE,0)</f>
        <v/>
      </c>
      <c r="AZ5" s="18"/>
      <c r="BA5" s="19"/>
      <c r="BB5" s="33" t="str" cm="1">
        <f t="array" ref="BB5">_xlfn.IFS($D5="","",AND(AZ5=$C5,BA5=$D5),3,($C5-$D5)/MAX(ABS($C5-$D5),1)=(AZ5-BA5)/MAX(ABS(AZ5-BA5),1),1,TRUE,0)</f>
        <v/>
      </c>
      <c r="BC5" s="18"/>
      <c r="BD5" s="19"/>
      <c r="BE5" s="33" t="str" cm="1">
        <f t="array" ref="BE5">_xlfn.IFS($D5="","",AND(BC5=$C5,BD5=$D5),3,($C5-$D5)/MAX(ABS($C5-$D5),1)=(BC5-BD5)/MAX(ABS(BC5-BD5),1),1,TRUE,0)</f>
        <v/>
      </c>
      <c r="BF5" s="18"/>
      <c r="BG5" s="19"/>
      <c r="BH5" s="33" t="str" cm="1">
        <f t="array" ref="BH5">_xlfn.IFS($D5="","",AND(BF5=$C5,BG5=$D5),3,($C5-$D5)/MAX(ABS($C5-$D5),1)=(BF5-BG5)/MAX(ABS(BF5-BG5),1),1,TRUE,0)</f>
        <v/>
      </c>
      <c r="BI5" s="18"/>
      <c r="BJ5" s="19"/>
      <c r="BK5" s="33" t="str" cm="1">
        <f t="array" ref="BK5">_xlfn.IFS($D5="","",AND(BI5=$C5,BJ5=$D5),3,($C5-$D5)/MAX(ABS($C5-$D5),1)=(BI5-BJ5)/MAX(ABS(BI5-BJ5),1),1,TRUE,0)</f>
        <v/>
      </c>
      <c r="BL5" s="18"/>
      <c r="BM5" s="19"/>
      <c r="BN5" s="33" t="str" cm="1">
        <f t="array" ref="BN5">_xlfn.IFS($D5="","",AND(BL5=$C5,BM5=$D5),3,($C5-$D5)/MAX(ABS($C5-$D5),1)=(BL5-BM5)/MAX(ABS(BL5-BM5),1),1,TRUE,0)</f>
        <v/>
      </c>
      <c r="BO5" s="18"/>
      <c r="BP5" s="19"/>
      <c r="BQ5" s="33" t="str" cm="1">
        <f t="array" ref="BQ5">_xlfn.IFS($D5="","",AND(BO5=$C5,BP5=$D5),3,($C5-$D5)/MAX(ABS($C5-$D5),1)=(BO5-BP5)/MAX(ABS(BO5-BP5),1),1,TRUE,0)</f>
        <v/>
      </c>
      <c r="BR5" s="18"/>
      <c r="BS5" s="19"/>
      <c r="BT5" s="33" t="str" cm="1">
        <f t="array" ref="BT5">_xlfn.IFS($D5="","",AND(BR5=$C5,BS5=$D5),3,($C5-$D5)/MAX(ABS($C5-$D5),1)=(BR5-BS5)/MAX(ABS(BR5-BS5),1),1,TRUE,0)</f>
        <v/>
      </c>
      <c r="BU5" s="18"/>
      <c r="BV5" s="19"/>
      <c r="BW5" s="33" t="str" cm="1">
        <f t="array" ref="BW5">_xlfn.IFS($D5="","",AND(BU5=$C5,BV5=$D5),3,($C5-$D5)/MAX(ABS($C5-$D5),1)=(BU5-BV5)/MAX(ABS(BU5-BV5),1),1,TRUE,0)</f>
        <v/>
      </c>
      <c r="BX5" s="18"/>
      <c r="BY5" s="19"/>
      <c r="BZ5" s="33" t="str" cm="1">
        <f t="array" ref="BZ5">_xlfn.IFS($D5="","",AND(BX5=$C5,BY5=$D5),3,($C5-$D5)/MAX(ABS($C5-$D5),1)=(BX5-BY5)/MAX(ABS(BX5-BY5),1),1,TRUE,0)</f>
        <v/>
      </c>
      <c r="CA5" s="18"/>
      <c r="CB5" s="19"/>
      <c r="CC5" s="33" t="str" cm="1">
        <f t="array" ref="CC5">_xlfn.IFS($D5="","",AND(CA5=$C5,CB5=$D5),3,($C5-$D5)/MAX(ABS($C5-$D5),1)=(CA5-CB5)/MAX(ABS(CA5-CB5),1),1,TRUE,0)</f>
        <v/>
      </c>
      <c r="CD5" s="18"/>
      <c r="CE5" s="19"/>
      <c r="CF5" s="33" t="str" cm="1">
        <f t="array" ref="CF5">_xlfn.IFS($D5="","",AND(CD5=$C5,CE5=$D5),3,($C5-$D5)/MAX(ABS($C5-$D5),1)=(CD5-CE5)/MAX(ABS(CD5-CE5),1),1,TRUE,0)</f>
        <v/>
      </c>
      <c r="CG5" s="18"/>
      <c r="CH5" s="19"/>
      <c r="CI5" s="33" t="str" cm="1">
        <f t="array" ref="CI5">_xlfn.IFS($D5="","",AND(CG5=$C5,CH5=$D5),3,($C5-$D5)/MAX(ABS($C5-$D5),1)=(CG5-CH5)/MAX(ABS(CG5-CH5),1),1,TRUE,0)</f>
        <v/>
      </c>
      <c r="CJ5" s="18"/>
      <c r="CK5" s="19"/>
      <c r="CL5" s="33" t="str" cm="1">
        <f t="array" ref="CL5">_xlfn.IFS($D5="","",AND(CJ5=$C5,CK5=$D5),3,($C5-$D5)/MAX(ABS($C5-$D5),1)=(CJ5-CK5)/MAX(ABS(CJ5-CK5),1),1,TRUE,0)</f>
        <v/>
      </c>
      <c r="CM5" s="18"/>
      <c r="CN5" s="19"/>
      <c r="CO5" s="33" t="str" cm="1">
        <f t="array" ref="CO5">_xlfn.IFS($D5="","",AND(CM5=$C5,CN5=$D5),3,($C5-$D5)/MAX(ABS($C5-$D5),1)=(CM5-CN5)/MAX(ABS(CM5-CN5),1),1,TRUE,0)</f>
        <v/>
      </c>
      <c r="CP5" s="18"/>
      <c r="CQ5" s="19"/>
      <c r="CR5" s="33" t="str" cm="1">
        <f t="array" ref="CR5">_xlfn.IFS($D5="","",AND(CP5=$C5,CQ5=$D5),3,($C5-$D5)/MAX(ABS($C5-$D5),1)=(CP5-CQ5)/MAX(ABS(CP5-CQ5),1),1,TRUE,0)</f>
        <v/>
      </c>
      <c r="CS5" s="18"/>
      <c r="CT5" s="19"/>
      <c r="CU5" s="33" t="str" cm="1">
        <f t="array" ref="CU5">_xlfn.IFS($D5="","",AND(CS5=$C5,CT5=$D5),3,($C5-$D5)/MAX(ABS($C5-$D5),1)=(CS5-CT5)/MAX(ABS(CS5-CT5),1),1,TRUE,0)</f>
        <v/>
      </c>
      <c r="CV5" s="18"/>
      <c r="CW5" s="19"/>
      <c r="CX5" s="33" t="str" cm="1">
        <f t="array" ref="CX5">_xlfn.IFS($D5="","",AND(CV5=$C5,CW5=$D5),3,($C5-$D5)/MAX(ABS($C5-$D5),1)=(CV5-CW5)/MAX(ABS(CV5-CW5),1),1,TRUE,0)</f>
        <v/>
      </c>
      <c r="CY5" s="18"/>
      <c r="CZ5" s="19"/>
      <c r="DA5" s="33" t="str" cm="1">
        <f t="array" ref="DA5">_xlfn.IFS($D5="","",AND(CY5=$C5,CZ5=$D5),3,($C5-$D5)/MAX(ABS($C5-$D5),1)=(CY5-CZ5)/MAX(ABS(CY5-CZ5),1),1,TRUE,0)</f>
        <v/>
      </c>
      <c r="DB5" s="37"/>
      <c r="DC5" s="38"/>
      <c r="DD5" s="33" t="str" cm="1">
        <f t="array" ref="DD5">_xlfn.IFS($D5="","",AND(DB5=$C5,DC5=$D5),3,($C5-$D5)/MAX(ABS($C5-$D5),1)=(DB5-DC5)/MAX(ABS(DB5-DC5),1),1,TRUE,0)</f>
        <v/>
      </c>
      <c r="DE5" s="18"/>
      <c r="DF5" s="19"/>
      <c r="DG5" s="33" t="str" cm="1">
        <f t="array" ref="DG5">_xlfn.IFS($D5="","",AND(DE5=$C5,DF5=$D5),3,($C5-$D5)/MAX(ABS($C5-$D5),1)=(DE5-DF5)/MAX(ABS(DE5-DF5),1),1,TRUE,0)</f>
        <v/>
      </c>
      <c r="DH5" s="18"/>
      <c r="DI5" s="19"/>
      <c r="DJ5" s="33" t="str" cm="1">
        <f t="array" ref="DJ5">_xlfn.IFS($D5="","",AND(DH5=$C5,DI5=$D5),3,($C5-$D5)/MAX(ABS($C5-$D5),1)=(DH5-DI5)/MAX(ABS(DH5-DI5),1),1,TRUE,0)</f>
        <v/>
      </c>
      <c r="DK5" s="18"/>
      <c r="DL5" s="19"/>
      <c r="DM5" s="33" t="str" cm="1">
        <f t="array" ref="DM5">_xlfn.IFS($D5="","",AND(DK5=$C5,DL5=$D5),3,($C5-$D5)/MAX(ABS($C5-$D5),1)=(DK5-DL5)/MAX(ABS(DK5-DL5),1),1,TRUE,0)</f>
        <v/>
      </c>
      <c r="DN5" s="18"/>
      <c r="DO5" s="19"/>
      <c r="DP5" s="33" t="str" cm="1">
        <f t="array" ref="DP5">_xlfn.IFS($D5="","",AND(DN5=$C5,DO5=$D5),3,($C5-$D5)/MAX(ABS($C5-$D5),1)=(DN5-DO5)/MAX(ABS(DN5-DO5),1),1,TRUE,0)</f>
        <v/>
      </c>
      <c r="DQ5" s="18"/>
      <c r="DR5" s="19"/>
      <c r="DS5" s="33" t="str" cm="1">
        <f t="array" ref="DS5">_xlfn.IFS($D5="","",AND(DQ5=$C5,DR5=$D5),3,($C5-$D5)/MAX(ABS($C5-$D5),1)=(DQ5-DR5)/MAX(ABS(DQ5-DR5),1),1,TRUE,0)</f>
        <v/>
      </c>
      <c r="DT5" s="18"/>
      <c r="DU5" s="19"/>
      <c r="DV5" s="33" t="str" cm="1">
        <f t="array" ref="DV5">_xlfn.IFS($D5="","",AND(DT5=$C5,DU5=$D5),3,($C5-$D5)/MAX(ABS($C5-$D5),1)=(DT5-DU5)/MAX(ABS(DT5-DU5),1),1,TRUE,0)</f>
        <v/>
      </c>
      <c r="DW5" s="18"/>
      <c r="DX5" s="19"/>
      <c r="DY5" s="33" t="str" cm="1">
        <f t="array" ref="DY5">_xlfn.IFS($D5="","",AND(DW5=$C5,DX5=$D5),3,($C5-$D5)/MAX(ABS($C5-$D5),1)=(DW5-DX5)/MAX(ABS(DW5-DX5),1),1,TRUE,0)</f>
        <v/>
      </c>
      <c r="DZ5" s="18"/>
      <c r="EA5" s="19"/>
      <c r="EB5" s="33" t="str" cm="1">
        <f t="array" ref="EB5">_xlfn.IFS($D5="","",AND(DZ5=$C5,EA5=$D5),3,($C5-$D5)/MAX(ABS($C5-$D5),1)=(DZ5-EA5)/MAX(ABS(DZ5-EA5),1),1,TRUE,0)</f>
        <v/>
      </c>
      <c r="EC5" s="18"/>
      <c r="ED5" s="19"/>
      <c r="EE5" s="33" t="str" cm="1">
        <f t="array" ref="EE5">_xlfn.IFS($D5="","",AND(EC5=$C5,ED5=$D5),3,($C5-$D5)/MAX(ABS($C5-$D5),1)=(EC5-ED5)/MAX(ABS(EC5-ED5),1),1,TRUE,0)</f>
        <v/>
      </c>
      <c r="EF5" s="18"/>
      <c r="EG5" s="19"/>
      <c r="EH5" s="33" t="str" cm="1">
        <f t="array" ref="EH5">_xlfn.IFS($D5="","",AND(EF5=$C5,EG5=$D5),3,($C5-$D5)/MAX(ABS($C5-$D5),1)=(EF5-EG5)/MAX(ABS(EF5-EG5),1),1,TRUE,0)</f>
        <v/>
      </c>
      <c r="EI5" s="43"/>
      <c r="EJ5" s="44"/>
      <c r="EK5" s="33" t="str" cm="1">
        <f t="array" ref="EK5">_xlfn.IFS($D5="","",AND(EI5=$C5,EJ5=$D5),3,($C5-$D5)/MAX(ABS($C5-$D5),1)=(EI5-EJ5)/MAX(ABS(EI5-EJ5),1),1,TRUE,0)</f>
        <v/>
      </c>
      <c r="EL5" s="18"/>
      <c r="EM5" s="19"/>
      <c r="EN5" s="33" t="str" cm="1">
        <f t="array" ref="EN5">_xlfn.IFS($D5="","",AND(EL5=$C5,EM5=$D5),3,($C5-$D5)/MAX(ABS($C5-$D5),1)=(EL5-EM5)/MAX(ABS(EL5-EM5),1),1,TRUE,0)</f>
        <v/>
      </c>
      <c r="EO5" s="18"/>
      <c r="EP5" s="19"/>
      <c r="EQ5" s="33" t="str" cm="1">
        <f t="array" ref="EQ5">_xlfn.IFS($D5="","",AND(EO5=$C5,EP5=$D5),3,($C5-$D5)/MAX(ABS($C5-$D5),1)=(EO5-EP5)/MAX(ABS(EO5-EP5),1),1,TRUE,0)</f>
        <v/>
      </c>
      <c r="ER5" s="18"/>
      <c r="ES5" s="19"/>
      <c r="ET5" s="33" t="str" cm="1">
        <f t="array" ref="ET5">_xlfn.IFS($D5="","",AND(ER5=$C5,ES5=$D5),3,($C5-$D5)/MAX(ABS($C5-$D5),1)=(ER5-ES5)/MAX(ABS(ER5-ES5),1),1,TRUE,0)</f>
        <v/>
      </c>
      <c r="EU5" s="18"/>
      <c r="EV5" s="19"/>
      <c r="EW5" s="33" t="str" cm="1">
        <f t="array" ref="EW5">_xlfn.IFS($D5="","",AND(EU5=$C5,EV5=$D5),3,($C5-$D5)/MAX(ABS($C5-$D5),1)=(EU5-EV5)/MAX(ABS(EU5-EV5),1),1,TRUE,0)</f>
        <v/>
      </c>
      <c r="EX5" s="18"/>
      <c r="EY5" s="19"/>
      <c r="EZ5" s="33" t="str" cm="1">
        <f t="array" ref="EZ5">_xlfn.IFS($D5="","",AND(EX5=$C5,EY5=$D5),3,($C5-$D5)/MAX(ABS($C5-$D5),1)=(EX5-EY5)/MAX(ABS(EX5-EY5),1),1,TRUE,0)</f>
        <v/>
      </c>
      <c r="FA5" s="18"/>
      <c r="FB5" s="19"/>
      <c r="FC5" s="33" t="str" cm="1">
        <f t="array" ref="FC5">_xlfn.IFS($D5="","",AND(FA5=$C5,FB5=$D5),3,($C5-$D5)/MAX(ABS($C5-$D5),1)=(FA5-FB5)/MAX(ABS(FA5-FB5),1),1,TRUE,0)</f>
        <v/>
      </c>
      <c r="FD5" s="18"/>
      <c r="FE5" s="19"/>
      <c r="FF5" s="33" t="str" cm="1">
        <f t="array" ref="FF5">_xlfn.IFS($D5="","",AND(FD5=$C5,FE5=$D5),3,($C5-$D5)/MAX(ABS($C5-$D5),1)=(FD5-FE5)/MAX(ABS(FD5-FE5),1),1,TRUE,0)</f>
        <v/>
      </c>
      <c r="FG5" s="18"/>
      <c r="FH5" s="19"/>
      <c r="FI5" s="33" t="str" cm="1">
        <f t="array" ref="FI5">_xlfn.IFS($D5="","",AND(FG5=$C5,FH5=$D5),3,($C5-$D5)/MAX(ABS($C5-$D5),1)=(FG5-FH5)/MAX(ABS(FG5-FH5),1),1,TRUE,0)</f>
        <v/>
      </c>
      <c r="FJ5" s="18"/>
      <c r="FK5" s="19"/>
      <c r="FL5" s="33" t="str" cm="1">
        <f t="array" ref="FL5">_xlfn.IFS($D5="","",AND(FJ5=$C5,FK5=$D5),3,($C5-$D5)/MAX(ABS($C5-$D5),1)=(FJ5-FK5)/MAX(ABS(FJ5-FK5),1),1,TRUE,0)</f>
        <v/>
      </c>
      <c r="FM5" s="18"/>
      <c r="FN5" s="19"/>
      <c r="FO5" s="33" t="str" cm="1">
        <f t="array" ref="FO5">_xlfn.IFS($D5="","",AND(FM5=$C5,FN5=$D5),3,($C5-$D5)/MAX(ABS($C5-$D5),1)=(FM5-FN5)/MAX(ABS(FM5-FN5),1),1,TRUE,0)</f>
        <v/>
      </c>
      <c r="FP5" s="18"/>
      <c r="FQ5" s="19"/>
      <c r="FR5" s="33" t="str" cm="1">
        <f t="array" ref="FR5">_xlfn.IFS($D5="","",AND(FP5=$C5,FQ5=$D5),3,($C5-$D5)/MAX(ABS($C5-$D5),1)=(FP5-FQ5)/MAX(ABS(FP5-FQ5),1),1,TRUE,0)</f>
        <v/>
      </c>
      <c r="FS5" s="18"/>
      <c r="FT5" s="19"/>
      <c r="FU5" s="33" t="str" cm="1">
        <f t="array" ref="FU5">_xlfn.IFS($D5="","",AND(FS5=$C5,FT5=$D5),3,($C5-$D5)/MAX(ABS($C5-$D5),1)=(FS5-FT5)/MAX(ABS(FS5-FT5),1),1,TRUE,0)</f>
        <v/>
      </c>
      <c r="FV5" s="18"/>
      <c r="FW5" s="19"/>
      <c r="FX5" s="33" t="str" cm="1">
        <f t="array" ref="FX5">_xlfn.IFS($D5="","",AND(FV5=$C5,FW5=$D5),3,($C5-$D5)/MAX(ABS($C5-$D5),1)=(FV5-FW5)/MAX(ABS(FV5-FW5),1),1,TRUE,0)</f>
        <v/>
      </c>
      <c r="FY5" s="18"/>
      <c r="FZ5" s="19"/>
      <c r="GA5" s="33" t="str" cm="1">
        <f t="array" ref="GA5">_xlfn.IFS($D5="","",AND(FY5=$C5,FZ5=$D5),3,($C5-$D5)/MAX(ABS($C5-$D5),1)=(FY5-FZ5)/MAX(ABS(FY5-FZ5),1),1,TRUE,0)</f>
        <v/>
      </c>
      <c r="GB5" s="18"/>
      <c r="GC5" s="19"/>
      <c r="GD5" s="33" t="str" cm="1">
        <f t="array" ref="GD5">_xlfn.IFS($D5="","",AND(GB5=$C5,GC5=$D5),3,($C5-$D5)/MAX(ABS($C5-$D5),1)=(GB5-GC5)/MAX(ABS(GB5-GC5),1),1,TRUE,0)</f>
        <v/>
      </c>
      <c r="GE5" s="47"/>
      <c r="GF5" s="45"/>
      <c r="GG5" s="33" t="str" cm="1">
        <f t="array" ref="GG5">_xlfn.IFS($D5="","",AND(GE5=$C5,GF5=$D5),3,($C5-$D5)/MAX(ABS($C5-$D5),1)=(GE5-GF5)/MAX(ABS(GE5-GF5),1),1,TRUE,0)</f>
        <v/>
      </c>
      <c r="GH5" s="18"/>
      <c r="GI5" s="19"/>
      <c r="GJ5" s="33" t="str" cm="1">
        <f t="array" ref="GJ5">_xlfn.IFS($D5="","",AND(GH5=$C5,GI5=$D5),3,($C5-$D5)/MAX(ABS($C5-$D5),1)=(GH5-GI5)/MAX(ABS(GH5-GI5),1),1,TRUE,0)</f>
        <v/>
      </c>
      <c r="GK5" s="18"/>
      <c r="GL5" s="19"/>
      <c r="GM5" s="33" t="str" cm="1">
        <f t="array" ref="GM5">_xlfn.IFS($D5="","",AND(GK5=$C5,GL5=$D5),3,($C5-$D5)/MAX(ABS($C5-$D5),1)=(GK5-GL5)/MAX(ABS(GK5-GL5),1),1,TRUE,0)</f>
        <v/>
      </c>
      <c r="GN5" s="18"/>
      <c r="GO5" s="19"/>
      <c r="GP5" s="33" t="str" cm="1">
        <f t="array" ref="GP5">_xlfn.IFS($D5="","",AND(GN5=$C5,GO5=$D5),3,($C5-$D5)/MAX(ABS($C5-$D5),1)=(GN5-GO5)/MAX(ABS(GN5-GO5),1),1,TRUE,0)</f>
        <v/>
      </c>
      <c r="GQ5" s="18"/>
      <c r="GR5" s="19"/>
      <c r="GS5" s="33" t="str" cm="1">
        <f t="array" ref="GS5">_xlfn.IFS($D5="","",AND(GQ5=$C5,GR5=$D5),3,($C5-$D5)/MAX(ABS($C5-$D5),1)=(GQ5-GR5)/MAX(ABS(GQ5-GR5),1),1,TRUE,0)</f>
        <v/>
      </c>
      <c r="GT5" s="18"/>
      <c r="GU5" s="19"/>
      <c r="GV5" s="33" t="str" cm="1">
        <f t="array" ref="GV5">_xlfn.IFS($D5="","",AND(GT5=$C5,GU5=$D5),3,($C5-$D5)/MAX(ABS($C5-$D5),1)=(GT5-GU5)/MAX(ABS(GT5-GU5),1),1,TRUE,0)</f>
        <v/>
      </c>
      <c r="GW5" s="18"/>
      <c r="GX5" s="19"/>
      <c r="GY5" s="33" t="str" cm="1">
        <f t="array" ref="GY5">_xlfn.IFS($D5="","",AND(GW5=$C5,GX5=$D5),3,($C5-$D5)/MAX(ABS($C5-$D5),1)=(GW5-GX5)/MAX(ABS(GW5-GX5),1),1,TRUE,0)</f>
        <v/>
      </c>
      <c r="GZ5" s="18"/>
      <c r="HA5" s="19"/>
      <c r="HB5" s="33" t="str" cm="1">
        <f t="array" ref="HB5">_xlfn.IFS($D5="","",AND(GZ5=$C5,HA5=$D5),3,($C5-$D5)/MAX(ABS($C5-$D5),1)=(GZ5-HA5)/MAX(ABS(GZ5-HA5),1),1,TRUE,0)</f>
        <v/>
      </c>
      <c r="HC5" s="18"/>
      <c r="HD5" s="19"/>
      <c r="HE5" s="33" t="str" cm="1">
        <f t="array" ref="HE5">_xlfn.IFS($D5="","",AND(HC5=$C5,HD5=$D5),3,($C5-$D5)/MAX(ABS($C5-$D5),1)=(HC5-HD5)/MAX(ABS(HC5-HD5),1),1,TRUE,0)</f>
        <v/>
      </c>
      <c r="HF5" s="18"/>
      <c r="HG5" s="19"/>
      <c r="HH5" s="33" t="str" cm="1">
        <f t="array" ref="HH5">_xlfn.IFS($D5="","",AND(HF5=$C5,HG5=$D5),3,($C5-$D5)/MAX(ABS($C5-$D5),1)=(HF5-HG5)/MAX(ABS(HF5-HG5),1),1,TRUE,0)</f>
        <v/>
      </c>
      <c r="HI5" s="18"/>
      <c r="HJ5" s="19"/>
      <c r="HK5" s="33" t="str" cm="1">
        <f t="array" ref="HK5">_xlfn.IFS($D5="","",AND(HI5=$C5,HJ5=$D5),3,($C5-$D5)/MAX(ABS($C5-$D5),1)=(HI5-HJ5)/MAX(ABS(HI5-HJ5),1),1,TRUE,0)</f>
        <v/>
      </c>
      <c r="HL5" s="18"/>
      <c r="HM5" s="19"/>
      <c r="HN5" s="33" t="str" cm="1">
        <f t="array" ref="HN5">_xlfn.IFS($D5="","",AND(HL5=$C5,HM5=$D5),3,($C5-$D5)/MAX(ABS($C5-$D5),1)=(HL5-HM5)/MAX(ABS(HL5-HM5),1),1,TRUE,0)</f>
        <v/>
      </c>
      <c r="HO5" s="18"/>
      <c r="HP5" s="19"/>
      <c r="HQ5" s="33" t="str" cm="1">
        <f t="array" ref="HQ5">_xlfn.IFS($D5="","",AND(HO5=$C5,HP5=$D5),3,($C5-$D5)/MAX(ABS($C5-$D5),1)=(HO5-HP5)/MAX(ABS(HO5-HP5),1),1,TRUE,0)</f>
        <v/>
      </c>
      <c r="HR5" s="18"/>
      <c r="HS5" s="19"/>
      <c r="HT5" s="33" t="str" cm="1">
        <f t="array" ref="HT5">_xlfn.IFS($D5="","",AND(HR5=$C5,HS5=$D5),3,($C5-$D5)/MAX(ABS($C5-$D5),1)=(HR5-HS5)/MAX(ABS(HR5-HS5),1),1,TRUE,0)</f>
        <v/>
      </c>
      <c r="HU5" s="18"/>
      <c r="HV5" s="19"/>
      <c r="HW5" s="33" t="str" cm="1">
        <f t="array" ref="HW5">_xlfn.IFS($D5="","",AND(HU5=$C5,HV5=$D5),3,($C5-$D5)/MAX(ABS($C5-$D5),1)=(HU5-HV5)/MAX(ABS(HU5-HV5),1),1,TRUE,0)</f>
        <v/>
      </c>
      <c r="HX5" s="18"/>
      <c r="HY5" s="19"/>
      <c r="HZ5" s="33" t="str" cm="1">
        <f t="array" ref="HZ5">_xlfn.IFS($D5="","",AND(HX5=$C5,HY5=$D5),3,($C5-$D5)/MAX(ABS($C5-$D5),1)=(HX5-HY5)/MAX(ABS(HX5-HY5),1),1,TRUE,0)</f>
        <v/>
      </c>
      <c r="IA5" s="18"/>
      <c r="IB5" s="19"/>
      <c r="IC5" s="33" t="str" cm="1">
        <f t="array" ref="IC5">_xlfn.IFS($D5="","",AND(IA5=$C5,IB5=$D5),3,($C5-$D5)/MAX(ABS($C5-$D5),1)=(IA5-IB5)/MAX(ABS(IA5-IB5),1),1,TRUE,0)</f>
        <v/>
      </c>
      <c r="ID5" s="18"/>
      <c r="IE5" s="19"/>
      <c r="IF5" s="33" t="str" cm="1">
        <f t="array" ref="IF5">_xlfn.IFS($D5="","",AND(ID5=$C5,IE5=$D5),3,($C5-$D5)/MAX(ABS($C5-$D5),1)=(ID5-IE5)/MAX(ABS(ID5-IE5),1),1,TRUE,0)</f>
        <v/>
      </c>
      <c r="IG5" s="18"/>
      <c r="IH5" s="19"/>
      <c r="II5" s="33" t="str" cm="1">
        <f t="array" ref="II5">_xlfn.IFS($D5="","",AND(IG5=$C5,IH5=$D5),3,($C5-$D5)/MAX(ABS($C5-$D5),1)=(IG5-IH5)/MAX(ABS(IG5-IH5),1),1,TRUE,0)</f>
        <v/>
      </c>
      <c r="IJ5" s="18"/>
      <c r="IK5" s="19"/>
      <c r="IL5" s="33" t="str" cm="1">
        <f t="array" ref="IL5">_xlfn.IFS($D5="","",AND(IJ5=$C5,IK5=$D5),3,($C5-$D5)/MAX(ABS($C5-$D5),1)=(IJ5-IK5)/MAX(ABS(IJ5-IK5),1),1,TRUE,0)</f>
        <v/>
      </c>
      <c r="IM5" s="18"/>
      <c r="IN5" s="19"/>
      <c r="IO5" s="33" t="str" cm="1">
        <f t="array" ref="IO5">_xlfn.IFS($D5="","",AND(IM5=$C5,IN5=$D5),3,($C5-$D5)/MAX(ABS($C5-$D5),1)=(IM5-IN5)/MAX(ABS(IM5-IN5),1),1,TRUE,0)</f>
        <v/>
      </c>
      <c r="IP5" s="18"/>
      <c r="IQ5" s="19"/>
      <c r="IR5" s="33" t="str" cm="1">
        <f t="array" ref="IR5">_xlfn.IFS($D5="","",AND(IP5=$C5,IQ5=$D5),3,($C5-$D5)/MAX(ABS($C5-$D5),1)=(IP5-IQ5)/MAX(ABS(IP5-IQ5),1),1,TRUE,0)</f>
        <v/>
      </c>
      <c r="IS5" s="18"/>
      <c r="IT5" s="19"/>
      <c r="IU5" s="33" t="str" cm="1">
        <f t="array" ref="IU5">_xlfn.IFS($D5="","",AND(IS5=$C5,IT5=$D5),3,($C5-$D5)/MAX(ABS($C5-$D5),1)=(IS5-IT5)/MAX(ABS(IS5-IT5),1),1,TRUE,0)</f>
        <v/>
      </c>
      <c r="IV5" s="18"/>
      <c r="IW5" s="19"/>
      <c r="IX5" s="33" t="str" cm="1">
        <f t="array" ref="IX5">_xlfn.IFS($D5="","",AND(IV5=$C5,IW5=$D5),3,($C5-$D5)/MAX(ABS($C5-$D5),1)=(IV5-IW5)/MAX(ABS(IV5-IW5),1),1,TRUE,0)</f>
        <v/>
      </c>
      <c r="IY5" s="18"/>
      <c r="IZ5" s="19"/>
      <c r="JA5" s="33" t="str" cm="1">
        <f t="array" ref="JA5">_xlfn.IFS($D5="","",AND(IY5=$C5,IZ5=$D5),3,($C5-$D5)/MAX(ABS($C5-$D5),1)=(IY5-IZ5)/MAX(ABS(IY5-IZ5),1),1,TRUE,0)</f>
        <v/>
      </c>
      <c r="JB5" s="18"/>
      <c r="JC5" s="19"/>
      <c r="JD5" s="33" t="str" cm="1">
        <f t="array" ref="JD5">_xlfn.IFS($D5="","",AND(JB5=$C5,JC5=$D5),3,($C5-$D5)/MAX(ABS($C5-$D5),1)=(JB5-JC5)/MAX(ABS(JB5-JC5),1),1,TRUE,0)</f>
        <v/>
      </c>
    </row>
    <row r="6" spans="1:264" ht="15" thickBot="1" x14ac:dyDescent="0.35">
      <c r="A6" s="22">
        <v>46186</v>
      </c>
      <c r="B6" s="28" t="s">
        <v>37</v>
      </c>
      <c r="C6" s="53" t="str" cm="1">
        <f t="array" ref="C6">_xlfn.LET(
_xlpm.x,_xlfn.XLOOKUP(1,(Scores_Fixtures[Date]=A6)*(Scores_Fixtures[Home.1]=B6),Scores_Fixtures[Score.1],""),
IF(_xlpm.x="","",_xlpm.x)
)</f>
        <v/>
      </c>
      <c r="D6" s="53" t="str" cm="1">
        <f t="array" ref="D6">_xlfn.LET(
_xlpm.x,_xlfn.XLOOKUP(1,(Scores_Fixtures[Date]=A6)*(Scores_Fixtures[Home.1]=B6),Scores_Fixtures[Score.2],""),
IF(_xlpm.x="","",_xlpm.x)
)</f>
        <v/>
      </c>
      <c r="E6" s="12" t="s">
        <v>64</v>
      </c>
      <c r="F6" s="15"/>
      <c r="G6" s="53"/>
      <c r="H6" s="53"/>
      <c r="I6" s="33" t="str" cm="1">
        <f t="array" ref="I6">_xlfn.IFS($D6="","",AND(G6=$C6,H6=$D6),3,($C6-$D6)/MAX(ABS($C6-$D6),1)=(G6-H6)/MAX(ABS(G6-H6),1),1,TRUE,0)</f>
        <v/>
      </c>
      <c r="J6" s="18"/>
      <c r="K6" s="19"/>
      <c r="L6" s="33" t="str" cm="1">
        <f t="array" ref="L6">_xlfn.IFS($D6="","",AND(J6=$C6,K6=$D6),3,($C6-$D6)/MAX(ABS($C6-$D6),1)=(J6-K6)/MAX(ABS(J6-K6),1),1,TRUE,0)</f>
        <v/>
      </c>
      <c r="M6" s="18"/>
      <c r="N6" s="19"/>
      <c r="O6" s="33" t="str" cm="1">
        <f t="array" ref="O6">_xlfn.IFS($D6="","",AND(M6=$C6,N6=$D6),3,($C6-$D6)/MAX(ABS($C6-$D6),1)=(M6-N6)/MAX(ABS(M6-N6),1),1,TRUE,0)</f>
        <v/>
      </c>
      <c r="P6" s="18"/>
      <c r="Q6" s="19"/>
      <c r="R6" s="33" t="str" cm="1">
        <f t="array" ref="R6">_xlfn.IFS($D6="","",AND(P6=$C6,Q6=$D6),3,($C6-$D6)/MAX(ABS($C6-$D6),1)=(P6-Q6)/MAX(ABS(P6-Q6),1),1,TRUE,0)</f>
        <v/>
      </c>
      <c r="S6" s="18"/>
      <c r="T6" s="19"/>
      <c r="U6" s="33" t="str" cm="1">
        <f t="array" ref="U6">_xlfn.IFS($D6="","",AND(S6=$C6,T6=$D6),3,($C6-$D6)/MAX(ABS($C6-$D6),1)=(S6-T6)/MAX(ABS(S6-T6),1),1,TRUE,0)</f>
        <v/>
      </c>
      <c r="V6" s="18"/>
      <c r="W6" s="19"/>
      <c r="X6" s="33" t="str" cm="1">
        <f t="array" ref="X6">_xlfn.IFS($D6="","",AND(V6=$C6,W6=$D6),3,($C6-$D6)/MAX(ABS($C6-$D6),1)=(V6-W6)/MAX(ABS(V6-W6),1),1,TRUE,0)</f>
        <v/>
      </c>
      <c r="Y6" s="18"/>
      <c r="Z6" s="19"/>
      <c r="AA6" s="33" t="str" cm="1">
        <f t="array" ref="AA6">_xlfn.IFS($D6="","",AND(Y6=$C6,Z6=$D6),3,($C6-$D6)/MAX(ABS($C6-$D6),1)=(Y6-Z6)/MAX(ABS(Y6-Z6),1),1,TRUE,0)</f>
        <v/>
      </c>
      <c r="AB6" s="18"/>
      <c r="AC6" s="19"/>
      <c r="AD6" s="33" t="str" cm="1">
        <f t="array" ref="AD6">_xlfn.IFS($D6="","",AND(AB6=$C6,AC6=$D6),3,($C6-$D6)/MAX(ABS($C6-$D6),1)=(AB6-AC6)/MAX(ABS(AB6-AC6),1),1,TRUE,0)</f>
        <v/>
      </c>
      <c r="AE6" s="18"/>
      <c r="AF6" s="19"/>
      <c r="AG6" s="33" t="str" cm="1">
        <f t="array" ref="AG6">_xlfn.IFS($D6="","",AND(AE6=$C6,AF6=$D6),3,($C6-$D6)/MAX(ABS($C6-$D6),1)=(AE6-AF6)/MAX(ABS(AE6-AF6),1),1,TRUE,0)</f>
        <v/>
      </c>
      <c r="AH6" s="18"/>
      <c r="AI6" s="19"/>
      <c r="AJ6" s="33" t="str" cm="1">
        <f t="array" ref="AJ6">_xlfn.IFS($D6="","",AND(AH6=$C6,AI6=$D6),3,($C6-$D6)/MAX(ABS($C6-$D6),1)=(AH6-AI6)/MAX(ABS(AH6-AI6),1),1,TRUE,0)</f>
        <v/>
      </c>
      <c r="AK6" s="18"/>
      <c r="AL6" s="19"/>
      <c r="AM6" s="33" t="str" cm="1">
        <f t="array" ref="AM6">_xlfn.IFS($D6="","",AND(AK6=$C6,AL6=$D6),3,($C6-$D6)/MAX(ABS($C6-$D6),1)=(AK6-AL6)/MAX(ABS(AK6-AL6),1),1,TRUE,0)</f>
        <v/>
      </c>
      <c r="AN6" s="18"/>
      <c r="AO6" s="19"/>
      <c r="AP6" s="33" t="str" cm="1">
        <f t="array" ref="AP6">_xlfn.IFS($D6="","",AND(AN6=$C6,AO6=$D6),3,($C6-$D6)/MAX(ABS($C6-$D6),1)=(AN6-AO6)/MAX(ABS(AN6-AO6),1),1,TRUE,0)</f>
        <v/>
      </c>
      <c r="AQ6" s="18"/>
      <c r="AR6" s="19"/>
      <c r="AS6" s="33" t="str" cm="1">
        <f t="array" ref="AS6">_xlfn.IFS($D6="","",AND(AQ6=$C6,AR6=$D6),3,($C6-$D6)/MAX(ABS($C6-$D6),1)=(AQ6-AR6)/MAX(ABS(AQ6-AR6),1),1,TRUE,0)</f>
        <v/>
      </c>
      <c r="AT6" s="18"/>
      <c r="AU6" s="19"/>
      <c r="AV6" s="33" t="str" cm="1">
        <f t="array" ref="AV6">_xlfn.IFS($D6="","",AND(AT6=$C6,AU6=$D6),3,($C6-$D6)/MAX(ABS($C6-$D6),1)=(AT6-AU6)/MAX(ABS(AT6-AU6),1),1,TRUE,0)</f>
        <v/>
      </c>
      <c r="AW6" s="18"/>
      <c r="AX6" s="19"/>
      <c r="AY6" s="33" t="str" cm="1">
        <f t="array" ref="AY6">_xlfn.IFS($D6="","",AND(AW6=$C6,AX6=$D6),3,($C6-$D6)/MAX(ABS($C6-$D6),1)=(AW6-AX6)/MAX(ABS(AW6-AX6),1),1,TRUE,0)</f>
        <v/>
      </c>
      <c r="AZ6" s="18"/>
      <c r="BA6" s="19"/>
      <c r="BB6" s="33" t="str" cm="1">
        <f t="array" ref="BB6">_xlfn.IFS($D6="","",AND(AZ6=$C6,BA6=$D6),3,($C6-$D6)/MAX(ABS($C6-$D6),1)=(AZ6-BA6)/MAX(ABS(AZ6-BA6),1),1,TRUE,0)</f>
        <v/>
      </c>
      <c r="BC6" s="18"/>
      <c r="BD6" s="19"/>
      <c r="BE6" s="33" t="str" cm="1">
        <f t="array" ref="BE6">_xlfn.IFS($D6="","",AND(BC6=$C6,BD6=$D6),3,($C6-$D6)/MAX(ABS($C6-$D6),1)=(BC6-BD6)/MAX(ABS(BC6-BD6),1),1,TRUE,0)</f>
        <v/>
      </c>
      <c r="BF6" s="18"/>
      <c r="BG6" s="19"/>
      <c r="BH6" s="33" t="str" cm="1">
        <f t="array" ref="BH6">_xlfn.IFS($D6="","",AND(BF6=$C6,BG6=$D6),3,($C6-$D6)/MAX(ABS($C6-$D6),1)=(BF6-BG6)/MAX(ABS(BF6-BG6),1),1,TRUE,0)</f>
        <v/>
      </c>
      <c r="BI6" s="18"/>
      <c r="BJ6" s="19"/>
      <c r="BK6" s="33" t="str" cm="1">
        <f t="array" ref="BK6">_xlfn.IFS($D6="","",AND(BI6=$C6,BJ6=$D6),3,($C6-$D6)/MAX(ABS($C6-$D6),1)=(BI6-BJ6)/MAX(ABS(BI6-BJ6),1),1,TRUE,0)</f>
        <v/>
      </c>
      <c r="BL6" s="18"/>
      <c r="BM6" s="19"/>
      <c r="BN6" s="33" t="str" cm="1">
        <f t="array" ref="BN6">_xlfn.IFS($D6="","",AND(BL6=$C6,BM6=$D6),3,($C6-$D6)/MAX(ABS($C6-$D6),1)=(BL6-BM6)/MAX(ABS(BL6-BM6),1),1,TRUE,0)</f>
        <v/>
      </c>
      <c r="BO6" s="18"/>
      <c r="BP6" s="19"/>
      <c r="BQ6" s="33" t="str" cm="1">
        <f t="array" ref="BQ6">_xlfn.IFS($D6="","",AND(BO6=$C6,BP6=$D6),3,($C6-$D6)/MAX(ABS($C6-$D6),1)=(BO6-BP6)/MAX(ABS(BO6-BP6),1),1,TRUE,0)</f>
        <v/>
      </c>
      <c r="BR6" s="18"/>
      <c r="BS6" s="19"/>
      <c r="BT6" s="33" t="str" cm="1">
        <f t="array" ref="BT6">_xlfn.IFS($D6="","",AND(BR6=$C6,BS6=$D6),3,($C6-$D6)/MAX(ABS($C6-$D6),1)=(BR6-BS6)/MAX(ABS(BR6-BS6),1),1,TRUE,0)</f>
        <v/>
      </c>
      <c r="BU6" s="18"/>
      <c r="BV6" s="19"/>
      <c r="BW6" s="33" t="str" cm="1">
        <f t="array" ref="BW6">_xlfn.IFS($D6="","",AND(BU6=$C6,BV6=$D6),3,($C6-$D6)/MAX(ABS($C6-$D6),1)=(BU6-BV6)/MAX(ABS(BU6-BV6),1),1,TRUE,0)</f>
        <v/>
      </c>
      <c r="BX6" s="18"/>
      <c r="BY6" s="19"/>
      <c r="BZ6" s="33" t="str" cm="1">
        <f t="array" ref="BZ6">_xlfn.IFS($D6="","",AND(BX6=$C6,BY6=$D6),3,($C6-$D6)/MAX(ABS($C6-$D6),1)=(BX6-BY6)/MAX(ABS(BX6-BY6),1),1,TRUE,0)</f>
        <v/>
      </c>
      <c r="CA6" s="18"/>
      <c r="CB6" s="19"/>
      <c r="CC6" s="33" t="str" cm="1">
        <f t="array" ref="CC6">_xlfn.IFS($D6="","",AND(CA6=$C6,CB6=$D6),3,($C6-$D6)/MAX(ABS($C6-$D6),1)=(CA6-CB6)/MAX(ABS(CA6-CB6),1),1,TRUE,0)</f>
        <v/>
      </c>
      <c r="CD6" s="18"/>
      <c r="CE6" s="19"/>
      <c r="CF6" s="33" t="str" cm="1">
        <f t="array" ref="CF6">_xlfn.IFS($D6="","",AND(CD6=$C6,CE6=$D6),3,($C6-$D6)/MAX(ABS($C6-$D6),1)=(CD6-CE6)/MAX(ABS(CD6-CE6),1),1,TRUE,0)</f>
        <v/>
      </c>
      <c r="CG6" s="18"/>
      <c r="CH6" s="19"/>
      <c r="CI6" s="33" t="str" cm="1">
        <f t="array" ref="CI6">_xlfn.IFS($D6="","",AND(CG6=$C6,CH6=$D6),3,($C6-$D6)/MAX(ABS($C6-$D6),1)=(CG6-CH6)/MAX(ABS(CG6-CH6),1),1,TRUE,0)</f>
        <v/>
      </c>
      <c r="CJ6" s="18"/>
      <c r="CK6" s="19"/>
      <c r="CL6" s="33" t="str" cm="1">
        <f t="array" ref="CL6">_xlfn.IFS($D6="","",AND(CJ6=$C6,CK6=$D6),3,($C6-$D6)/MAX(ABS($C6-$D6),1)=(CJ6-CK6)/MAX(ABS(CJ6-CK6),1),1,TRUE,0)</f>
        <v/>
      </c>
      <c r="CM6" s="18"/>
      <c r="CN6" s="19"/>
      <c r="CO6" s="33" t="str" cm="1">
        <f t="array" ref="CO6">_xlfn.IFS($D6="","",AND(CM6=$C6,CN6=$D6),3,($C6-$D6)/MAX(ABS($C6-$D6),1)=(CM6-CN6)/MAX(ABS(CM6-CN6),1),1,TRUE,0)</f>
        <v/>
      </c>
      <c r="CP6" s="18"/>
      <c r="CQ6" s="19"/>
      <c r="CR6" s="33" t="str" cm="1">
        <f t="array" ref="CR6">_xlfn.IFS($D6="","",AND(CP6=$C6,CQ6=$D6),3,($C6-$D6)/MAX(ABS($C6-$D6),1)=(CP6-CQ6)/MAX(ABS(CP6-CQ6),1),1,TRUE,0)</f>
        <v/>
      </c>
      <c r="CS6" s="18"/>
      <c r="CT6" s="19"/>
      <c r="CU6" s="33" t="str" cm="1">
        <f t="array" ref="CU6">_xlfn.IFS($D6="","",AND(CS6=$C6,CT6=$D6),3,($C6-$D6)/MAX(ABS($C6-$D6),1)=(CS6-CT6)/MAX(ABS(CS6-CT6),1),1,TRUE,0)</f>
        <v/>
      </c>
      <c r="CV6" s="18"/>
      <c r="CW6" s="19"/>
      <c r="CX6" s="33" t="str" cm="1">
        <f t="array" ref="CX6">_xlfn.IFS($D6="","",AND(CV6=$C6,CW6=$D6),3,($C6-$D6)/MAX(ABS($C6-$D6),1)=(CV6-CW6)/MAX(ABS(CV6-CW6),1),1,TRUE,0)</f>
        <v/>
      </c>
      <c r="CY6" s="18"/>
      <c r="CZ6" s="19"/>
      <c r="DA6" s="33" t="str" cm="1">
        <f t="array" ref="DA6">_xlfn.IFS($D6="","",AND(CY6=$C6,CZ6=$D6),3,($C6-$D6)/MAX(ABS($C6-$D6),1)=(CY6-CZ6)/MAX(ABS(CY6-CZ6),1),1,TRUE,0)</f>
        <v/>
      </c>
      <c r="DB6" s="37"/>
      <c r="DC6" s="38"/>
      <c r="DD6" s="33" t="str" cm="1">
        <f t="array" ref="DD6">_xlfn.IFS($D6="","",AND(DB6=$C6,DC6=$D6),3,($C6-$D6)/MAX(ABS($C6-$D6),1)=(DB6-DC6)/MAX(ABS(DB6-DC6),1),1,TRUE,0)</f>
        <v/>
      </c>
      <c r="DE6" s="18"/>
      <c r="DF6" s="19"/>
      <c r="DG6" s="33" t="str" cm="1">
        <f t="array" ref="DG6">_xlfn.IFS($D6="","",AND(DE6=$C6,DF6=$D6),3,($C6-$D6)/MAX(ABS($C6-$D6),1)=(DE6-DF6)/MAX(ABS(DE6-DF6),1),1,TRUE,0)</f>
        <v/>
      </c>
      <c r="DH6" s="18"/>
      <c r="DI6" s="19"/>
      <c r="DJ6" s="33" t="str" cm="1">
        <f t="array" ref="DJ6">_xlfn.IFS($D6="","",AND(DH6=$C6,DI6=$D6),3,($C6-$D6)/MAX(ABS($C6-$D6),1)=(DH6-DI6)/MAX(ABS(DH6-DI6),1),1,TRUE,0)</f>
        <v/>
      </c>
      <c r="DK6" s="18"/>
      <c r="DL6" s="19"/>
      <c r="DM6" s="33" t="str" cm="1">
        <f t="array" ref="DM6">_xlfn.IFS($D6="","",AND(DK6=$C6,DL6=$D6),3,($C6-$D6)/MAX(ABS($C6-$D6),1)=(DK6-DL6)/MAX(ABS(DK6-DL6),1),1,TRUE,0)</f>
        <v/>
      </c>
      <c r="DN6" s="18"/>
      <c r="DO6" s="19"/>
      <c r="DP6" s="33" t="str" cm="1">
        <f t="array" ref="DP6">_xlfn.IFS($D6="","",AND(DN6=$C6,DO6=$D6),3,($C6-$D6)/MAX(ABS($C6-$D6),1)=(DN6-DO6)/MAX(ABS(DN6-DO6),1),1,TRUE,0)</f>
        <v/>
      </c>
      <c r="DQ6" s="18"/>
      <c r="DR6" s="19"/>
      <c r="DS6" s="33" t="str" cm="1">
        <f t="array" ref="DS6">_xlfn.IFS($D6="","",AND(DQ6=$C6,DR6=$D6),3,($C6-$D6)/MAX(ABS($C6-$D6),1)=(DQ6-DR6)/MAX(ABS(DQ6-DR6),1),1,TRUE,0)</f>
        <v/>
      </c>
      <c r="DT6" s="18"/>
      <c r="DU6" s="19"/>
      <c r="DV6" s="33" t="str" cm="1">
        <f t="array" ref="DV6">_xlfn.IFS($D6="","",AND(DT6=$C6,DU6=$D6),3,($C6-$D6)/MAX(ABS($C6-$D6),1)=(DT6-DU6)/MAX(ABS(DT6-DU6),1),1,TRUE,0)</f>
        <v/>
      </c>
      <c r="DW6" s="18"/>
      <c r="DX6" s="19"/>
      <c r="DY6" s="33" t="str" cm="1">
        <f t="array" ref="DY6">_xlfn.IFS($D6="","",AND(DW6=$C6,DX6=$D6),3,($C6-$D6)/MAX(ABS($C6-$D6),1)=(DW6-DX6)/MAX(ABS(DW6-DX6),1),1,TRUE,0)</f>
        <v/>
      </c>
      <c r="DZ6" s="18"/>
      <c r="EA6" s="19"/>
      <c r="EB6" s="33" t="str" cm="1">
        <f t="array" ref="EB6">_xlfn.IFS($D6="","",AND(DZ6=$C6,EA6=$D6),3,($C6-$D6)/MAX(ABS($C6-$D6),1)=(DZ6-EA6)/MAX(ABS(DZ6-EA6),1),1,TRUE,0)</f>
        <v/>
      </c>
      <c r="EC6" s="18"/>
      <c r="ED6" s="19"/>
      <c r="EE6" s="33" t="str" cm="1">
        <f t="array" ref="EE6">_xlfn.IFS($D6="","",AND(EC6=$C6,ED6=$D6),3,($C6-$D6)/MAX(ABS($C6-$D6),1)=(EC6-ED6)/MAX(ABS(EC6-ED6),1),1,TRUE,0)</f>
        <v/>
      </c>
      <c r="EF6" s="18"/>
      <c r="EG6" s="19"/>
      <c r="EH6" s="33" t="str" cm="1">
        <f t="array" ref="EH6">_xlfn.IFS($D6="","",AND(EF6=$C6,EG6=$D6),3,($C6-$D6)/MAX(ABS($C6-$D6),1)=(EF6-EG6)/MAX(ABS(EF6-EG6),1),1,TRUE,0)</f>
        <v/>
      </c>
      <c r="EI6" s="43"/>
      <c r="EJ6" s="44"/>
      <c r="EK6" s="33" t="str" cm="1">
        <f t="array" ref="EK6">_xlfn.IFS($D6="","",AND(EI6=$C6,EJ6=$D6),3,($C6-$D6)/MAX(ABS($C6-$D6),1)=(EI6-EJ6)/MAX(ABS(EI6-EJ6),1),1,TRUE,0)</f>
        <v/>
      </c>
      <c r="EL6" s="18"/>
      <c r="EM6" s="19"/>
      <c r="EN6" s="33" t="str" cm="1">
        <f t="array" ref="EN6">_xlfn.IFS($D6="","",AND(EL6=$C6,EM6=$D6),3,($C6-$D6)/MAX(ABS($C6-$D6),1)=(EL6-EM6)/MAX(ABS(EL6-EM6),1),1,TRUE,0)</f>
        <v/>
      </c>
      <c r="EO6" s="18"/>
      <c r="EP6" s="19"/>
      <c r="EQ6" s="33" t="str" cm="1">
        <f t="array" ref="EQ6">_xlfn.IFS($D6="","",AND(EO6=$C6,EP6=$D6),3,($C6-$D6)/MAX(ABS($C6-$D6),1)=(EO6-EP6)/MAX(ABS(EO6-EP6),1),1,TRUE,0)</f>
        <v/>
      </c>
      <c r="ER6" s="18"/>
      <c r="ES6" s="19"/>
      <c r="ET6" s="33" t="str" cm="1">
        <f t="array" ref="ET6">_xlfn.IFS($D6="","",AND(ER6=$C6,ES6=$D6),3,($C6-$D6)/MAX(ABS($C6-$D6),1)=(ER6-ES6)/MAX(ABS(ER6-ES6),1),1,TRUE,0)</f>
        <v/>
      </c>
      <c r="EU6" s="18"/>
      <c r="EV6" s="19"/>
      <c r="EW6" s="33" t="str" cm="1">
        <f t="array" ref="EW6">_xlfn.IFS($D6="","",AND(EU6=$C6,EV6=$D6),3,($C6-$D6)/MAX(ABS($C6-$D6),1)=(EU6-EV6)/MAX(ABS(EU6-EV6),1),1,TRUE,0)</f>
        <v/>
      </c>
      <c r="EX6" s="18"/>
      <c r="EY6" s="19"/>
      <c r="EZ6" s="33" t="str" cm="1">
        <f t="array" ref="EZ6">_xlfn.IFS($D6="","",AND(EX6=$C6,EY6=$D6),3,($C6-$D6)/MAX(ABS($C6-$D6),1)=(EX6-EY6)/MAX(ABS(EX6-EY6),1),1,TRUE,0)</f>
        <v/>
      </c>
      <c r="FA6" s="18"/>
      <c r="FB6" s="19"/>
      <c r="FC6" s="33" t="str" cm="1">
        <f t="array" ref="FC6">_xlfn.IFS($D6="","",AND(FA6=$C6,FB6=$D6),3,($C6-$D6)/MAX(ABS($C6-$D6),1)=(FA6-FB6)/MAX(ABS(FA6-FB6),1),1,TRUE,0)</f>
        <v/>
      </c>
      <c r="FD6" s="18"/>
      <c r="FE6" s="19"/>
      <c r="FF6" s="33" t="str" cm="1">
        <f t="array" ref="FF6">_xlfn.IFS($D6="","",AND(FD6=$C6,FE6=$D6),3,($C6-$D6)/MAX(ABS($C6-$D6),1)=(FD6-FE6)/MAX(ABS(FD6-FE6),1),1,TRUE,0)</f>
        <v/>
      </c>
      <c r="FG6" s="18"/>
      <c r="FH6" s="19"/>
      <c r="FI6" s="33" t="str" cm="1">
        <f t="array" ref="FI6">_xlfn.IFS($D6="","",AND(FG6=$C6,FH6=$D6),3,($C6-$D6)/MAX(ABS($C6-$D6),1)=(FG6-FH6)/MAX(ABS(FG6-FH6),1),1,TRUE,0)</f>
        <v/>
      </c>
      <c r="FJ6" s="18"/>
      <c r="FK6" s="19"/>
      <c r="FL6" s="33" t="str" cm="1">
        <f t="array" ref="FL6">_xlfn.IFS($D6="","",AND(FJ6=$C6,FK6=$D6),3,($C6-$D6)/MAX(ABS($C6-$D6),1)=(FJ6-FK6)/MAX(ABS(FJ6-FK6),1),1,TRUE,0)</f>
        <v/>
      </c>
      <c r="FM6" s="18"/>
      <c r="FN6" s="19"/>
      <c r="FO6" s="33" t="str" cm="1">
        <f t="array" ref="FO6">_xlfn.IFS($D6="","",AND(FM6=$C6,FN6=$D6),3,($C6-$D6)/MAX(ABS($C6-$D6),1)=(FM6-FN6)/MAX(ABS(FM6-FN6),1),1,TRUE,0)</f>
        <v/>
      </c>
      <c r="FP6" s="18"/>
      <c r="FQ6" s="19"/>
      <c r="FR6" s="33" t="str" cm="1">
        <f t="array" ref="FR6">_xlfn.IFS($D6="","",AND(FP6=$C6,FQ6=$D6),3,($C6-$D6)/MAX(ABS($C6-$D6),1)=(FP6-FQ6)/MAX(ABS(FP6-FQ6),1),1,TRUE,0)</f>
        <v/>
      </c>
      <c r="FS6" s="18"/>
      <c r="FT6" s="19"/>
      <c r="FU6" s="33" t="str" cm="1">
        <f t="array" ref="FU6">_xlfn.IFS($D6="","",AND(FS6=$C6,FT6=$D6),3,($C6-$D6)/MAX(ABS($C6-$D6),1)=(FS6-FT6)/MAX(ABS(FS6-FT6),1),1,TRUE,0)</f>
        <v/>
      </c>
      <c r="FV6" s="18"/>
      <c r="FW6" s="19"/>
      <c r="FX6" s="33" t="str" cm="1">
        <f t="array" ref="FX6">_xlfn.IFS($D6="","",AND(FV6=$C6,FW6=$D6),3,($C6-$D6)/MAX(ABS($C6-$D6),1)=(FV6-FW6)/MAX(ABS(FV6-FW6),1),1,TRUE,0)</f>
        <v/>
      </c>
      <c r="FY6" s="18"/>
      <c r="FZ6" s="19"/>
      <c r="GA6" s="33" t="str" cm="1">
        <f t="array" ref="GA6">_xlfn.IFS($D6="","",AND(FY6=$C6,FZ6=$D6),3,($C6-$D6)/MAX(ABS($C6-$D6),1)=(FY6-FZ6)/MAX(ABS(FY6-FZ6),1),1,TRUE,0)</f>
        <v/>
      </c>
      <c r="GB6" s="18"/>
      <c r="GC6" s="19"/>
      <c r="GD6" s="33" t="str" cm="1">
        <f t="array" ref="GD6">_xlfn.IFS($D6="","",AND(GB6=$C6,GC6=$D6),3,($C6-$D6)/MAX(ABS($C6-$D6),1)=(GB6-GC6)/MAX(ABS(GB6-GC6),1),1,TRUE,0)</f>
        <v/>
      </c>
      <c r="GE6" s="47"/>
      <c r="GF6" s="45"/>
      <c r="GG6" s="33" t="str" cm="1">
        <f t="array" ref="GG6">_xlfn.IFS($D6="","",AND(GE6=$C6,GF6=$D6),3,($C6-$D6)/MAX(ABS($C6-$D6),1)=(GE6-GF6)/MAX(ABS(GE6-GF6),1),1,TRUE,0)</f>
        <v/>
      </c>
      <c r="GH6" s="18"/>
      <c r="GI6" s="19"/>
      <c r="GJ6" s="33" t="str" cm="1">
        <f t="array" ref="GJ6">_xlfn.IFS($D6="","",AND(GH6=$C6,GI6=$D6),3,($C6-$D6)/MAX(ABS($C6-$D6),1)=(GH6-GI6)/MAX(ABS(GH6-GI6),1),1,TRUE,0)</f>
        <v/>
      </c>
      <c r="GK6" s="18"/>
      <c r="GL6" s="19"/>
      <c r="GM6" s="33" t="str" cm="1">
        <f t="array" ref="GM6">_xlfn.IFS($D6="","",AND(GK6=$C6,GL6=$D6),3,($C6-$D6)/MAX(ABS($C6-$D6),1)=(GK6-GL6)/MAX(ABS(GK6-GL6),1),1,TRUE,0)</f>
        <v/>
      </c>
      <c r="GN6" s="18"/>
      <c r="GO6" s="19"/>
      <c r="GP6" s="33" t="str" cm="1">
        <f t="array" ref="GP6">_xlfn.IFS($D6="","",AND(GN6=$C6,GO6=$D6),3,($C6-$D6)/MAX(ABS($C6-$D6),1)=(GN6-GO6)/MAX(ABS(GN6-GO6),1),1,TRUE,0)</f>
        <v/>
      </c>
      <c r="GQ6" s="18"/>
      <c r="GR6" s="19"/>
      <c r="GS6" s="33" t="str" cm="1">
        <f t="array" ref="GS6">_xlfn.IFS($D6="","",AND(GQ6=$C6,GR6=$D6),3,($C6-$D6)/MAX(ABS($C6-$D6),1)=(GQ6-GR6)/MAX(ABS(GQ6-GR6),1),1,TRUE,0)</f>
        <v/>
      </c>
      <c r="GT6" s="18"/>
      <c r="GU6" s="19"/>
      <c r="GV6" s="33" t="str" cm="1">
        <f t="array" ref="GV6">_xlfn.IFS($D6="","",AND(GT6=$C6,GU6=$D6),3,($C6-$D6)/MAX(ABS($C6-$D6),1)=(GT6-GU6)/MAX(ABS(GT6-GU6),1),1,TRUE,0)</f>
        <v/>
      </c>
      <c r="GW6" s="18"/>
      <c r="GX6" s="19"/>
      <c r="GY6" s="33" t="str" cm="1">
        <f t="array" ref="GY6">_xlfn.IFS($D6="","",AND(GW6=$C6,GX6=$D6),3,($C6-$D6)/MAX(ABS($C6-$D6),1)=(GW6-GX6)/MAX(ABS(GW6-GX6),1),1,TRUE,0)</f>
        <v/>
      </c>
      <c r="GZ6" s="18"/>
      <c r="HA6" s="19"/>
      <c r="HB6" s="33" t="str" cm="1">
        <f t="array" ref="HB6">_xlfn.IFS($D6="","",AND(GZ6=$C6,HA6=$D6),3,($C6-$D6)/MAX(ABS($C6-$D6),1)=(GZ6-HA6)/MAX(ABS(GZ6-HA6),1),1,TRUE,0)</f>
        <v/>
      </c>
      <c r="HC6" s="18"/>
      <c r="HD6" s="19"/>
      <c r="HE6" s="33" t="str" cm="1">
        <f t="array" ref="HE6">_xlfn.IFS($D6="","",AND(HC6=$C6,HD6=$D6),3,($C6-$D6)/MAX(ABS($C6-$D6),1)=(HC6-HD6)/MAX(ABS(HC6-HD6),1),1,TRUE,0)</f>
        <v/>
      </c>
      <c r="HF6" s="18"/>
      <c r="HG6" s="19"/>
      <c r="HH6" s="33" t="str" cm="1">
        <f t="array" ref="HH6">_xlfn.IFS($D6="","",AND(HF6=$C6,HG6=$D6),3,($C6-$D6)/MAX(ABS($C6-$D6),1)=(HF6-HG6)/MAX(ABS(HF6-HG6),1),1,TRUE,0)</f>
        <v/>
      </c>
      <c r="HI6" s="18"/>
      <c r="HJ6" s="19"/>
      <c r="HK6" s="33" t="str" cm="1">
        <f t="array" ref="HK6">_xlfn.IFS($D6="","",AND(HI6=$C6,HJ6=$D6),3,($C6-$D6)/MAX(ABS($C6-$D6),1)=(HI6-HJ6)/MAX(ABS(HI6-HJ6),1),1,TRUE,0)</f>
        <v/>
      </c>
      <c r="HL6" s="18"/>
      <c r="HM6" s="19"/>
      <c r="HN6" s="33" t="str" cm="1">
        <f t="array" ref="HN6">_xlfn.IFS($D6="","",AND(HL6=$C6,HM6=$D6),3,($C6-$D6)/MAX(ABS($C6-$D6),1)=(HL6-HM6)/MAX(ABS(HL6-HM6),1),1,TRUE,0)</f>
        <v/>
      </c>
      <c r="HO6" s="18"/>
      <c r="HP6" s="19"/>
      <c r="HQ6" s="33" t="str" cm="1">
        <f t="array" ref="HQ6">_xlfn.IFS($D6="","",AND(HO6=$C6,HP6=$D6),3,($C6-$D6)/MAX(ABS($C6-$D6),1)=(HO6-HP6)/MAX(ABS(HO6-HP6),1),1,TRUE,0)</f>
        <v/>
      </c>
      <c r="HR6" s="18"/>
      <c r="HS6" s="19"/>
      <c r="HT6" s="33" t="str" cm="1">
        <f t="array" ref="HT6">_xlfn.IFS($D6="","",AND(HR6=$C6,HS6=$D6),3,($C6-$D6)/MAX(ABS($C6-$D6),1)=(HR6-HS6)/MAX(ABS(HR6-HS6),1),1,TRUE,0)</f>
        <v/>
      </c>
      <c r="HU6" s="18"/>
      <c r="HV6" s="19"/>
      <c r="HW6" s="33" t="str" cm="1">
        <f t="array" ref="HW6">_xlfn.IFS($D6="","",AND(HU6=$C6,HV6=$D6),3,($C6-$D6)/MAX(ABS($C6-$D6),1)=(HU6-HV6)/MAX(ABS(HU6-HV6),1),1,TRUE,0)</f>
        <v/>
      </c>
      <c r="HX6" s="18"/>
      <c r="HY6" s="19"/>
      <c r="HZ6" s="33" t="str" cm="1">
        <f t="array" ref="HZ6">_xlfn.IFS($D6="","",AND(HX6=$C6,HY6=$D6),3,($C6-$D6)/MAX(ABS($C6-$D6),1)=(HX6-HY6)/MAX(ABS(HX6-HY6),1),1,TRUE,0)</f>
        <v/>
      </c>
      <c r="IA6" s="18"/>
      <c r="IB6" s="19"/>
      <c r="IC6" s="33" t="str" cm="1">
        <f t="array" ref="IC6">_xlfn.IFS($D6="","",AND(IA6=$C6,IB6=$D6),3,($C6-$D6)/MAX(ABS($C6-$D6),1)=(IA6-IB6)/MAX(ABS(IA6-IB6),1),1,TRUE,0)</f>
        <v/>
      </c>
      <c r="ID6" s="18"/>
      <c r="IE6" s="19"/>
      <c r="IF6" s="33" t="str" cm="1">
        <f t="array" ref="IF6">_xlfn.IFS($D6="","",AND(ID6=$C6,IE6=$D6),3,($C6-$D6)/MAX(ABS($C6-$D6),1)=(ID6-IE6)/MAX(ABS(ID6-IE6),1),1,TRUE,0)</f>
        <v/>
      </c>
      <c r="IG6" s="18"/>
      <c r="IH6" s="19"/>
      <c r="II6" s="33" t="str" cm="1">
        <f t="array" ref="II6">_xlfn.IFS($D6="","",AND(IG6=$C6,IH6=$D6),3,($C6-$D6)/MAX(ABS($C6-$D6),1)=(IG6-IH6)/MAX(ABS(IG6-IH6),1),1,TRUE,0)</f>
        <v/>
      </c>
      <c r="IJ6" s="18"/>
      <c r="IK6" s="19"/>
      <c r="IL6" s="33" t="str" cm="1">
        <f t="array" ref="IL6">_xlfn.IFS($D6="","",AND(IJ6=$C6,IK6=$D6),3,($C6-$D6)/MAX(ABS($C6-$D6),1)=(IJ6-IK6)/MAX(ABS(IJ6-IK6),1),1,TRUE,0)</f>
        <v/>
      </c>
      <c r="IM6" s="18"/>
      <c r="IN6" s="19"/>
      <c r="IO6" s="33" t="str" cm="1">
        <f t="array" ref="IO6">_xlfn.IFS($D6="","",AND(IM6=$C6,IN6=$D6),3,($C6-$D6)/MAX(ABS($C6-$D6),1)=(IM6-IN6)/MAX(ABS(IM6-IN6),1),1,TRUE,0)</f>
        <v/>
      </c>
      <c r="IP6" s="18"/>
      <c r="IQ6" s="19"/>
      <c r="IR6" s="33" t="str" cm="1">
        <f t="array" ref="IR6">_xlfn.IFS($D6="","",AND(IP6=$C6,IQ6=$D6),3,($C6-$D6)/MAX(ABS($C6-$D6),1)=(IP6-IQ6)/MAX(ABS(IP6-IQ6),1),1,TRUE,0)</f>
        <v/>
      </c>
      <c r="IS6" s="18"/>
      <c r="IT6" s="19"/>
      <c r="IU6" s="33" t="str" cm="1">
        <f t="array" ref="IU6">_xlfn.IFS($D6="","",AND(IS6=$C6,IT6=$D6),3,($C6-$D6)/MAX(ABS($C6-$D6),1)=(IS6-IT6)/MAX(ABS(IS6-IT6),1),1,TRUE,0)</f>
        <v/>
      </c>
      <c r="IV6" s="18"/>
      <c r="IW6" s="19"/>
      <c r="IX6" s="33" t="str" cm="1">
        <f t="array" ref="IX6">_xlfn.IFS($D6="","",AND(IV6=$C6,IW6=$D6),3,($C6-$D6)/MAX(ABS($C6-$D6),1)=(IV6-IW6)/MAX(ABS(IV6-IW6),1),1,TRUE,0)</f>
        <v/>
      </c>
      <c r="IY6" s="18"/>
      <c r="IZ6" s="19"/>
      <c r="JA6" s="33" t="str" cm="1">
        <f t="array" ref="JA6">_xlfn.IFS($D6="","",AND(IY6=$C6,IZ6=$D6),3,($C6-$D6)/MAX(ABS($C6-$D6),1)=(IY6-IZ6)/MAX(ABS(IY6-IZ6),1),1,TRUE,0)</f>
        <v/>
      </c>
      <c r="JB6" s="18"/>
      <c r="JC6" s="19"/>
      <c r="JD6" s="33" t="str" cm="1">
        <f t="array" ref="JD6">_xlfn.IFS($D6="","",AND(JB6=$C6,JC6=$D6),3,($C6-$D6)/MAX(ABS($C6-$D6),1)=(JB6-JC6)/MAX(ABS(JB6-JC6),1),1,TRUE,0)</f>
        <v/>
      </c>
    </row>
    <row r="7" spans="1:264" ht="15" thickBot="1" x14ac:dyDescent="0.35">
      <c r="A7" s="22">
        <v>46186</v>
      </c>
      <c r="B7" s="28" t="s">
        <v>38</v>
      </c>
      <c r="C7" s="53" t="str" cm="1">
        <f t="array" ref="C7">_xlfn.LET(
_xlpm.x,_xlfn.XLOOKUP(1,(Scores_Fixtures[Date]=A7)*(Scores_Fixtures[Home.1]=B7),Scores_Fixtures[Score.1],""),
IF(_xlpm.x="","",_xlpm.x)
)</f>
        <v/>
      </c>
      <c r="D7" s="53" t="str" cm="1">
        <f t="array" ref="D7">_xlfn.LET(
_xlpm.x,_xlfn.XLOOKUP(1,(Scores_Fixtures[Date]=A7)*(Scores_Fixtures[Home.1]=B7),Scores_Fixtures[Score.2],""),
IF(_xlpm.x="","",_xlpm.x)
)</f>
        <v/>
      </c>
      <c r="E7" s="12" t="s">
        <v>16</v>
      </c>
      <c r="F7" s="15"/>
      <c r="G7" s="53"/>
      <c r="H7" s="53"/>
      <c r="I7" s="33" t="str" cm="1">
        <f t="array" ref="I7">_xlfn.IFS($D7="","",AND(G7=$C7,H7=$D7),3,($C7-$D7)/MAX(ABS($C7-$D7),1)=(G7-H7)/MAX(ABS(G7-H7),1),1,TRUE,0)</f>
        <v/>
      </c>
      <c r="J7" s="18"/>
      <c r="K7" s="19"/>
      <c r="L7" s="33" t="str" cm="1">
        <f t="array" ref="L7">_xlfn.IFS($D7="","",AND(J7=$C7,K7=$D7),3,($C7-$D7)/MAX(ABS($C7-$D7),1)=(J7-K7)/MAX(ABS(J7-K7),1),1,TRUE,0)</f>
        <v/>
      </c>
      <c r="M7" s="18"/>
      <c r="N7" s="19"/>
      <c r="O7" s="33" t="str" cm="1">
        <f t="array" ref="O7">_xlfn.IFS($D7="","",AND(M7=$C7,N7=$D7),3,($C7-$D7)/MAX(ABS($C7-$D7),1)=(M7-N7)/MAX(ABS(M7-N7),1),1,TRUE,0)</f>
        <v/>
      </c>
      <c r="P7" s="18"/>
      <c r="Q7" s="19"/>
      <c r="R7" s="33" t="str" cm="1">
        <f t="array" ref="R7">_xlfn.IFS($D7="","",AND(P7=$C7,Q7=$D7),3,($C7-$D7)/MAX(ABS($C7-$D7),1)=(P7-Q7)/MAX(ABS(P7-Q7),1),1,TRUE,0)</f>
        <v/>
      </c>
      <c r="S7" s="18"/>
      <c r="T7" s="19"/>
      <c r="U7" s="33" t="str" cm="1">
        <f t="array" ref="U7">_xlfn.IFS($D7="","",AND(S7=$C7,T7=$D7),3,($C7-$D7)/MAX(ABS($C7-$D7),1)=(S7-T7)/MAX(ABS(S7-T7),1),1,TRUE,0)</f>
        <v/>
      </c>
      <c r="V7" s="18"/>
      <c r="W7" s="19"/>
      <c r="X7" s="33" t="str" cm="1">
        <f t="array" ref="X7">_xlfn.IFS($D7="","",AND(V7=$C7,W7=$D7),3,($C7-$D7)/MAX(ABS($C7-$D7),1)=(V7-W7)/MAX(ABS(V7-W7),1),1,TRUE,0)</f>
        <v/>
      </c>
      <c r="Y7" s="18"/>
      <c r="Z7" s="19"/>
      <c r="AA7" s="33" t="str" cm="1">
        <f t="array" ref="AA7">_xlfn.IFS($D7="","",AND(Y7=$C7,Z7=$D7),3,($C7-$D7)/MAX(ABS($C7-$D7),1)=(Y7-Z7)/MAX(ABS(Y7-Z7),1),1,TRUE,0)</f>
        <v/>
      </c>
      <c r="AB7" s="18"/>
      <c r="AC7" s="19"/>
      <c r="AD7" s="33" t="str" cm="1">
        <f t="array" ref="AD7">_xlfn.IFS($D7="","",AND(AB7=$C7,AC7=$D7),3,($C7-$D7)/MAX(ABS($C7-$D7),1)=(AB7-AC7)/MAX(ABS(AB7-AC7),1),1,TRUE,0)</f>
        <v/>
      </c>
      <c r="AE7" s="18"/>
      <c r="AF7" s="19"/>
      <c r="AG7" s="33" t="str" cm="1">
        <f t="array" ref="AG7">_xlfn.IFS($D7="","",AND(AE7=$C7,AF7=$D7),3,($C7-$D7)/MAX(ABS($C7-$D7),1)=(AE7-AF7)/MAX(ABS(AE7-AF7),1),1,TRUE,0)</f>
        <v/>
      </c>
      <c r="AH7" s="18"/>
      <c r="AI7" s="19"/>
      <c r="AJ7" s="33" t="str" cm="1">
        <f t="array" ref="AJ7">_xlfn.IFS($D7="","",AND(AH7=$C7,AI7=$D7),3,($C7-$D7)/MAX(ABS($C7-$D7),1)=(AH7-AI7)/MAX(ABS(AH7-AI7),1),1,TRUE,0)</f>
        <v/>
      </c>
      <c r="AK7" s="18"/>
      <c r="AL7" s="19"/>
      <c r="AM7" s="33" t="str" cm="1">
        <f t="array" ref="AM7">_xlfn.IFS($D7="","",AND(AK7=$C7,AL7=$D7),3,($C7-$D7)/MAX(ABS($C7-$D7),1)=(AK7-AL7)/MAX(ABS(AK7-AL7),1),1,TRUE,0)</f>
        <v/>
      </c>
      <c r="AN7" s="18"/>
      <c r="AO7" s="19"/>
      <c r="AP7" s="33" t="str" cm="1">
        <f t="array" ref="AP7">_xlfn.IFS($D7="","",AND(AN7=$C7,AO7=$D7),3,($C7-$D7)/MAX(ABS($C7-$D7),1)=(AN7-AO7)/MAX(ABS(AN7-AO7),1),1,TRUE,0)</f>
        <v/>
      </c>
      <c r="AQ7" s="18"/>
      <c r="AR7" s="19"/>
      <c r="AS7" s="33" t="str" cm="1">
        <f t="array" ref="AS7">_xlfn.IFS($D7="","",AND(AQ7=$C7,AR7=$D7),3,($C7-$D7)/MAX(ABS($C7-$D7),1)=(AQ7-AR7)/MAX(ABS(AQ7-AR7),1),1,TRUE,0)</f>
        <v/>
      </c>
      <c r="AT7" s="18"/>
      <c r="AU7" s="19"/>
      <c r="AV7" s="33" t="str" cm="1">
        <f t="array" ref="AV7">_xlfn.IFS($D7="","",AND(AT7=$C7,AU7=$D7),3,($C7-$D7)/MAX(ABS($C7-$D7),1)=(AT7-AU7)/MAX(ABS(AT7-AU7),1),1,TRUE,0)</f>
        <v/>
      </c>
      <c r="AW7" s="18"/>
      <c r="AX7" s="19"/>
      <c r="AY7" s="33" t="str" cm="1">
        <f t="array" ref="AY7">_xlfn.IFS($D7="","",AND(AW7=$C7,AX7=$D7),3,($C7-$D7)/MAX(ABS($C7-$D7),1)=(AW7-AX7)/MAX(ABS(AW7-AX7),1),1,TRUE,0)</f>
        <v/>
      </c>
      <c r="AZ7" s="18"/>
      <c r="BA7" s="19"/>
      <c r="BB7" s="33" t="str" cm="1">
        <f t="array" ref="BB7">_xlfn.IFS($D7="","",AND(AZ7=$C7,BA7=$D7),3,($C7-$D7)/MAX(ABS($C7-$D7),1)=(AZ7-BA7)/MAX(ABS(AZ7-BA7),1),1,TRUE,0)</f>
        <v/>
      </c>
      <c r="BC7" s="18"/>
      <c r="BD7" s="19"/>
      <c r="BE7" s="33" t="str" cm="1">
        <f t="array" ref="BE7">_xlfn.IFS($D7="","",AND(BC7=$C7,BD7=$D7),3,($C7-$D7)/MAX(ABS($C7-$D7),1)=(BC7-BD7)/MAX(ABS(BC7-BD7),1),1,TRUE,0)</f>
        <v/>
      </c>
      <c r="BF7" s="18"/>
      <c r="BG7" s="19"/>
      <c r="BH7" s="33" t="str" cm="1">
        <f t="array" ref="BH7">_xlfn.IFS($D7="","",AND(BF7=$C7,BG7=$D7),3,($C7-$D7)/MAX(ABS($C7-$D7),1)=(BF7-BG7)/MAX(ABS(BF7-BG7),1),1,TRUE,0)</f>
        <v/>
      </c>
      <c r="BI7" s="18"/>
      <c r="BJ7" s="19"/>
      <c r="BK7" s="33" t="str" cm="1">
        <f t="array" ref="BK7">_xlfn.IFS($D7="","",AND(BI7=$C7,BJ7=$D7),3,($C7-$D7)/MAX(ABS($C7-$D7),1)=(BI7-BJ7)/MAX(ABS(BI7-BJ7),1),1,TRUE,0)</f>
        <v/>
      </c>
      <c r="BL7" s="18"/>
      <c r="BM7" s="19"/>
      <c r="BN7" s="33" t="str" cm="1">
        <f t="array" ref="BN7">_xlfn.IFS($D7="","",AND(BL7=$C7,BM7=$D7),3,($C7-$D7)/MAX(ABS($C7-$D7),1)=(BL7-BM7)/MAX(ABS(BL7-BM7),1),1,TRUE,0)</f>
        <v/>
      </c>
      <c r="BO7" s="18"/>
      <c r="BP7" s="19"/>
      <c r="BQ7" s="33" t="str" cm="1">
        <f t="array" ref="BQ7">_xlfn.IFS($D7="","",AND(BO7=$C7,BP7=$D7),3,($C7-$D7)/MAX(ABS($C7-$D7),1)=(BO7-BP7)/MAX(ABS(BO7-BP7),1),1,TRUE,0)</f>
        <v/>
      </c>
      <c r="BR7" s="18"/>
      <c r="BS7" s="19"/>
      <c r="BT7" s="33" t="str" cm="1">
        <f t="array" ref="BT7">_xlfn.IFS($D7="","",AND(BR7=$C7,BS7=$D7),3,($C7-$D7)/MAX(ABS($C7-$D7),1)=(BR7-BS7)/MAX(ABS(BR7-BS7),1),1,TRUE,0)</f>
        <v/>
      </c>
      <c r="BU7" s="18"/>
      <c r="BV7" s="19"/>
      <c r="BW7" s="33" t="str" cm="1">
        <f t="array" ref="BW7">_xlfn.IFS($D7="","",AND(BU7=$C7,BV7=$D7),3,($C7-$D7)/MAX(ABS($C7-$D7),1)=(BU7-BV7)/MAX(ABS(BU7-BV7),1),1,TRUE,0)</f>
        <v/>
      </c>
      <c r="BX7" s="18"/>
      <c r="BY7" s="19"/>
      <c r="BZ7" s="33" t="str" cm="1">
        <f t="array" ref="BZ7">_xlfn.IFS($D7="","",AND(BX7=$C7,BY7=$D7),3,($C7-$D7)/MAX(ABS($C7-$D7),1)=(BX7-BY7)/MAX(ABS(BX7-BY7),1),1,TRUE,0)</f>
        <v/>
      </c>
      <c r="CA7" s="18"/>
      <c r="CB7" s="19"/>
      <c r="CC7" s="33" t="str" cm="1">
        <f t="array" ref="CC7">_xlfn.IFS($D7="","",AND(CA7=$C7,CB7=$D7),3,($C7-$D7)/MAX(ABS($C7-$D7),1)=(CA7-CB7)/MAX(ABS(CA7-CB7),1),1,TRUE,0)</f>
        <v/>
      </c>
      <c r="CD7" s="18"/>
      <c r="CE7" s="19"/>
      <c r="CF7" s="33" t="str" cm="1">
        <f t="array" ref="CF7">_xlfn.IFS($D7="","",AND(CD7=$C7,CE7=$D7),3,($C7-$D7)/MAX(ABS($C7-$D7),1)=(CD7-CE7)/MAX(ABS(CD7-CE7),1),1,TRUE,0)</f>
        <v/>
      </c>
      <c r="CG7" s="18"/>
      <c r="CH7" s="19"/>
      <c r="CI7" s="33" t="str" cm="1">
        <f t="array" ref="CI7">_xlfn.IFS($D7="","",AND(CG7=$C7,CH7=$D7),3,($C7-$D7)/MAX(ABS($C7-$D7),1)=(CG7-CH7)/MAX(ABS(CG7-CH7),1),1,TRUE,0)</f>
        <v/>
      </c>
      <c r="CJ7" s="18"/>
      <c r="CK7" s="19"/>
      <c r="CL7" s="33" t="str" cm="1">
        <f t="array" ref="CL7">_xlfn.IFS($D7="","",AND(CJ7=$C7,CK7=$D7),3,($C7-$D7)/MAX(ABS($C7-$D7),1)=(CJ7-CK7)/MAX(ABS(CJ7-CK7),1),1,TRUE,0)</f>
        <v/>
      </c>
      <c r="CM7" s="18"/>
      <c r="CN7" s="19"/>
      <c r="CO7" s="33" t="str" cm="1">
        <f t="array" ref="CO7">_xlfn.IFS($D7="","",AND(CM7=$C7,CN7=$D7),3,($C7-$D7)/MAX(ABS($C7-$D7),1)=(CM7-CN7)/MAX(ABS(CM7-CN7),1),1,TRUE,0)</f>
        <v/>
      </c>
      <c r="CP7" s="18"/>
      <c r="CQ7" s="19"/>
      <c r="CR7" s="33" t="str" cm="1">
        <f t="array" ref="CR7">_xlfn.IFS($D7="","",AND(CP7=$C7,CQ7=$D7),3,($C7-$D7)/MAX(ABS($C7-$D7),1)=(CP7-CQ7)/MAX(ABS(CP7-CQ7),1),1,TRUE,0)</f>
        <v/>
      </c>
      <c r="CS7" s="18"/>
      <c r="CT7" s="19"/>
      <c r="CU7" s="33" t="str" cm="1">
        <f t="array" ref="CU7">_xlfn.IFS($D7="","",AND(CS7=$C7,CT7=$D7),3,($C7-$D7)/MAX(ABS($C7-$D7),1)=(CS7-CT7)/MAX(ABS(CS7-CT7),1),1,TRUE,0)</f>
        <v/>
      </c>
      <c r="CV7" s="18"/>
      <c r="CW7" s="19"/>
      <c r="CX7" s="33" t="str" cm="1">
        <f t="array" ref="CX7">_xlfn.IFS($D7="","",AND(CV7=$C7,CW7=$D7),3,($C7-$D7)/MAX(ABS($C7-$D7),1)=(CV7-CW7)/MAX(ABS(CV7-CW7),1),1,TRUE,0)</f>
        <v/>
      </c>
      <c r="CY7" s="18"/>
      <c r="CZ7" s="19"/>
      <c r="DA7" s="33" t="str" cm="1">
        <f t="array" ref="DA7">_xlfn.IFS($D7="","",AND(CY7=$C7,CZ7=$D7),3,($C7-$D7)/MAX(ABS($C7-$D7),1)=(CY7-CZ7)/MAX(ABS(CY7-CZ7),1),1,TRUE,0)</f>
        <v/>
      </c>
      <c r="DB7" s="37"/>
      <c r="DC7" s="38"/>
      <c r="DD7" s="33" t="str" cm="1">
        <f t="array" ref="DD7">_xlfn.IFS($D7="","",AND(DB7=$C7,DC7=$D7),3,($C7-$D7)/MAX(ABS($C7-$D7),1)=(DB7-DC7)/MAX(ABS(DB7-DC7),1),1,TRUE,0)</f>
        <v/>
      </c>
      <c r="DE7" s="18"/>
      <c r="DF7" s="19"/>
      <c r="DG7" s="33" t="str" cm="1">
        <f t="array" ref="DG7">_xlfn.IFS($D7="","",AND(DE7=$C7,DF7=$D7),3,($C7-$D7)/MAX(ABS($C7-$D7),1)=(DE7-DF7)/MAX(ABS(DE7-DF7),1),1,TRUE,0)</f>
        <v/>
      </c>
      <c r="DH7" s="18"/>
      <c r="DI7" s="19"/>
      <c r="DJ7" s="33" t="str" cm="1">
        <f t="array" ref="DJ7">_xlfn.IFS($D7="","",AND(DH7=$C7,DI7=$D7),3,($C7-$D7)/MAX(ABS($C7-$D7),1)=(DH7-DI7)/MAX(ABS(DH7-DI7),1),1,TRUE,0)</f>
        <v/>
      </c>
      <c r="DK7" s="18"/>
      <c r="DL7" s="19"/>
      <c r="DM7" s="33" t="str" cm="1">
        <f t="array" ref="DM7">_xlfn.IFS($D7="","",AND(DK7=$C7,DL7=$D7),3,($C7-$D7)/MAX(ABS($C7-$D7),1)=(DK7-DL7)/MAX(ABS(DK7-DL7),1),1,TRUE,0)</f>
        <v/>
      </c>
      <c r="DN7" s="18"/>
      <c r="DO7" s="19"/>
      <c r="DP7" s="33" t="str" cm="1">
        <f t="array" ref="DP7">_xlfn.IFS($D7="","",AND(DN7=$C7,DO7=$D7),3,($C7-$D7)/MAX(ABS($C7-$D7),1)=(DN7-DO7)/MAX(ABS(DN7-DO7),1),1,TRUE,0)</f>
        <v/>
      </c>
      <c r="DQ7" s="18"/>
      <c r="DR7" s="19"/>
      <c r="DS7" s="33" t="str" cm="1">
        <f t="array" ref="DS7">_xlfn.IFS($D7="","",AND(DQ7=$C7,DR7=$D7),3,($C7-$D7)/MAX(ABS($C7-$D7),1)=(DQ7-DR7)/MAX(ABS(DQ7-DR7),1),1,TRUE,0)</f>
        <v/>
      </c>
      <c r="DT7" s="18"/>
      <c r="DU7" s="19"/>
      <c r="DV7" s="33" t="str" cm="1">
        <f t="array" ref="DV7">_xlfn.IFS($D7="","",AND(DT7=$C7,DU7=$D7),3,($C7-$D7)/MAX(ABS($C7-$D7),1)=(DT7-DU7)/MAX(ABS(DT7-DU7),1),1,TRUE,0)</f>
        <v/>
      </c>
      <c r="DW7" s="18"/>
      <c r="DX7" s="19"/>
      <c r="DY7" s="33" t="str" cm="1">
        <f t="array" ref="DY7">_xlfn.IFS($D7="","",AND(DW7=$C7,DX7=$D7),3,($C7-$D7)/MAX(ABS($C7-$D7),1)=(DW7-DX7)/MAX(ABS(DW7-DX7),1),1,TRUE,0)</f>
        <v/>
      </c>
      <c r="DZ7" s="18"/>
      <c r="EA7" s="19"/>
      <c r="EB7" s="33" t="str" cm="1">
        <f t="array" ref="EB7">_xlfn.IFS($D7="","",AND(DZ7=$C7,EA7=$D7),3,($C7-$D7)/MAX(ABS($C7-$D7),1)=(DZ7-EA7)/MAX(ABS(DZ7-EA7),1),1,TRUE,0)</f>
        <v/>
      </c>
      <c r="EC7" s="18"/>
      <c r="ED7" s="19"/>
      <c r="EE7" s="33" t="str" cm="1">
        <f t="array" ref="EE7">_xlfn.IFS($D7="","",AND(EC7=$C7,ED7=$D7),3,($C7-$D7)/MAX(ABS($C7-$D7),1)=(EC7-ED7)/MAX(ABS(EC7-ED7),1),1,TRUE,0)</f>
        <v/>
      </c>
      <c r="EF7" s="18"/>
      <c r="EG7" s="19"/>
      <c r="EH7" s="33" t="str" cm="1">
        <f t="array" ref="EH7">_xlfn.IFS($D7="","",AND(EF7=$C7,EG7=$D7),3,($C7-$D7)/MAX(ABS($C7-$D7),1)=(EF7-EG7)/MAX(ABS(EF7-EG7),1),1,TRUE,0)</f>
        <v/>
      </c>
      <c r="EI7" s="43"/>
      <c r="EJ7" s="44"/>
      <c r="EK7" s="33" t="str" cm="1">
        <f t="array" ref="EK7">_xlfn.IFS($D7="","",AND(EI7=$C7,EJ7=$D7),3,($C7-$D7)/MAX(ABS($C7-$D7),1)=(EI7-EJ7)/MAX(ABS(EI7-EJ7),1),1,TRUE,0)</f>
        <v/>
      </c>
      <c r="EL7" s="18"/>
      <c r="EM7" s="19"/>
      <c r="EN7" s="33" t="str" cm="1">
        <f t="array" ref="EN7">_xlfn.IFS($D7="","",AND(EL7=$C7,EM7=$D7),3,($C7-$D7)/MAX(ABS($C7-$D7),1)=(EL7-EM7)/MAX(ABS(EL7-EM7),1),1,TRUE,0)</f>
        <v/>
      </c>
      <c r="EO7" s="18"/>
      <c r="EP7" s="19"/>
      <c r="EQ7" s="33" t="str" cm="1">
        <f t="array" ref="EQ7">_xlfn.IFS($D7="","",AND(EO7=$C7,EP7=$D7),3,($C7-$D7)/MAX(ABS($C7-$D7),1)=(EO7-EP7)/MAX(ABS(EO7-EP7),1),1,TRUE,0)</f>
        <v/>
      </c>
      <c r="ER7" s="18"/>
      <c r="ES7" s="19"/>
      <c r="ET7" s="33" t="str" cm="1">
        <f t="array" ref="ET7">_xlfn.IFS($D7="","",AND(ER7=$C7,ES7=$D7),3,($C7-$D7)/MAX(ABS($C7-$D7),1)=(ER7-ES7)/MAX(ABS(ER7-ES7),1),1,TRUE,0)</f>
        <v/>
      </c>
      <c r="EU7" s="18"/>
      <c r="EV7" s="19"/>
      <c r="EW7" s="33" t="str" cm="1">
        <f t="array" ref="EW7">_xlfn.IFS($D7="","",AND(EU7=$C7,EV7=$D7),3,($C7-$D7)/MAX(ABS($C7-$D7),1)=(EU7-EV7)/MAX(ABS(EU7-EV7),1),1,TRUE,0)</f>
        <v/>
      </c>
      <c r="EX7" s="18"/>
      <c r="EY7" s="19"/>
      <c r="EZ7" s="33" t="str" cm="1">
        <f t="array" ref="EZ7">_xlfn.IFS($D7="","",AND(EX7=$C7,EY7=$D7),3,($C7-$D7)/MAX(ABS($C7-$D7),1)=(EX7-EY7)/MAX(ABS(EX7-EY7),1),1,TRUE,0)</f>
        <v/>
      </c>
      <c r="FA7" s="18"/>
      <c r="FB7" s="19"/>
      <c r="FC7" s="33" t="str" cm="1">
        <f t="array" ref="FC7">_xlfn.IFS($D7="","",AND(FA7=$C7,FB7=$D7),3,($C7-$D7)/MAX(ABS($C7-$D7),1)=(FA7-FB7)/MAX(ABS(FA7-FB7),1),1,TRUE,0)</f>
        <v/>
      </c>
      <c r="FD7" s="18"/>
      <c r="FE7" s="19"/>
      <c r="FF7" s="33" t="str" cm="1">
        <f t="array" ref="FF7">_xlfn.IFS($D7="","",AND(FD7=$C7,FE7=$D7),3,($C7-$D7)/MAX(ABS($C7-$D7),1)=(FD7-FE7)/MAX(ABS(FD7-FE7),1),1,TRUE,0)</f>
        <v/>
      </c>
      <c r="FG7" s="18"/>
      <c r="FH7" s="19"/>
      <c r="FI7" s="33" t="str" cm="1">
        <f t="array" ref="FI7">_xlfn.IFS($D7="","",AND(FG7=$C7,FH7=$D7),3,($C7-$D7)/MAX(ABS($C7-$D7),1)=(FG7-FH7)/MAX(ABS(FG7-FH7),1),1,TRUE,0)</f>
        <v/>
      </c>
      <c r="FJ7" s="18"/>
      <c r="FK7" s="19"/>
      <c r="FL7" s="33" t="str" cm="1">
        <f t="array" ref="FL7">_xlfn.IFS($D7="","",AND(FJ7=$C7,FK7=$D7),3,($C7-$D7)/MAX(ABS($C7-$D7),1)=(FJ7-FK7)/MAX(ABS(FJ7-FK7),1),1,TRUE,0)</f>
        <v/>
      </c>
      <c r="FM7" s="18"/>
      <c r="FN7" s="19"/>
      <c r="FO7" s="33" t="str" cm="1">
        <f t="array" ref="FO7">_xlfn.IFS($D7="","",AND(FM7=$C7,FN7=$D7),3,($C7-$D7)/MAX(ABS($C7-$D7),1)=(FM7-FN7)/MAX(ABS(FM7-FN7),1),1,TRUE,0)</f>
        <v/>
      </c>
      <c r="FP7" s="18"/>
      <c r="FQ7" s="19"/>
      <c r="FR7" s="33" t="str" cm="1">
        <f t="array" ref="FR7">_xlfn.IFS($D7="","",AND(FP7=$C7,FQ7=$D7),3,($C7-$D7)/MAX(ABS($C7-$D7),1)=(FP7-FQ7)/MAX(ABS(FP7-FQ7),1),1,TRUE,0)</f>
        <v/>
      </c>
      <c r="FS7" s="18"/>
      <c r="FT7" s="19"/>
      <c r="FU7" s="33" t="str" cm="1">
        <f t="array" ref="FU7">_xlfn.IFS($D7="","",AND(FS7=$C7,FT7=$D7),3,($C7-$D7)/MAX(ABS($C7-$D7),1)=(FS7-FT7)/MAX(ABS(FS7-FT7),1),1,TRUE,0)</f>
        <v/>
      </c>
      <c r="FV7" s="18"/>
      <c r="FW7" s="19"/>
      <c r="FX7" s="33" t="str" cm="1">
        <f t="array" ref="FX7">_xlfn.IFS($D7="","",AND(FV7=$C7,FW7=$D7),3,($C7-$D7)/MAX(ABS($C7-$D7),1)=(FV7-FW7)/MAX(ABS(FV7-FW7),1),1,TRUE,0)</f>
        <v/>
      </c>
      <c r="FY7" s="18"/>
      <c r="FZ7" s="19"/>
      <c r="GA7" s="33" t="str" cm="1">
        <f t="array" ref="GA7">_xlfn.IFS($D7="","",AND(FY7=$C7,FZ7=$D7),3,($C7-$D7)/MAX(ABS($C7-$D7),1)=(FY7-FZ7)/MAX(ABS(FY7-FZ7),1),1,TRUE,0)</f>
        <v/>
      </c>
      <c r="GB7" s="18"/>
      <c r="GC7" s="19"/>
      <c r="GD7" s="33" t="str" cm="1">
        <f t="array" ref="GD7">_xlfn.IFS($D7="","",AND(GB7=$C7,GC7=$D7),3,($C7-$D7)/MAX(ABS($C7-$D7),1)=(GB7-GC7)/MAX(ABS(GB7-GC7),1),1,TRUE,0)</f>
        <v/>
      </c>
      <c r="GE7" s="47"/>
      <c r="GF7" s="45"/>
      <c r="GG7" s="33" t="str" cm="1">
        <f t="array" ref="GG7">_xlfn.IFS($D7="","",AND(GE7=$C7,GF7=$D7),3,($C7-$D7)/MAX(ABS($C7-$D7),1)=(GE7-GF7)/MAX(ABS(GE7-GF7),1),1,TRUE,0)</f>
        <v/>
      </c>
      <c r="GH7" s="18"/>
      <c r="GI7" s="19"/>
      <c r="GJ7" s="33" t="str" cm="1">
        <f t="array" ref="GJ7">_xlfn.IFS($D7="","",AND(GH7=$C7,GI7=$D7),3,($C7-$D7)/MAX(ABS($C7-$D7),1)=(GH7-GI7)/MAX(ABS(GH7-GI7),1),1,TRUE,0)</f>
        <v/>
      </c>
      <c r="GK7" s="18"/>
      <c r="GL7" s="19"/>
      <c r="GM7" s="33" t="str" cm="1">
        <f t="array" ref="GM7">_xlfn.IFS($D7="","",AND(GK7=$C7,GL7=$D7),3,($C7-$D7)/MAX(ABS($C7-$D7),1)=(GK7-GL7)/MAX(ABS(GK7-GL7),1),1,TRUE,0)</f>
        <v/>
      </c>
      <c r="GN7" s="18"/>
      <c r="GO7" s="19"/>
      <c r="GP7" s="33" t="str" cm="1">
        <f t="array" ref="GP7">_xlfn.IFS($D7="","",AND(GN7=$C7,GO7=$D7),3,($C7-$D7)/MAX(ABS($C7-$D7),1)=(GN7-GO7)/MAX(ABS(GN7-GO7),1),1,TRUE,0)</f>
        <v/>
      </c>
      <c r="GQ7" s="18"/>
      <c r="GR7" s="19"/>
      <c r="GS7" s="33" t="str" cm="1">
        <f t="array" ref="GS7">_xlfn.IFS($D7="","",AND(GQ7=$C7,GR7=$D7),3,($C7-$D7)/MAX(ABS($C7-$D7),1)=(GQ7-GR7)/MAX(ABS(GQ7-GR7),1),1,TRUE,0)</f>
        <v/>
      </c>
      <c r="GT7" s="18"/>
      <c r="GU7" s="19"/>
      <c r="GV7" s="33" t="str" cm="1">
        <f t="array" ref="GV7">_xlfn.IFS($D7="","",AND(GT7=$C7,GU7=$D7),3,($C7-$D7)/MAX(ABS($C7-$D7),1)=(GT7-GU7)/MAX(ABS(GT7-GU7),1),1,TRUE,0)</f>
        <v/>
      </c>
      <c r="GW7" s="18"/>
      <c r="GX7" s="19"/>
      <c r="GY7" s="33" t="str" cm="1">
        <f t="array" ref="GY7">_xlfn.IFS($D7="","",AND(GW7=$C7,GX7=$D7),3,($C7-$D7)/MAX(ABS($C7-$D7),1)=(GW7-GX7)/MAX(ABS(GW7-GX7),1),1,TRUE,0)</f>
        <v/>
      </c>
      <c r="GZ7" s="18"/>
      <c r="HA7" s="19"/>
      <c r="HB7" s="33" t="str" cm="1">
        <f t="array" ref="HB7">_xlfn.IFS($D7="","",AND(GZ7=$C7,HA7=$D7),3,($C7-$D7)/MAX(ABS($C7-$D7),1)=(GZ7-HA7)/MAX(ABS(GZ7-HA7),1),1,TRUE,0)</f>
        <v/>
      </c>
      <c r="HC7" s="18"/>
      <c r="HD7" s="14"/>
      <c r="HE7" s="33" t="str" cm="1">
        <f t="array" ref="HE7">_xlfn.IFS($D7="","",AND(HC7=$C7,HD7=$D7),3,($C7-$D7)/MAX(ABS($C7-$D7),1)=(HC7-HD7)/MAX(ABS(HC7-HD7),1),1,TRUE,0)</f>
        <v/>
      </c>
      <c r="HF7" s="18"/>
      <c r="HG7" s="19"/>
      <c r="HH7" s="33" t="str" cm="1">
        <f t="array" ref="HH7">_xlfn.IFS($D7="","",AND(HF7=$C7,HG7=$D7),3,($C7-$D7)/MAX(ABS($C7-$D7),1)=(HF7-HG7)/MAX(ABS(HF7-HG7),1),1,TRUE,0)</f>
        <v/>
      </c>
      <c r="HI7" s="18"/>
      <c r="HJ7" s="19"/>
      <c r="HK7" s="33" t="str" cm="1">
        <f t="array" ref="HK7">_xlfn.IFS($D7="","",AND(HI7=$C7,HJ7=$D7),3,($C7-$D7)/MAX(ABS($C7-$D7),1)=(HI7-HJ7)/MAX(ABS(HI7-HJ7),1),1,TRUE,0)</f>
        <v/>
      </c>
      <c r="HL7" s="18"/>
      <c r="HM7" s="19"/>
      <c r="HN7" s="33" t="str" cm="1">
        <f t="array" ref="HN7">_xlfn.IFS($D7="","",AND(HL7=$C7,HM7=$D7),3,($C7-$D7)/MAX(ABS($C7-$D7),1)=(HL7-HM7)/MAX(ABS(HL7-HM7),1),1,TRUE,0)</f>
        <v/>
      </c>
      <c r="HO7" s="18"/>
      <c r="HP7" s="19"/>
      <c r="HQ7" s="33" t="str" cm="1">
        <f t="array" ref="HQ7">_xlfn.IFS($D7="","",AND(HO7=$C7,HP7=$D7),3,($C7-$D7)/MAX(ABS($C7-$D7),1)=(HO7-HP7)/MAX(ABS(HO7-HP7),1),1,TRUE,0)</f>
        <v/>
      </c>
      <c r="HR7" s="18"/>
      <c r="HS7" s="19"/>
      <c r="HT7" s="33" t="str" cm="1">
        <f t="array" ref="HT7">_xlfn.IFS($D7="","",AND(HR7=$C7,HS7=$D7),3,($C7-$D7)/MAX(ABS($C7-$D7),1)=(HR7-HS7)/MAX(ABS(HR7-HS7),1),1,TRUE,0)</f>
        <v/>
      </c>
      <c r="HU7" s="18"/>
      <c r="HV7" s="19"/>
      <c r="HW7" s="33" t="str" cm="1">
        <f t="array" ref="HW7">_xlfn.IFS($D7="","",AND(HU7=$C7,HV7=$D7),3,($C7-$D7)/MAX(ABS($C7-$D7),1)=(HU7-HV7)/MAX(ABS(HU7-HV7),1),1,TRUE,0)</f>
        <v/>
      </c>
      <c r="HX7" s="18"/>
      <c r="HY7" s="19"/>
      <c r="HZ7" s="33" t="str" cm="1">
        <f t="array" ref="HZ7">_xlfn.IFS($D7="","",AND(HX7=$C7,HY7=$D7),3,($C7-$D7)/MAX(ABS($C7-$D7),1)=(HX7-HY7)/MAX(ABS(HX7-HY7),1),1,TRUE,0)</f>
        <v/>
      </c>
      <c r="IA7" s="18"/>
      <c r="IB7" s="19"/>
      <c r="IC7" s="33" t="str" cm="1">
        <f t="array" ref="IC7">_xlfn.IFS($D7="","",AND(IA7=$C7,IB7=$D7),3,($C7-$D7)/MAX(ABS($C7-$D7),1)=(IA7-IB7)/MAX(ABS(IA7-IB7),1),1,TRUE,0)</f>
        <v/>
      </c>
      <c r="ID7" s="18"/>
      <c r="IE7" s="19"/>
      <c r="IF7" s="33" t="str" cm="1">
        <f t="array" ref="IF7">_xlfn.IFS($D7="","",AND(ID7=$C7,IE7=$D7),3,($C7-$D7)/MAX(ABS($C7-$D7),1)=(ID7-IE7)/MAX(ABS(ID7-IE7),1),1,TRUE,0)</f>
        <v/>
      </c>
      <c r="IG7" s="18"/>
      <c r="IH7" s="19"/>
      <c r="II7" s="33" t="str" cm="1">
        <f t="array" ref="II7">_xlfn.IFS($D7="","",AND(IG7=$C7,IH7=$D7),3,($C7-$D7)/MAX(ABS($C7-$D7),1)=(IG7-IH7)/MAX(ABS(IG7-IH7),1),1,TRUE,0)</f>
        <v/>
      </c>
      <c r="IJ7" s="18"/>
      <c r="IK7" s="19"/>
      <c r="IL7" s="33" t="str" cm="1">
        <f t="array" ref="IL7">_xlfn.IFS($D7="","",AND(IJ7=$C7,IK7=$D7),3,($C7-$D7)/MAX(ABS($C7-$D7),1)=(IJ7-IK7)/MAX(ABS(IJ7-IK7),1),1,TRUE,0)</f>
        <v/>
      </c>
      <c r="IM7" s="18"/>
      <c r="IN7" s="19"/>
      <c r="IO7" s="33" t="str" cm="1">
        <f t="array" ref="IO7">_xlfn.IFS($D7="","",AND(IM7=$C7,IN7=$D7),3,($C7-$D7)/MAX(ABS($C7-$D7),1)=(IM7-IN7)/MAX(ABS(IM7-IN7),1),1,TRUE,0)</f>
        <v/>
      </c>
      <c r="IP7" s="18"/>
      <c r="IQ7" s="19"/>
      <c r="IR7" s="33" t="str" cm="1">
        <f t="array" ref="IR7">_xlfn.IFS($D7="","",AND(IP7=$C7,IQ7=$D7),3,($C7-$D7)/MAX(ABS($C7-$D7),1)=(IP7-IQ7)/MAX(ABS(IP7-IQ7),1),1,TRUE,0)</f>
        <v/>
      </c>
      <c r="IS7" s="18"/>
      <c r="IT7" s="19"/>
      <c r="IU7" s="33" t="str" cm="1">
        <f t="array" ref="IU7">_xlfn.IFS($D7="","",AND(IS7=$C7,IT7=$D7),3,($C7-$D7)/MAX(ABS($C7-$D7),1)=(IS7-IT7)/MAX(ABS(IS7-IT7),1),1,TRUE,0)</f>
        <v/>
      </c>
      <c r="IV7" s="18"/>
      <c r="IW7" s="19"/>
      <c r="IX7" s="33" t="str" cm="1">
        <f t="array" ref="IX7">_xlfn.IFS($D7="","",AND(IV7=$C7,IW7=$D7),3,($C7-$D7)/MAX(ABS($C7-$D7),1)=(IV7-IW7)/MAX(ABS(IV7-IW7),1),1,TRUE,0)</f>
        <v/>
      </c>
      <c r="IY7" s="18"/>
      <c r="IZ7" s="19"/>
      <c r="JA7" s="33" t="str" cm="1">
        <f t="array" ref="JA7">_xlfn.IFS($D7="","",AND(IY7=$C7,IZ7=$D7),3,($C7-$D7)/MAX(ABS($C7-$D7),1)=(IY7-IZ7)/MAX(ABS(IY7-IZ7),1),1,TRUE,0)</f>
        <v/>
      </c>
      <c r="JB7" s="18"/>
      <c r="JC7" s="19"/>
      <c r="JD7" s="33" t="str" cm="1">
        <f t="array" ref="JD7">_xlfn.IFS($D7="","",AND(JB7=$C7,JC7=$D7),3,($C7-$D7)/MAX(ABS($C7-$D7),1)=(JB7-JC7)/MAX(ABS(JB7-JC7),1),1,TRUE,0)</f>
        <v/>
      </c>
    </row>
    <row r="8" spans="1:264" ht="15" thickBot="1" x14ac:dyDescent="0.35">
      <c r="A8" s="22">
        <v>46187</v>
      </c>
      <c r="B8" s="28" t="s">
        <v>39</v>
      </c>
      <c r="C8" s="53" t="str" cm="1">
        <f t="array" ref="C8">_xlfn.LET(
_xlpm.x,_xlfn.XLOOKUP(1,(Scores_Fixtures[Date]=A8)*(Scores_Fixtures[Home.1]=B8),Scores_Fixtures[Score.1],""),
IF(_xlpm.x="","",_xlpm.x)
)</f>
        <v/>
      </c>
      <c r="D8" s="53" t="str" cm="1">
        <f t="array" ref="D8">_xlfn.LET(
_xlpm.x,_xlfn.XLOOKUP(1,(Scores_Fixtures[Date]=A8)*(Scores_Fixtures[Home.1]=B8),Scores_Fixtures[Score.2],""),
IF(_xlpm.x="","",_xlpm.x)
)</f>
        <v/>
      </c>
      <c r="E8" s="12" t="s">
        <v>60</v>
      </c>
      <c r="F8" s="15"/>
      <c r="G8" s="53"/>
      <c r="H8" s="53"/>
      <c r="I8" s="33" t="str" cm="1">
        <f t="array" ref="I8">_xlfn.IFS($D8="","",AND(G8=$C8,H8=$D8),3,($C8-$D8)/MAX(ABS($C8-$D8),1)=(G8-H8)/MAX(ABS(G8-H8),1),1,TRUE,0)</f>
        <v/>
      </c>
      <c r="J8" s="18"/>
      <c r="K8" s="19"/>
      <c r="L8" s="33" t="str" cm="1">
        <f t="array" ref="L8">_xlfn.IFS($D8="","",AND(J8=$C8,K8=$D8),3,($C8-$D8)/MAX(ABS($C8-$D8),1)=(J8-K8)/MAX(ABS(J8-K8),1),1,TRUE,0)</f>
        <v/>
      </c>
      <c r="M8" s="18"/>
      <c r="N8" s="19"/>
      <c r="O8" s="33" t="str" cm="1">
        <f t="array" ref="O8">_xlfn.IFS($D8="","",AND(M8=$C8,N8=$D8),3,($C8-$D8)/MAX(ABS($C8-$D8),1)=(M8-N8)/MAX(ABS(M8-N8),1),1,TRUE,0)</f>
        <v/>
      </c>
      <c r="P8" s="18"/>
      <c r="Q8" s="19"/>
      <c r="R8" s="33" t="str" cm="1">
        <f t="array" ref="R8">_xlfn.IFS($D8="","",AND(P8=$C8,Q8=$D8),3,($C8-$D8)/MAX(ABS($C8-$D8),1)=(P8-Q8)/MAX(ABS(P8-Q8),1),1,TRUE,0)</f>
        <v/>
      </c>
      <c r="S8" s="18"/>
      <c r="T8" s="19"/>
      <c r="U8" s="33" t="str" cm="1">
        <f t="array" ref="U8">_xlfn.IFS($D8="","",AND(S8=$C8,T8=$D8),3,($C8-$D8)/MAX(ABS($C8-$D8),1)=(S8-T8)/MAX(ABS(S8-T8),1),1,TRUE,0)</f>
        <v/>
      </c>
      <c r="V8" s="18"/>
      <c r="W8" s="19"/>
      <c r="X8" s="33" t="str" cm="1">
        <f t="array" ref="X8">_xlfn.IFS($D8="","",AND(V8=$C8,W8=$D8),3,($C8-$D8)/MAX(ABS($C8-$D8),1)=(V8-W8)/MAX(ABS(V8-W8),1),1,TRUE,0)</f>
        <v/>
      </c>
      <c r="Y8" s="18"/>
      <c r="Z8" s="19"/>
      <c r="AA8" s="33" t="str" cm="1">
        <f t="array" ref="AA8">_xlfn.IFS($D8="","",AND(Y8=$C8,Z8=$D8),3,($C8-$D8)/MAX(ABS($C8-$D8),1)=(Y8-Z8)/MAX(ABS(Y8-Z8),1),1,TRUE,0)</f>
        <v/>
      </c>
      <c r="AB8" s="18"/>
      <c r="AC8" s="19"/>
      <c r="AD8" s="33" t="str" cm="1">
        <f t="array" ref="AD8">_xlfn.IFS($D8="","",AND(AB8=$C8,AC8=$D8),3,($C8-$D8)/MAX(ABS($C8-$D8),1)=(AB8-AC8)/MAX(ABS(AB8-AC8),1),1,TRUE,0)</f>
        <v/>
      </c>
      <c r="AE8" s="18"/>
      <c r="AF8" s="19"/>
      <c r="AG8" s="33" t="str" cm="1">
        <f t="array" ref="AG8">_xlfn.IFS($D8="","",AND(AE8=$C8,AF8=$D8),3,($C8-$D8)/MAX(ABS($C8-$D8),1)=(AE8-AF8)/MAX(ABS(AE8-AF8),1),1,TRUE,0)</f>
        <v/>
      </c>
      <c r="AH8" s="18"/>
      <c r="AI8" s="19"/>
      <c r="AJ8" s="33" t="str" cm="1">
        <f t="array" ref="AJ8">_xlfn.IFS($D8="","",AND(AH8=$C8,AI8=$D8),3,($C8-$D8)/MAX(ABS($C8-$D8),1)=(AH8-AI8)/MAX(ABS(AH8-AI8),1),1,TRUE,0)</f>
        <v/>
      </c>
      <c r="AK8" s="18"/>
      <c r="AL8" s="19"/>
      <c r="AM8" s="33" t="str" cm="1">
        <f t="array" ref="AM8">_xlfn.IFS($D8="","",AND(AK8=$C8,AL8=$D8),3,($C8-$D8)/MAX(ABS($C8-$D8),1)=(AK8-AL8)/MAX(ABS(AK8-AL8),1),1,TRUE,0)</f>
        <v/>
      </c>
      <c r="AN8" s="18"/>
      <c r="AO8" s="19"/>
      <c r="AP8" s="33" t="str" cm="1">
        <f t="array" ref="AP8">_xlfn.IFS($D8="","",AND(AN8=$C8,AO8=$D8),3,($C8-$D8)/MAX(ABS($C8-$D8),1)=(AN8-AO8)/MAX(ABS(AN8-AO8),1),1,TRUE,0)</f>
        <v/>
      </c>
      <c r="AQ8" s="18"/>
      <c r="AR8" s="19"/>
      <c r="AS8" s="33" t="str" cm="1">
        <f t="array" ref="AS8">_xlfn.IFS($D8="","",AND(AQ8=$C8,AR8=$D8),3,($C8-$D8)/MAX(ABS($C8-$D8),1)=(AQ8-AR8)/MAX(ABS(AQ8-AR8),1),1,TRUE,0)</f>
        <v/>
      </c>
      <c r="AT8" s="18"/>
      <c r="AU8" s="19"/>
      <c r="AV8" s="33" t="str" cm="1">
        <f t="array" ref="AV8">_xlfn.IFS($D8="","",AND(AT8=$C8,AU8=$D8),3,($C8-$D8)/MAX(ABS($C8-$D8),1)=(AT8-AU8)/MAX(ABS(AT8-AU8),1),1,TRUE,0)</f>
        <v/>
      </c>
      <c r="AW8" s="18"/>
      <c r="AX8" s="19"/>
      <c r="AY8" s="33" t="str" cm="1">
        <f t="array" ref="AY8">_xlfn.IFS($D8="","",AND(AW8=$C8,AX8=$D8),3,($C8-$D8)/MAX(ABS($C8-$D8),1)=(AW8-AX8)/MAX(ABS(AW8-AX8),1),1,TRUE,0)</f>
        <v/>
      </c>
      <c r="AZ8" s="18"/>
      <c r="BA8" s="19"/>
      <c r="BB8" s="33" t="str" cm="1">
        <f t="array" ref="BB8">_xlfn.IFS($D8="","",AND(AZ8=$C8,BA8=$D8),3,($C8-$D8)/MAX(ABS($C8-$D8),1)=(AZ8-BA8)/MAX(ABS(AZ8-BA8),1),1,TRUE,0)</f>
        <v/>
      </c>
      <c r="BC8" s="18"/>
      <c r="BD8" s="19"/>
      <c r="BE8" s="33" t="str" cm="1">
        <f t="array" ref="BE8">_xlfn.IFS($D8="","",AND(BC8=$C8,BD8=$D8),3,($C8-$D8)/MAX(ABS($C8-$D8),1)=(BC8-BD8)/MAX(ABS(BC8-BD8),1),1,TRUE,0)</f>
        <v/>
      </c>
      <c r="BF8" s="18"/>
      <c r="BG8" s="19"/>
      <c r="BH8" s="33" t="str" cm="1">
        <f t="array" ref="BH8">_xlfn.IFS($D8="","",AND(BF8=$C8,BG8=$D8),3,($C8-$D8)/MAX(ABS($C8-$D8),1)=(BF8-BG8)/MAX(ABS(BF8-BG8),1),1,TRUE,0)</f>
        <v/>
      </c>
      <c r="BI8" s="18"/>
      <c r="BJ8" s="19"/>
      <c r="BK8" s="33" t="str" cm="1">
        <f t="array" ref="BK8">_xlfn.IFS($D8="","",AND(BI8=$C8,BJ8=$D8),3,($C8-$D8)/MAX(ABS($C8-$D8),1)=(BI8-BJ8)/MAX(ABS(BI8-BJ8),1),1,TRUE,0)</f>
        <v/>
      </c>
      <c r="BL8" s="18"/>
      <c r="BM8" s="19"/>
      <c r="BN8" s="33" t="str" cm="1">
        <f t="array" ref="BN8">_xlfn.IFS($D8="","",AND(BL8=$C8,BM8=$D8),3,($C8-$D8)/MAX(ABS($C8-$D8),1)=(BL8-BM8)/MAX(ABS(BL8-BM8),1),1,TRUE,0)</f>
        <v/>
      </c>
      <c r="BO8" s="18"/>
      <c r="BP8" s="19"/>
      <c r="BQ8" s="33" t="str" cm="1">
        <f t="array" ref="BQ8">_xlfn.IFS($D8="","",AND(BO8=$C8,BP8=$D8),3,($C8-$D8)/MAX(ABS($C8-$D8),1)=(BO8-BP8)/MAX(ABS(BO8-BP8),1),1,TRUE,0)</f>
        <v/>
      </c>
      <c r="BR8" s="18"/>
      <c r="BS8" s="19"/>
      <c r="BT8" s="33" t="str" cm="1">
        <f t="array" ref="BT8">_xlfn.IFS($D8="","",AND(BR8=$C8,BS8=$D8),3,($C8-$D8)/MAX(ABS($C8-$D8),1)=(BR8-BS8)/MAX(ABS(BR8-BS8),1),1,TRUE,0)</f>
        <v/>
      </c>
      <c r="BU8" s="18"/>
      <c r="BV8" s="19"/>
      <c r="BW8" s="33" t="str" cm="1">
        <f t="array" ref="BW8">_xlfn.IFS($D8="","",AND(BU8=$C8,BV8=$D8),3,($C8-$D8)/MAX(ABS($C8-$D8),1)=(BU8-BV8)/MAX(ABS(BU8-BV8),1),1,TRUE,0)</f>
        <v/>
      </c>
      <c r="BX8" s="18"/>
      <c r="BY8" s="19"/>
      <c r="BZ8" s="33" t="str" cm="1">
        <f t="array" ref="BZ8">_xlfn.IFS($D8="","",AND(BX8=$C8,BY8=$D8),3,($C8-$D8)/MAX(ABS($C8-$D8),1)=(BX8-BY8)/MAX(ABS(BX8-BY8),1),1,TRUE,0)</f>
        <v/>
      </c>
      <c r="CA8" s="18"/>
      <c r="CB8" s="19"/>
      <c r="CC8" s="33" t="str" cm="1">
        <f t="array" ref="CC8">_xlfn.IFS($D8="","",AND(CA8=$C8,CB8=$D8),3,($C8-$D8)/MAX(ABS($C8-$D8),1)=(CA8-CB8)/MAX(ABS(CA8-CB8),1),1,TRUE,0)</f>
        <v/>
      </c>
      <c r="CD8" s="18"/>
      <c r="CE8" s="19"/>
      <c r="CF8" s="33" t="str" cm="1">
        <f t="array" ref="CF8">_xlfn.IFS($D8="","",AND(CD8=$C8,CE8=$D8),3,($C8-$D8)/MAX(ABS($C8-$D8),1)=(CD8-CE8)/MAX(ABS(CD8-CE8),1),1,TRUE,0)</f>
        <v/>
      </c>
      <c r="CG8" s="18"/>
      <c r="CH8" s="19"/>
      <c r="CI8" s="33" t="str" cm="1">
        <f t="array" ref="CI8">_xlfn.IFS($D8="","",AND(CG8=$C8,CH8=$D8),3,($C8-$D8)/MAX(ABS($C8-$D8),1)=(CG8-CH8)/MAX(ABS(CG8-CH8),1),1,TRUE,0)</f>
        <v/>
      </c>
      <c r="CJ8" s="18"/>
      <c r="CK8" s="19"/>
      <c r="CL8" s="33" t="str" cm="1">
        <f t="array" ref="CL8">_xlfn.IFS($D8="","",AND(CJ8=$C8,CK8=$D8),3,($C8-$D8)/MAX(ABS($C8-$D8),1)=(CJ8-CK8)/MAX(ABS(CJ8-CK8),1),1,TRUE,0)</f>
        <v/>
      </c>
      <c r="CM8" s="18"/>
      <c r="CN8" s="19"/>
      <c r="CO8" s="33" t="str" cm="1">
        <f t="array" ref="CO8">_xlfn.IFS($D8="","",AND(CM8=$C8,CN8=$D8),3,($C8-$D8)/MAX(ABS($C8-$D8),1)=(CM8-CN8)/MAX(ABS(CM8-CN8),1),1,TRUE,0)</f>
        <v/>
      </c>
      <c r="CP8" s="18"/>
      <c r="CQ8" s="19"/>
      <c r="CR8" s="33" t="str" cm="1">
        <f t="array" ref="CR8">_xlfn.IFS($D8="","",AND(CP8=$C8,CQ8=$D8),3,($C8-$D8)/MAX(ABS($C8-$D8),1)=(CP8-CQ8)/MAX(ABS(CP8-CQ8),1),1,TRUE,0)</f>
        <v/>
      </c>
      <c r="CS8" s="18"/>
      <c r="CT8" s="19"/>
      <c r="CU8" s="33" t="str" cm="1">
        <f t="array" ref="CU8">_xlfn.IFS($D8="","",AND(CS8=$C8,CT8=$D8),3,($C8-$D8)/MAX(ABS($C8-$D8),1)=(CS8-CT8)/MAX(ABS(CS8-CT8),1),1,TRUE,0)</f>
        <v/>
      </c>
      <c r="CV8" s="18"/>
      <c r="CW8" s="19"/>
      <c r="CX8" s="33" t="str" cm="1">
        <f t="array" ref="CX8">_xlfn.IFS($D8="","",AND(CV8=$C8,CW8=$D8),3,($C8-$D8)/MAX(ABS($C8-$D8),1)=(CV8-CW8)/MAX(ABS(CV8-CW8),1),1,TRUE,0)</f>
        <v/>
      </c>
      <c r="CY8" s="18"/>
      <c r="CZ8" s="19"/>
      <c r="DA8" s="33" t="str" cm="1">
        <f t="array" ref="DA8">_xlfn.IFS($D8="","",AND(CY8=$C8,CZ8=$D8),3,($C8-$D8)/MAX(ABS($C8-$D8),1)=(CY8-CZ8)/MAX(ABS(CY8-CZ8),1),1,TRUE,0)</f>
        <v/>
      </c>
      <c r="DB8" s="37"/>
      <c r="DC8" s="38"/>
      <c r="DD8" s="33" t="str" cm="1">
        <f t="array" ref="DD8">_xlfn.IFS($D8="","",AND(DB8=$C8,DC8=$D8),3,($C8-$D8)/MAX(ABS($C8-$D8),1)=(DB8-DC8)/MAX(ABS(DB8-DC8),1),1,TRUE,0)</f>
        <v/>
      </c>
      <c r="DE8" s="18"/>
      <c r="DF8" s="19"/>
      <c r="DG8" s="33" t="str" cm="1">
        <f t="array" ref="DG8">_xlfn.IFS($D8="","",AND(DE8=$C8,DF8=$D8),3,($C8-$D8)/MAX(ABS($C8-$D8),1)=(DE8-DF8)/MAX(ABS(DE8-DF8),1),1,TRUE,0)</f>
        <v/>
      </c>
      <c r="DH8" s="18"/>
      <c r="DI8" s="19"/>
      <c r="DJ8" s="33" t="str" cm="1">
        <f t="array" ref="DJ8">_xlfn.IFS($D8="","",AND(DH8=$C8,DI8=$D8),3,($C8-$D8)/MAX(ABS($C8-$D8),1)=(DH8-DI8)/MAX(ABS(DH8-DI8),1),1,TRUE,0)</f>
        <v/>
      </c>
      <c r="DK8" s="18"/>
      <c r="DL8" s="19"/>
      <c r="DM8" s="33" t="str" cm="1">
        <f t="array" ref="DM8">_xlfn.IFS($D8="","",AND(DK8=$C8,DL8=$D8),3,($C8-$D8)/MAX(ABS($C8-$D8),1)=(DK8-DL8)/MAX(ABS(DK8-DL8),1),1,TRUE,0)</f>
        <v/>
      </c>
      <c r="DN8" s="18"/>
      <c r="DO8" s="19"/>
      <c r="DP8" s="33" t="str" cm="1">
        <f t="array" ref="DP8">_xlfn.IFS($D8="","",AND(DN8=$C8,DO8=$D8),3,($C8-$D8)/MAX(ABS($C8-$D8),1)=(DN8-DO8)/MAX(ABS(DN8-DO8),1),1,TRUE,0)</f>
        <v/>
      </c>
      <c r="DQ8" s="18"/>
      <c r="DR8" s="19"/>
      <c r="DS8" s="33" t="str" cm="1">
        <f t="array" ref="DS8">_xlfn.IFS($D8="","",AND(DQ8=$C8,DR8=$D8),3,($C8-$D8)/MAX(ABS($C8-$D8),1)=(DQ8-DR8)/MAX(ABS(DQ8-DR8),1),1,TRUE,0)</f>
        <v/>
      </c>
      <c r="DT8" s="18"/>
      <c r="DU8" s="19"/>
      <c r="DV8" s="33" t="str" cm="1">
        <f t="array" ref="DV8">_xlfn.IFS($D8="","",AND(DT8=$C8,DU8=$D8),3,($C8-$D8)/MAX(ABS($C8-$D8),1)=(DT8-DU8)/MAX(ABS(DT8-DU8),1),1,TRUE,0)</f>
        <v/>
      </c>
      <c r="DW8" s="18"/>
      <c r="DX8" s="19"/>
      <c r="DY8" s="33" t="str" cm="1">
        <f t="array" ref="DY8">_xlfn.IFS($D8="","",AND(DW8=$C8,DX8=$D8),3,($C8-$D8)/MAX(ABS($C8-$D8),1)=(DW8-DX8)/MAX(ABS(DW8-DX8),1),1,TRUE,0)</f>
        <v/>
      </c>
      <c r="DZ8" s="18"/>
      <c r="EA8" s="19"/>
      <c r="EB8" s="33" t="str" cm="1">
        <f t="array" ref="EB8">_xlfn.IFS($D8="","",AND(DZ8=$C8,EA8=$D8),3,($C8-$D8)/MAX(ABS($C8-$D8),1)=(DZ8-EA8)/MAX(ABS(DZ8-EA8),1),1,TRUE,0)</f>
        <v/>
      </c>
      <c r="EC8" s="18"/>
      <c r="ED8" s="19"/>
      <c r="EE8" s="33" t="str" cm="1">
        <f t="array" ref="EE8">_xlfn.IFS($D8="","",AND(EC8=$C8,ED8=$D8),3,($C8-$D8)/MAX(ABS($C8-$D8),1)=(EC8-ED8)/MAX(ABS(EC8-ED8),1),1,TRUE,0)</f>
        <v/>
      </c>
      <c r="EF8" s="18"/>
      <c r="EG8" s="19"/>
      <c r="EH8" s="33" t="str" cm="1">
        <f t="array" ref="EH8">_xlfn.IFS($D8="","",AND(EF8=$C8,EG8=$D8),3,($C8-$D8)/MAX(ABS($C8-$D8),1)=(EF8-EG8)/MAX(ABS(EF8-EG8),1),1,TRUE,0)</f>
        <v/>
      </c>
      <c r="EI8" s="43"/>
      <c r="EJ8" s="44"/>
      <c r="EK8" s="33" t="str" cm="1">
        <f t="array" ref="EK8">_xlfn.IFS($D8="","",AND(EI8=$C8,EJ8=$D8),3,($C8-$D8)/MAX(ABS($C8-$D8),1)=(EI8-EJ8)/MAX(ABS(EI8-EJ8),1),1,TRUE,0)</f>
        <v/>
      </c>
      <c r="EL8" s="18"/>
      <c r="EM8" s="19"/>
      <c r="EN8" s="33" t="str" cm="1">
        <f t="array" ref="EN8">_xlfn.IFS($D8="","",AND(EL8=$C8,EM8=$D8),3,($C8-$D8)/MAX(ABS($C8-$D8),1)=(EL8-EM8)/MAX(ABS(EL8-EM8),1),1,TRUE,0)</f>
        <v/>
      </c>
      <c r="EO8" s="18"/>
      <c r="EP8" s="19"/>
      <c r="EQ8" s="33" t="str" cm="1">
        <f t="array" ref="EQ8">_xlfn.IFS($D8="","",AND(EO8=$C8,EP8=$D8),3,($C8-$D8)/MAX(ABS($C8-$D8),1)=(EO8-EP8)/MAX(ABS(EO8-EP8),1),1,TRUE,0)</f>
        <v/>
      </c>
      <c r="ER8" s="18"/>
      <c r="ES8" s="19"/>
      <c r="ET8" s="33" t="str" cm="1">
        <f t="array" ref="ET8">_xlfn.IFS($D8="","",AND(ER8=$C8,ES8=$D8),3,($C8-$D8)/MAX(ABS($C8-$D8),1)=(ER8-ES8)/MAX(ABS(ER8-ES8),1),1,TRUE,0)</f>
        <v/>
      </c>
      <c r="EU8" s="18"/>
      <c r="EV8" s="19"/>
      <c r="EW8" s="33" t="str" cm="1">
        <f t="array" ref="EW8">_xlfn.IFS($D8="","",AND(EU8=$C8,EV8=$D8),3,($C8-$D8)/MAX(ABS($C8-$D8),1)=(EU8-EV8)/MAX(ABS(EU8-EV8),1),1,TRUE,0)</f>
        <v/>
      </c>
      <c r="EX8" s="18"/>
      <c r="EY8" s="19"/>
      <c r="EZ8" s="33" t="str" cm="1">
        <f t="array" ref="EZ8">_xlfn.IFS($D8="","",AND(EX8=$C8,EY8=$D8),3,($C8-$D8)/MAX(ABS($C8-$D8),1)=(EX8-EY8)/MAX(ABS(EX8-EY8),1),1,TRUE,0)</f>
        <v/>
      </c>
      <c r="FA8" s="18"/>
      <c r="FB8" s="19"/>
      <c r="FC8" s="33" t="str" cm="1">
        <f t="array" ref="FC8">_xlfn.IFS($D8="","",AND(FA8=$C8,FB8=$D8),3,($C8-$D8)/MAX(ABS($C8-$D8),1)=(FA8-FB8)/MAX(ABS(FA8-FB8),1),1,TRUE,0)</f>
        <v/>
      </c>
      <c r="FD8" s="18"/>
      <c r="FE8" s="19"/>
      <c r="FF8" s="33" t="str" cm="1">
        <f t="array" ref="FF8">_xlfn.IFS($D8="","",AND(FD8=$C8,FE8=$D8),3,($C8-$D8)/MAX(ABS($C8-$D8),1)=(FD8-FE8)/MAX(ABS(FD8-FE8),1),1,TRUE,0)</f>
        <v/>
      </c>
      <c r="FG8" s="18"/>
      <c r="FH8" s="19"/>
      <c r="FI8" s="33" t="str" cm="1">
        <f t="array" ref="FI8">_xlfn.IFS($D8="","",AND(FG8=$C8,FH8=$D8),3,($C8-$D8)/MAX(ABS($C8-$D8),1)=(FG8-FH8)/MAX(ABS(FG8-FH8),1),1,TRUE,0)</f>
        <v/>
      </c>
      <c r="FJ8" s="18"/>
      <c r="FK8" s="19"/>
      <c r="FL8" s="33" t="str" cm="1">
        <f t="array" ref="FL8">_xlfn.IFS($D8="","",AND(FJ8=$C8,FK8=$D8),3,($C8-$D8)/MAX(ABS($C8-$D8),1)=(FJ8-FK8)/MAX(ABS(FJ8-FK8),1),1,TRUE,0)</f>
        <v/>
      </c>
      <c r="FM8" s="18"/>
      <c r="FN8" s="19"/>
      <c r="FO8" s="33" t="str" cm="1">
        <f t="array" ref="FO8">_xlfn.IFS($D8="","",AND(FM8=$C8,FN8=$D8),3,($C8-$D8)/MAX(ABS($C8-$D8),1)=(FM8-FN8)/MAX(ABS(FM8-FN8),1),1,TRUE,0)</f>
        <v/>
      </c>
      <c r="FP8" s="18"/>
      <c r="FQ8" s="19"/>
      <c r="FR8" s="33" t="str" cm="1">
        <f t="array" ref="FR8">_xlfn.IFS($D8="","",AND(FP8=$C8,FQ8=$D8),3,($C8-$D8)/MAX(ABS($C8-$D8),1)=(FP8-FQ8)/MAX(ABS(FP8-FQ8),1),1,TRUE,0)</f>
        <v/>
      </c>
      <c r="FS8" s="18"/>
      <c r="FT8" s="19"/>
      <c r="FU8" s="33" t="str" cm="1">
        <f t="array" ref="FU8">_xlfn.IFS($D8="","",AND(FS8=$C8,FT8=$D8),3,($C8-$D8)/MAX(ABS($C8-$D8),1)=(FS8-FT8)/MAX(ABS(FS8-FT8),1),1,TRUE,0)</f>
        <v/>
      </c>
      <c r="FV8" s="18"/>
      <c r="FW8" s="19"/>
      <c r="FX8" s="33" t="str" cm="1">
        <f t="array" ref="FX8">_xlfn.IFS($D8="","",AND(FV8=$C8,FW8=$D8),3,($C8-$D8)/MAX(ABS($C8-$D8),1)=(FV8-FW8)/MAX(ABS(FV8-FW8),1),1,TRUE,0)</f>
        <v/>
      </c>
      <c r="FY8" s="18"/>
      <c r="FZ8" s="19"/>
      <c r="GA8" s="33" t="str" cm="1">
        <f t="array" ref="GA8">_xlfn.IFS($D8="","",AND(FY8=$C8,FZ8=$D8),3,($C8-$D8)/MAX(ABS($C8-$D8),1)=(FY8-FZ8)/MAX(ABS(FY8-FZ8),1),1,TRUE,0)</f>
        <v/>
      </c>
      <c r="GB8" s="18"/>
      <c r="GC8" s="19"/>
      <c r="GD8" s="33" t="str" cm="1">
        <f t="array" ref="GD8">_xlfn.IFS($D8="","",AND(GB8=$C8,GC8=$D8),3,($C8-$D8)/MAX(ABS($C8-$D8),1)=(GB8-GC8)/MAX(ABS(GB8-GC8),1),1,TRUE,0)</f>
        <v/>
      </c>
      <c r="GE8" s="47"/>
      <c r="GF8" s="45"/>
      <c r="GG8" s="33" t="str" cm="1">
        <f t="array" ref="GG8">_xlfn.IFS($D8="","",AND(GE8=$C8,GF8=$D8),3,($C8-$D8)/MAX(ABS($C8-$D8),1)=(GE8-GF8)/MAX(ABS(GE8-GF8),1),1,TRUE,0)</f>
        <v/>
      </c>
      <c r="GH8" s="18"/>
      <c r="GI8" s="19"/>
      <c r="GJ8" s="33" t="str" cm="1">
        <f t="array" ref="GJ8">_xlfn.IFS($D8="","",AND(GH8=$C8,GI8=$D8),3,($C8-$D8)/MAX(ABS($C8-$D8),1)=(GH8-GI8)/MAX(ABS(GH8-GI8),1),1,TRUE,0)</f>
        <v/>
      </c>
      <c r="GK8" s="18"/>
      <c r="GL8" s="19"/>
      <c r="GM8" s="33" t="str" cm="1">
        <f t="array" ref="GM8">_xlfn.IFS($D8="","",AND(GK8=$C8,GL8=$D8),3,($C8-$D8)/MAX(ABS($C8-$D8),1)=(GK8-GL8)/MAX(ABS(GK8-GL8),1),1,TRUE,0)</f>
        <v/>
      </c>
      <c r="GN8" s="18"/>
      <c r="GO8" s="19"/>
      <c r="GP8" s="33" t="str" cm="1">
        <f t="array" ref="GP8">_xlfn.IFS($D8="","",AND(GN8=$C8,GO8=$D8),3,($C8-$D8)/MAX(ABS($C8-$D8),1)=(GN8-GO8)/MAX(ABS(GN8-GO8),1),1,TRUE,0)</f>
        <v/>
      </c>
      <c r="GQ8" s="18"/>
      <c r="GR8" s="19"/>
      <c r="GS8" s="33" t="str" cm="1">
        <f t="array" ref="GS8">_xlfn.IFS($D8="","",AND(GQ8=$C8,GR8=$D8),3,($C8-$D8)/MAX(ABS($C8-$D8),1)=(GQ8-GR8)/MAX(ABS(GQ8-GR8),1),1,TRUE,0)</f>
        <v/>
      </c>
      <c r="GT8" s="18"/>
      <c r="GU8" s="19"/>
      <c r="GV8" s="33" t="str" cm="1">
        <f t="array" ref="GV8">_xlfn.IFS($D8="","",AND(GT8=$C8,GU8=$D8),3,($C8-$D8)/MAX(ABS($C8-$D8),1)=(GT8-GU8)/MAX(ABS(GT8-GU8),1),1,TRUE,0)</f>
        <v/>
      </c>
      <c r="GW8" s="18"/>
      <c r="GX8" s="19"/>
      <c r="GY8" s="33" t="str" cm="1">
        <f t="array" ref="GY8">_xlfn.IFS($D8="","",AND(GW8=$C8,GX8=$D8),3,($C8-$D8)/MAX(ABS($C8-$D8),1)=(GW8-GX8)/MAX(ABS(GW8-GX8),1),1,TRUE,0)</f>
        <v/>
      </c>
      <c r="GZ8" s="18"/>
      <c r="HA8" s="19"/>
      <c r="HB8" s="33" t="str" cm="1">
        <f t="array" ref="HB8">_xlfn.IFS($D8="","",AND(GZ8=$C8,HA8=$D8),3,($C8-$D8)/MAX(ABS($C8-$D8),1)=(GZ8-HA8)/MAX(ABS(GZ8-HA8),1),1,TRUE,0)</f>
        <v/>
      </c>
      <c r="HC8" s="18"/>
      <c r="HD8" s="19"/>
      <c r="HE8" s="33" t="str" cm="1">
        <f t="array" ref="HE8">_xlfn.IFS($D8="","",AND(HC8=$C8,HD8=$D8),3,($C8-$D8)/MAX(ABS($C8-$D8),1)=(HC8-HD8)/MAX(ABS(HC8-HD8),1),1,TRUE,0)</f>
        <v/>
      </c>
      <c r="HF8" s="18"/>
      <c r="HG8" s="19"/>
      <c r="HH8" s="33" t="str" cm="1">
        <f t="array" ref="HH8">_xlfn.IFS($D8="","",AND(HF8=$C8,HG8=$D8),3,($C8-$D8)/MAX(ABS($C8-$D8),1)=(HF8-HG8)/MAX(ABS(HF8-HG8),1),1,TRUE,0)</f>
        <v/>
      </c>
      <c r="HI8" s="18"/>
      <c r="HJ8" s="19"/>
      <c r="HK8" s="33" t="str" cm="1">
        <f t="array" ref="HK8">_xlfn.IFS($D8="","",AND(HI8=$C8,HJ8=$D8),3,($C8-$D8)/MAX(ABS($C8-$D8),1)=(HI8-HJ8)/MAX(ABS(HI8-HJ8),1),1,TRUE,0)</f>
        <v/>
      </c>
      <c r="HL8" s="18"/>
      <c r="HM8" s="19"/>
      <c r="HN8" s="33" t="str" cm="1">
        <f t="array" ref="HN8">_xlfn.IFS($D8="","",AND(HL8=$C8,HM8=$D8),3,($C8-$D8)/MAX(ABS($C8-$D8),1)=(HL8-HM8)/MAX(ABS(HL8-HM8),1),1,TRUE,0)</f>
        <v/>
      </c>
      <c r="HO8" s="18"/>
      <c r="HP8" s="19"/>
      <c r="HQ8" s="33" t="str" cm="1">
        <f t="array" ref="HQ8">_xlfn.IFS($D8="","",AND(HO8=$C8,HP8=$D8),3,($C8-$D8)/MAX(ABS($C8-$D8),1)=(HO8-HP8)/MAX(ABS(HO8-HP8),1),1,TRUE,0)</f>
        <v/>
      </c>
      <c r="HR8" s="18"/>
      <c r="HS8" s="19"/>
      <c r="HT8" s="33" t="str" cm="1">
        <f t="array" ref="HT8">_xlfn.IFS($D8="","",AND(HR8=$C8,HS8=$D8),3,($C8-$D8)/MAX(ABS($C8-$D8),1)=(HR8-HS8)/MAX(ABS(HR8-HS8),1),1,TRUE,0)</f>
        <v/>
      </c>
      <c r="HU8" s="18"/>
      <c r="HV8" s="19"/>
      <c r="HW8" s="33" t="str" cm="1">
        <f t="array" ref="HW8">_xlfn.IFS($D8="","",AND(HU8=$C8,HV8=$D8),3,($C8-$D8)/MAX(ABS($C8-$D8),1)=(HU8-HV8)/MAX(ABS(HU8-HV8),1),1,TRUE,0)</f>
        <v/>
      </c>
      <c r="HX8" s="18"/>
      <c r="HY8" s="19"/>
      <c r="HZ8" s="33" t="str" cm="1">
        <f t="array" ref="HZ8">_xlfn.IFS($D8="","",AND(HX8=$C8,HY8=$D8),3,($C8-$D8)/MAX(ABS($C8-$D8),1)=(HX8-HY8)/MAX(ABS(HX8-HY8),1),1,TRUE,0)</f>
        <v/>
      </c>
      <c r="IA8" s="18"/>
      <c r="IB8" s="19"/>
      <c r="IC8" s="33" t="str" cm="1">
        <f t="array" ref="IC8">_xlfn.IFS($D8="","",AND(IA8=$C8,IB8=$D8),3,($C8-$D8)/MAX(ABS($C8-$D8),1)=(IA8-IB8)/MAX(ABS(IA8-IB8),1),1,TRUE,0)</f>
        <v/>
      </c>
      <c r="ID8" s="18"/>
      <c r="IE8" s="19"/>
      <c r="IF8" s="33" t="str" cm="1">
        <f t="array" ref="IF8">_xlfn.IFS($D8="","",AND(ID8=$C8,IE8=$D8),3,($C8-$D8)/MAX(ABS($C8-$D8),1)=(ID8-IE8)/MAX(ABS(ID8-IE8),1),1,TRUE,0)</f>
        <v/>
      </c>
      <c r="IG8" s="18"/>
      <c r="IH8" s="19"/>
      <c r="II8" s="33" t="str" cm="1">
        <f t="array" ref="II8">_xlfn.IFS($D8="","",AND(IG8=$C8,IH8=$D8),3,($C8-$D8)/MAX(ABS($C8-$D8),1)=(IG8-IH8)/MAX(ABS(IG8-IH8),1),1,TRUE,0)</f>
        <v/>
      </c>
      <c r="IJ8" s="18"/>
      <c r="IK8" s="19"/>
      <c r="IL8" s="33" t="str" cm="1">
        <f t="array" ref="IL8">_xlfn.IFS($D8="","",AND(IJ8=$C8,IK8=$D8),3,($C8-$D8)/MAX(ABS($C8-$D8),1)=(IJ8-IK8)/MAX(ABS(IJ8-IK8),1),1,TRUE,0)</f>
        <v/>
      </c>
      <c r="IM8" s="18"/>
      <c r="IN8" s="19"/>
      <c r="IO8" s="33" t="str" cm="1">
        <f t="array" ref="IO8">_xlfn.IFS($D8="","",AND(IM8=$C8,IN8=$D8),3,($C8-$D8)/MAX(ABS($C8-$D8),1)=(IM8-IN8)/MAX(ABS(IM8-IN8),1),1,TRUE,0)</f>
        <v/>
      </c>
      <c r="IP8" s="18"/>
      <c r="IQ8" s="19"/>
      <c r="IR8" s="33" t="str" cm="1">
        <f t="array" ref="IR8">_xlfn.IFS($D8="","",AND(IP8=$C8,IQ8=$D8),3,($C8-$D8)/MAX(ABS($C8-$D8),1)=(IP8-IQ8)/MAX(ABS(IP8-IQ8),1),1,TRUE,0)</f>
        <v/>
      </c>
      <c r="IS8" s="18"/>
      <c r="IT8" s="19"/>
      <c r="IU8" s="33" t="str" cm="1">
        <f t="array" ref="IU8">_xlfn.IFS($D8="","",AND(IS8=$C8,IT8=$D8),3,($C8-$D8)/MAX(ABS($C8-$D8),1)=(IS8-IT8)/MAX(ABS(IS8-IT8),1),1,TRUE,0)</f>
        <v/>
      </c>
      <c r="IV8" s="18"/>
      <c r="IW8" s="19"/>
      <c r="IX8" s="33" t="str" cm="1">
        <f t="array" ref="IX8">_xlfn.IFS($D8="","",AND(IV8=$C8,IW8=$D8),3,($C8-$D8)/MAX(ABS($C8-$D8),1)=(IV8-IW8)/MAX(ABS(IV8-IW8),1),1,TRUE,0)</f>
        <v/>
      </c>
      <c r="IY8" s="18"/>
      <c r="IZ8" s="19"/>
      <c r="JA8" s="33" t="str" cm="1">
        <f t="array" ref="JA8">_xlfn.IFS($D8="","",AND(IY8=$C8,IZ8=$D8),3,($C8-$D8)/MAX(ABS($C8-$D8),1)=(IY8-IZ8)/MAX(ABS(IY8-IZ8),1),1,TRUE,0)</f>
        <v/>
      </c>
      <c r="JB8" s="18"/>
      <c r="JC8" s="19"/>
      <c r="JD8" s="33" t="str" cm="1">
        <f t="array" ref="JD8">_xlfn.IFS($D8="","",AND(JB8=$C8,JC8=$D8),3,($C8-$D8)/MAX(ABS($C8-$D8),1)=(JB8-JC8)/MAX(ABS(JB8-JC8),1),1,TRUE,0)</f>
        <v/>
      </c>
    </row>
    <row r="9" spans="1:264" ht="15" thickBot="1" x14ac:dyDescent="0.35">
      <c r="A9" s="22">
        <v>46187</v>
      </c>
      <c r="B9" s="28" t="s">
        <v>40</v>
      </c>
      <c r="C9" s="53" t="str" cm="1">
        <f t="array" ref="C9">_xlfn.LET(
_xlpm.x,_xlfn.XLOOKUP(1,(Scores_Fixtures[Date]=A9)*(Scores_Fixtures[Home.1]=B9),Scores_Fixtures[Score.1],""),
IF(_xlpm.x="","",_xlpm.x)
)</f>
        <v/>
      </c>
      <c r="D9" s="53" t="str" cm="1">
        <f t="array" ref="D9">_xlfn.LET(
_xlpm.x,_xlfn.XLOOKUP(1,(Scores_Fixtures[Date]=A9)*(Scores_Fixtures[Home.1]=B9),Scores_Fixtures[Score.2],""),
IF(_xlpm.x="","",_xlpm.x)
)</f>
        <v/>
      </c>
      <c r="E9" s="12" t="s">
        <v>31</v>
      </c>
      <c r="F9" s="15"/>
      <c r="G9" s="53"/>
      <c r="H9" s="53"/>
      <c r="I9" s="33" t="str" cm="1">
        <f t="array" ref="I9">_xlfn.IFS($D9="","",AND(G9=$C9,H9=$D9),3,($C9-$D9)/MAX(ABS($C9-$D9),1)=(G9-H9)/MAX(ABS(G9-H9),1),1,TRUE,0)</f>
        <v/>
      </c>
      <c r="J9" s="18"/>
      <c r="K9" s="19"/>
      <c r="L9" s="33" t="str" cm="1">
        <f t="array" ref="L9">_xlfn.IFS($D9="","",AND(J9=$C9,K9=$D9),3,($C9-$D9)/MAX(ABS($C9-$D9),1)=(J9-K9)/MAX(ABS(J9-K9),1),1,TRUE,0)</f>
        <v/>
      </c>
      <c r="M9" s="18"/>
      <c r="N9" s="19"/>
      <c r="O9" s="33" t="str" cm="1">
        <f t="array" ref="O9">_xlfn.IFS($D9="","",AND(M9=$C9,N9=$D9),3,($C9-$D9)/MAX(ABS($C9-$D9),1)=(M9-N9)/MAX(ABS(M9-N9),1),1,TRUE,0)</f>
        <v/>
      </c>
      <c r="P9" s="18"/>
      <c r="Q9" s="19"/>
      <c r="R9" s="33" t="str" cm="1">
        <f t="array" ref="R9">_xlfn.IFS($D9="","",AND(P9=$C9,Q9=$D9),3,($C9-$D9)/MAX(ABS($C9-$D9),1)=(P9-Q9)/MAX(ABS(P9-Q9),1),1,TRUE,0)</f>
        <v/>
      </c>
      <c r="S9" s="18"/>
      <c r="T9" s="19"/>
      <c r="U9" s="33" t="str" cm="1">
        <f t="array" ref="U9">_xlfn.IFS($D9="","",AND(S9=$C9,T9=$D9),3,($C9-$D9)/MAX(ABS($C9-$D9),1)=(S9-T9)/MAX(ABS(S9-T9),1),1,TRUE,0)</f>
        <v/>
      </c>
      <c r="V9" s="18"/>
      <c r="W9" s="19"/>
      <c r="X9" s="33" t="str" cm="1">
        <f t="array" ref="X9">_xlfn.IFS($D9="","",AND(V9=$C9,W9=$D9),3,($C9-$D9)/MAX(ABS($C9-$D9),1)=(V9-W9)/MAX(ABS(V9-W9),1),1,TRUE,0)</f>
        <v/>
      </c>
      <c r="Y9" s="18"/>
      <c r="Z9" s="19"/>
      <c r="AA9" s="33" t="str" cm="1">
        <f t="array" ref="AA9">_xlfn.IFS($D9="","",AND(Y9=$C9,Z9=$D9),3,($C9-$D9)/MAX(ABS($C9-$D9),1)=(Y9-Z9)/MAX(ABS(Y9-Z9),1),1,TRUE,0)</f>
        <v/>
      </c>
      <c r="AB9" s="18"/>
      <c r="AC9" s="19"/>
      <c r="AD9" s="33" t="str" cm="1">
        <f t="array" ref="AD9">_xlfn.IFS($D9="","",AND(AB9=$C9,AC9=$D9),3,($C9-$D9)/MAX(ABS($C9-$D9),1)=(AB9-AC9)/MAX(ABS(AB9-AC9),1),1,TRUE,0)</f>
        <v/>
      </c>
      <c r="AE9" s="18"/>
      <c r="AF9" s="19"/>
      <c r="AG9" s="33" t="str" cm="1">
        <f t="array" ref="AG9">_xlfn.IFS($D9="","",AND(AE9=$C9,AF9=$D9),3,($C9-$D9)/MAX(ABS($C9-$D9),1)=(AE9-AF9)/MAX(ABS(AE9-AF9),1),1,TRUE,0)</f>
        <v/>
      </c>
      <c r="AH9" s="18"/>
      <c r="AI9" s="19"/>
      <c r="AJ9" s="33" t="str" cm="1">
        <f t="array" ref="AJ9">_xlfn.IFS($D9="","",AND(AH9=$C9,AI9=$D9),3,($C9-$D9)/MAX(ABS($C9-$D9),1)=(AH9-AI9)/MAX(ABS(AH9-AI9),1),1,TRUE,0)</f>
        <v/>
      </c>
      <c r="AK9" s="18"/>
      <c r="AL9" s="19"/>
      <c r="AM9" s="33" t="str" cm="1">
        <f t="array" ref="AM9">_xlfn.IFS($D9="","",AND(AK9=$C9,AL9=$D9),3,($C9-$D9)/MAX(ABS($C9-$D9),1)=(AK9-AL9)/MAX(ABS(AK9-AL9),1),1,TRUE,0)</f>
        <v/>
      </c>
      <c r="AN9" s="18"/>
      <c r="AO9" s="19"/>
      <c r="AP9" s="33" t="str" cm="1">
        <f t="array" ref="AP9">_xlfn.IFS($D9="","",AND(AN9=$C9,AO9=$D9),3,($C9-$D9)/MAX(ABS($C9-$D9),1)=(AN9-AO9)/MAX(ABS(AN9-AO9),1),1,TRUE,0)</f>
        <v/>
      </c>
      <c r="AQ9" s="18"/>
      <c r="AR9" s="19"/>
      <c r="AS9" s="33" t="str" cm="1">
        <f t="array" ref="AS9">_xlfn.IFS($D9="","",AND(AQ9=$C9,AR9=$D9),3,($C9-$D9)/MAX(ABS($C9-$D9),1)=(AQ9-AR9)/MAX(ABS(AQ9-AR9),1),1,TRUE,0)</f>
        <v/>
      </c>
      <c r="AT9" s="18"/>
      <c r="AU9" s="19"/>
      <c r="AV9" s="33" t="str" cm="1">
        <f t="array" ref="AV9">_xlfn.IFS($D9="","",AND(AT9=$C9,AU9=$D9),3,($C9-$D9)/MAX(ABS($C9-$D9),1)=(AT9-AU9)/MAX(ABS(AT9-AU9),1),1,TRUE,0)</f>
        <v/>
      </c>
      <c r="AW9" s="18"/>
      <c r="AX9" s="19"/>
      <c r="AY9" s="33" t="str" cm="1">
        <f t="array" ref="AY9">_xlfn.IFS($D9="","",AND(AW9=$C9,AX9=$D9),3,($C9-$D9)/MAX(ABS($C9-$D9),1)=(AW9-AX9)/MAX(ABS(AW9-AX9),1),1,TRUE,0)</f>
        <v/>
      </c>
      <c r="AZ9" s="18"/>
      <c r="BA9" s="19"/>
      <c r="BB9" s="33" t="str" cm="1">
        <f t="array" ref="BB9">_xlfn.IFS($D9="","",AND(AZ9=$C9,BA9=$D9),3,($C9-$D9)/MAX(ABS($C9-$D9),1)=(AZ9-BA9)/MAX(ABS(AZ9-BA9),1),1,TRUE,0)</f>
        <v/>
      </c>
      <c r="BC9" s="18"/>
      <c r="BD9" s="19"/>
      <c r="BE9" s="33" t="str" cm="1">
        <f t="array" ref="BE9">_xlfn.IFS($D9="","",AND(BC9=$C9,BD9=$D9),3,($C9-$D9)/MAX(ABS($C9-$D9),1)=(BC9-BD9)/MAX(ABS(BC9-BD9),1),1,TRUE,0)</f>
        <v/>
      </c>
      <c r="BF9" s="18"/>
      <c r="BG9" s="19"/>
      <c r="BH9" s="33" t="str" cm="1">
        <f t="array" ref="BH9">_xlfn.IFS($D9="","",AND(BF9=$C9,BG9=$D9),3,($C9-$D9)/MAX(ABS($C9-$D9),1)=(BF9-BG9)/MAX(ABS(BF9-BG9),1),1,TRUE,0)</f>
        <v/>
      </c>
      <c r="BI9" s="18"/>
      <c r="BJ9" s="19"/>
      <c r="BK9" s="33" t="str" cm="1">
        <f t="array" ref="BK9">_xlfn.IFS($D9="","",AND(BI9=$C9,BJ9=$D9),3,($C9-$D9)/MAX(ABS($C9-$D9),1)=(BI9-BJ9)/MAX(ABS(BI9-BJ9),1),1,TRUE,0)</f>
        <v/>
      </c>
      <c r="BL9" s="18"/>
      <c r="BM9" s="19"/>
      <c r="BN9" s="33" t="str" cm="1">
        <f t="array" ref="BN9">_xlfn.IFS($D9="","",AND(BL9=$C9,BM9=$D9),3,($C9-$D9)/MAX(ABS($C9-$D9),1)=(BL9-BM9)/MAX(ABS(BL9-BM9),1),1,TRUE,0)</f>
        <v/>
      </c>
      <c r="BO9" s="18"/>
      <c r="BP9" s="19"/>
      <c r="BQ9" s="33" t="str" cm="1">
        <f t="array" ref="BQ9">_xlfn.IFS($D9="","",AND(BO9=$C9,BP9=$D9),3,($C9-$D9)/MAX(ABS($C9-$D9),1)=(BO9-BP9)/MAX(ABS(BO9-BP9),1),1,TRUE,0)</f>
        <v/>
      </c>
      <c r="BR9" s="18"/>
      <c r="BS9" s="19"/>
      <c r="BT9" s="33" t="str" cm="1">
        <f t="array" ref="BT9">_xlfn.IFS($D9="","",AND(BR9=$C9,BS9=$D9),3,($C9-$D9)/MAX(ABS($C9-$D9),1)=(BR9-BS9)/MAX(ABS(BR9-BS9),1),1,TRUE,0)</f>
        <v/>
      </c>
      <c r="BU9" s="18"/>
      <c r="BV9" s="19"/>
      <c r="BW9" s="33" t="str" cm="1">
        <f t="array" ref="BW9">_xlfn.IFS($D9="","",AND(BU9=$C9,BV9=$D9),3,($C9-$D9)/MAX(ABS($C9-$D9),1)=(BU9-BV9)/MAX(ABS(BU9-BV9),1),1,TRUE,0)</f>
        <v/>
      </c>
      <c r="BX9" s="18"/>
      <c r="BY9" s="19"/>
      <c r="BZ9" s="33" t="str" cm="1">
        <f t="array" ref="BZ9">_xlfn.IFS($D9="","",AND(BX9=$C9,BY9=$D9),3,($C9-$D9)/MAX(ABS($C9-$D9),1)=(BX9-BY9)/MAX(ABS(BX9-BY9),1),1,TRUE,0)</f>
        <v/>
      </c>
      <c r="CA9" s="18"/>
      <c r="CB9" s="19"/>
      <c r="CC9" s="33" t="str" cm="1">
        <f t="array" ref="CC9">_xlfn.IFS($D9="","",AND(CA9=$C9,CB9=$D9),3,($C9-$D9)/MAX(ABS($C9-$D9),1)=(CA9-CB9)/MAX(ABS(CA9-CB9),1),1,TRUE,0)</f>
        <v/>
      </c>
      <c r="CD9" s="18"/>
      <c r="CE9" s="19"/>
      <c r="CF9" s="33" t="str" cm="1">
        <f t="array" ref="CF9">_xlfn.IFS($D9="","",AND(CD9=$C9,CE9=$D9),3,($C9-$D9)/MAX(ABS($C9-$D9),1)=(CD9-CE9)/MAX(ABS(CD9-CE9),1),1,TRUE,0)</f>
        <v/>
      </c>
      <c r="CG9" s="18"/>
      <c r="CH9" s="19"/>
      <c r="CI9" s="33" t="str" cm="1">
        <f t="array" ref="CI9">_xlfn.IFS($D9="","",AND(CG9=$C9,CH9=$D9),3,($C9-$D9)/MAX(ABS($C9-$D9),1)=(CG9-CH9)/MAX(ABS(CG9-CH9),1),1,TRUE,0)</f>
        <v/>
      </c>
      <c r="CJ9" s="18"/>
      <c r="CK9" s="19"/>
      <c r="CL9" s="33" t="str" cm="1">
        <f t="array" ref="CL9">_xlfn.IFS($D9="","",AND(CJ9=$C9,CK9=$D9),3,($C9-$D9)/MAX(ABS($C9-$D9),1)=(CJ9-CK9)/MAX(ABS(CJ9-CK9),1),1,TRUE,0)</f>
        <v/>
      </c>
      <c r="CM9" s="18"/>
      <c r="CN9" s="19"/>
      <c r="CO9" s="33" t="str" cm="1">
        <f t="array" ref="CO9">_xlfn.IFS($D9="","",AND(CM9=$C9,CN9=$D9),3,($C9-$D9)/MAX(ABS($C9-$D9),1)=(CM9-CN9)/MAX(ABS(CM9-CN9),1),1,TRUE,0)</f>
        <v/>
      </c>
      <c r="CP9" s="18"/>
      <c r="CQ9" s="19"/>
      <c r="CR9" s="33" t="str" cm="1">
        <f t="array" ref="CR9">_xlfn.IFS($D9="","",AND(CP9=$C9,CQ9=$D9),3,($C9-$D9)/MAX(ABS($C9-$D9),1)=(CP9-CQ9)/MAX(ABS(CP9-CQ9),1),1,TRUE,0)</f>
        <v/>
      </c>
      <c r="CS9" s="18"/>
      <c r="CT9" s="19"/>
      <c r="CU9" s="33" t="str" cm="1">
        <f t="array" ref="CU9">_xlfn.IFS($D9="","",AND(CS9=$C9,CT9=$D9),3,($C9-$D9)/MAX(ABS($C9-$D9),1)=(CS9-CT9)/MAX(ABS(CS9-CT9),1),1,TRUE,0)</f>
        <v/>
      </c>
      <c r="CV9" s="18"/>
      <c r="CW9" s="19"/>
      <c r="CX9" s="33" t="str" cm="1">
        <f t="array" ref="CX9">_xlfn.IFS($D9="","",AND(CV9=$C9,CW9=$D9),3,($C9-$D9)/MAX(ABS($C9-$D9),1)=(CV9-CW9)/MAX(ABS(CV9-CW9),1),1,TRUE,0)</f>
        <v/>
      </c>
      <c r="CY9" s="18"/>
      <c r="CZ9" s="19"/>
      <c r="DA9" s="33" t="str" cm="1">
        <f t="array" ref="DA9">_xlfn.IFS($D9="","",AND(CY9=$C9,CZ9=$D9),3,($C9-$D9)/MAX(ABS($C9-$D9),1)=(CY9-CZ9)/MAX(ABS(CY9-CZ9),1),1,TRUE,0)</f>
        <v/>
      </c>
      <c r="DB9" s="37"/>
      <c r="DC9" s="38"/>
      <c r="DD9" s="33" t="str" cm="1">
        <f t="array" ref="DD9">_xlfn.IFS($D9="","",AND(DB9=$C9,DC9=$D9),3,($C9-$D9)/MAX(ABS($C9-$D9),1)=(DB9-DC9)/MAX(ABS(DB9-DC9),1),1,TRUE,0)</f>
        <v/>
      </c>
      <c r="DE9" s="18"/>
      <c r="DF9" s="19"/>
      <c r="DG9" s="33" t="str" cm="1">
        <f t="array" ref="DG9">_xlfn.IFS($D9="","",AND(DE9=$C9,DF9=$D9),3,($C9-$D9)/MAX(ABS($C9-$D9),1)=(DE9-DF9)/MAX(ABS(DE9-DF9),1),1,TRUE,0)</f>
        <v/>
      </c>
      <c r="DH9" s="18"/>
      <c r="DI9" s="19"/>
      <c r="DJ9" s="33" t="str" cm="1">
        <f t="array" ref="DJ9">_xlfn.IFS($D9="","",AND(DH9=$C9,DI9=$D9),3,($C9-$D9)/MAX(ABS($C9-$D9),1)=(DH9-DI9)/MAX(ABS(DH9-DI9),1),1,TRUE,0)</f>
        <v/>
      </c>
      <c r="DK9" s="18"/>
      <c r="DL9" s="19"/>
      <c r="DM9" s="33" t="str" cm="1">
        <f t="array" ref="DM9">_xlfn.IFS($D9="","",AND(DK9=$C9,DL9=$D9),3,($C9-$D9)/MAX(ABS($C9-$D9),1)=(DK9-DL9)/MAX(ABS(DK9-DL9),1),1,TRUE,0)</f>
        <v/>
      </c>
      <c r="DN9" s="18"/>
      <c r="DO9" s="19"/>
      <c r="DP9" s="33" t="str" cm="1">
        <f t="array" ref="DP9">_xlfn.IFS($D9="","",AND(DN9=$C9,DO9=$D9),3,($C9-$D9)/MAX(ABS($C9-$D9),1)=(DN9-DO9)/MAX(ABS(DN9-DO9),1),1,TRUE,0)</f>
        <v/>
      </c>
      <c r="DQ9" s="18"/>
      <c r="DR9" s="19"/>
      <c r="DS9" s="33" t="str" cm="1">
        <f t="array" ref="DS9">_xlfn.IFS($D9="","",AND(DQ9=$C9,DR9=$D9),3,($C9-$D9)/MAX(ABS($C9-$D9),1)=(DQ9-DR9)/MAX(ABS(DQ9-DR9),1),1,TRUE,0)</f>
        <v/>
      </c>
      <c r="DT9" s="18"/>
      <c r="DU9" s="19"/>
      <c r="DV9" s="33" t="str" cm="1">
        <f t="array" ref="DV9">_xlfn.IFS($D9="","",AND(DT9=$C9,DU9=$D9),3,($C9-$D9)/MAX(ABS($C9-$D9),1)=(DT9-DU9)/MAX(ABS(DT9-DU9),1),1,TRUE,0)</f>
        <v/>
      </c>
      <c r="DW9" s="18"/>
      <c r="DX9" s="19"/>
      <c r="DY9" s="33" t="str" cm="1">
        <f t="array" ref="DY9">_xlfn.IFS($D9="","",AND(DW9=$C9,DX9=$D9),3,($C9-$D9)/MAX(ABS($C9-$D9),1)=(DW9-DX9)/MAX(ABS(DW9-DX9),1),1,TRUE,0)</f>
        <v/>
      </c>
      <c r="DZ9" s="18"/>
      <c r="EA9" s="19"/>
      <c r="EB9" s="33" t="str" cm="1">
        <f t="array" ref="EB9">_xlfn.IFS($D9="","",AND(DZ9=$C9,EA9=$D9),3,($C9-$D9)/MAX(ABS($C9-$D9),1)=(DZ9-EA9)/MAX(ABS(DZ9-EA9),1),1,TRUE,0)</f>
        <v/>
      </c>
      <c r="EC9" s="18"/>
      <c r="ED9" s="19"/>
      <c r="EE9" s="33" t="str" cm="1">
        <f t="array" ref="EE9">_xlfn.IFS($D9="","",AND(EC9=$C9,ED9=$D9),3,($C9-$D9)/MAX(ABS($C9-$D9),1)=(EC9-ED9)/MAX(ABS(EC9-ED9),1),1,TRUE,0)</f>
        <v/>
      </c>
      <c r="EF9" s="18"/>
      <c r="EG9" s="19"/>
      <c r="EH9" s="33" t="str" cm="1">
        <f t="array" ref="EH9">_xlfn.IFS($D9="","",AND(EF9=$C9,EG9=$D9),3,($C9-$D9)/MAX(ABS($C9-$D9),1)=(EF9-EG9)/MAX(ABS(EF9-EG9),1),1,TRUE,0)</f>
        <v/>
      </c>
      <c r="EI9" s="43"/>
      <c r="EJ9" s="44"/>
      <c r="EK9" s="33" t="str" cm="1">
        <f t="array" ref="EK9">_xlfn.IFS($D9="","",AND(EI9=$C9,EJ9=$D9),3,($C9-$D9)/MAX(ABS($C9-$D9),1)=(EI9-EJ9)/MAX(ABS(EI9-EJ9),1),1,TRUE,0)</f>
        <v/>
      </c>
      <c r="EL9" s="18"/>
      <c r="EM9" s="19"/>
      <c r="EN9" s="33" t="str" cm="1">
        <f t="array" ref="EN9">_xlfn.IFS($D9="","",AND(EL9=$C9,EM9=$D9),3,($C9-$D9)/MAX(ABS($C9-$D9),1)=(EL9-EM9)/MAX(ABS(EL9-EM9),1),1,TRUE,0)</f>
        <v/>
      </c>
      <c r="EO9" s="18"/>
      <c r="EP9" s="19"/>
      <c r="EQ9" s="33" t="str" cm="1">
        <f t="array" ref="EQ9">_xlfn.IFS($D9="","",AND(EO9=$C9,EP9=$D9),3,($C9-$D9)/MAX(ABS($C9-$D9),1)=(EO9-EP9)/MAX(ABS(EO9-EP9),1),1,TRUE,0)</f>
        <v/>
      </c>
      <c r="ER9" s="18"/>
      <c r="ES9" s="19"/>
      <c r="ET9" s="33" t="str" cm="1">
        <f t="array" ref="ET9">_xlfn.IFS($D9="","",AND(ER9=$C9,ES9=$D9),3,($C9-$D9)/MAX(ABS($C9-$D9),1)=(ER9-ES9)/MAX(ABS(ER9-ES9),1),1,TRUE,0)</f>
        <v/>
      </c>
      <c r="EU9" s="18"/>
      <c r="EV9" s="19"/>
      <c r="EW9" s="33" t="str" cm="1">
        <f t="array" ref="EW9">_xlfn.IFS($D9="","",AND(EU9=$C9,EV9=$D9),3,($C9-$D9)/MAX(ABS($C9-$D9),1)=(EU9-EV9)/MAX(ABS(EU9-EV9),1),1,TRUE,0)</f>
        <v/>
      </c>
      <c r="EX9" s="18"/>
      <c r="EY9" s="19"/>
      <c r="EZ9" s="33" t="str" cm="1">
        <f t="array" ref="EZ9">_xlfn.IFS($D9="","",AND(EX9=$C9,EY9=$D9),3,($C9-$D9)/MAX(ABS($C9-$D9),1)=(EX9-EY9)/MAX(ABS(EX9-EY9),1),1,TRUE,0)</f>
        <v/>
      </c>
      <c r="FA9" s="18"/>
      <c r="FB9" s="19"/>
      <c r="FC9" s="33" t="str" cm="1">
        <f t="array" ref="FC9">_xlfn.IFS($D9="","",AND(FA9=$C9,FB9=$D9),3,($C9-$D9)/MAX(ABS($C9-$D9),1)=(FA9-FB9)/MAX(ABS(FA9-FB9),1),1,TRUE,0)</f>
        <v/>
      </c>
      <c r="FD9" s="18"/>
      <c r="FE9" s="19"/>
      <c r="FF9" s="33" t="str" cm="1">
        <f t="array" ref="FF9">_xlfn.IFS($D9="","",AND(FD9=$C9,FE9=$D9),3,($C9-$D9)/MAX(ABS($C9-$D9),1)=(FD9-FE9)/MAX(ABS(FD9-FE9),1),1,TRUE,0)</f>
        <v/>
      </c>
      <c r="FG9" s="18"/>
      <c r="FH9" s="19"/>
      <c r="FI9" s="33" t="str" cm="1">
        <f t="array" ref="FI9">_xlfn.IFS($D9="","",AND(FG9=$C9,FH9=$D9),3,($C9-$D9)/MAX(ABS($C9-$D9),1)=(FG9-FH9)/MAX(ABS(FG9-FH9),1),1,TRUE,0)</f>
        <v/>
      </c>
      <c r="FJ9" s="18"/>
      <c r="FK9" s="19"/>
      <c r="FL9" s="33" t="str" cm="1">
        <f t="array" ref="FL9">_xlfn.IFS($D9="","",AND(FJ9=$C9,FK9=$D9),3,($C9-$D9)/MAX(ABS($C9-$D9),1)=(FJ9-FK9)/MAX(ABS(FJ9-FK9),1),1,TRUE,0)</f>
        <v/>
      </c>
      <c r="FM9" s="18"/>
      <c r="FN9" s="19"/>
      <c r="FO9" s="33" t="str" cm="1">
        <f t="array" ref="FO9">_xlfn.IFS($D9="","",AND(FM9=$C9,FN9=$D9),3,($C9-$D9)/MAX(ABS($C9-$D9),1)=(FM9-FN9)/MAX(ABS(FM9-FN9),1),1,TRUE,0)</f>
        <v/>
      </c>
      <c r="FP9" s="18"/>
      <c r="FQ9" s="19"/>
      <c r="FR9" s="33" t="str" cm="1">
        <f t="array" ref="FR9">_xlfn.IFS($D9="","",AND(FP9=$C9,FQ9=$D9),3,($C9-$D9)/MAX(ABS($C9-$D9),1)=(FP9-FQ9)/MAX(ABS(FP9-FQ9),1),1,TRUE,0)</f>
        <v/>
      </c>
      <c r="FS9" s="18"/>
      <c r="FT9" s="19"/>
      <c r="FU9" s="33" t="str" cm="1">
        <f t="array" ref="FU9">_xlfn.IFS($D9="","",AND(FS9=$C9,FT9=$D9),3,($C9-$D9)/MAX(ABS($C9-$D9),1)=(FS9-FT9)/MAX(ABS(FS9-FT9),1),1,TRUE,0)</f>
        <v/>
      </c>
      <c r="FV9" s="18"/>
      <c r="FW9" s="19"/>
      <c r="FX9" s="33" t="str" cm="1">
        <f t="array" ref="FX9">_xlfn.IFS($D9="","",AND(FV9=$C9,FW9=$D9),3,($C9-$D9)/MAX(ABS($C9-$D9),1)=(FV9-FW9)/MAX(ABS(FV9-FW9),1),1,TRUE,0)</f>
        <v/>
      </c>
      <c r="FY9" s="18"/>
      <c r="FZ9" s="19"/>
      <c r="GA9" s="33" t="str" cm="1">
        <f t="array" ref="GA9">_xlfn.IFS($D9="","",AND(FY9=$C9,FZ9=$D9),3,($C9-$D9)/MAX(ABS($C9-$D9),1)=(FY9-FZ9)/MAX(ABS(FY9-FZ9),1),1,TRUE,0)</f>
        <v/>
      </c>
      <c r="GB9" s="18"/>
      <c r="GC9" s="19"/>
      <c r="GD9" s="33" t="str" cm="1">
        <f t="array" ref="GD9">_xlfn.IFS($D9="","",AND(GB9=$C9,GC9=$D9),3,($C9-$D9)/MAX(ABS($C9-$D9),1)=(GB9-GC9)/MAX(ABS(GB9-GC9),1),1,TRUE,0)</f>
        <v/>
      </c>
      <c r="GE9" s="47"/>
      <c r="GF9" s="45"/>
      <c r="GG9" s="33" t="str" cm="1">
        <f t="array" ref="GG9">_xlfn.IFS($D9="","",AND(GE9=$C9,GF9=$D9),3,($C9-$D9)/MAX(ABS($C9-$D9),1)=(GE9-GF9)/MAX(ABS(GE9-GF9),1),1,TRUE,0)</f>
        <v/>
      </c>
      <c r="GH9" s="18"/>
      <c r="GI9" s="19"/>
      <c r="GJ9" s="33" t="str" cm="1">
        <f t="array" ref="GJ9">_xlfn.IFS($D9="","",AND(GH9=$C9,GI9=$D9),3,($C9-$D9)/MAX(ABS($C9-$D9),1)=(GH9-GI9)/MAX(ABS(GH9-GI9),1),1,TRUE,0)</f>
        <v/>
      </c>
      <c r="GK9" s="18"/>
      <c r="GL9" s="19"/>
      <c r="GM9" s="33" t="str" cm="1">
        <f t="array" ref="GM9">_xlfn.IFS($D9="","",AND(GK9=$C9,GL9=$D9),3,($C9-$D9)/MAX(ABS($C9-$D9),1)=(GK9-GL9)/MAX(ABS(GK9-GL9),1),1,TRUE,0)</f>
        <v/>
      </c>
      <c r="GN9" s="18"/>
      <c r="GO9" s="19"/>
      <c r="GP9" s="33" t="str" cm="1">
        <f t="array" ref="GP9">_xlfn.IFS($D9="","",AND(GN9=$C9,GO9=$D9),3,($C9-$D9)/MAX(ABS($C9-$D9),1)=(GN9-GO9)/MAX(ABS(GN9-GO9),1),1,TRUE,0)</f>
        <v/>
      </c>
      <c r="GQ9" s="18"/>
      <c r="GR9" s="19"/>
      <c r="GS9" s="33" t="str" cm="1">
        <f t="array" ref="GS9">_xlfn.IFS($D9="","",AND(GQ9=$C9,GR9=$D9),3,($C9-$D9)/MAX(ABS($C9-$D9),1)=(GQ9-GR9)/MAX(ABS(GQ9-GR9),1),1,TRUE,0)</f>
        <v/>
      </c>
      <c r="GT9" s="18"/>
      <c r="GU9" s="19"/>
      <c r="GV9" s="33" t="str" cm="1">
        <f t="array" ref="GV9">_xlfn.IFS($D9="","",AND(GT9=$C9,GU9=$D9),3,($C9-$D9)/MAX(ABS($C9-$D9),1)=(GT9-GU9)/MAX(ABS(GT9-GU9),1),1,TRUE,0)</f>
        <v/>
      </c>
      <c r="GW9" s="18"/>
      <c r="GX9" s="19"/>
      <c r="GY9" s="33" t="str" cm="1">
        <f t="array" ref="GY9">_xlfn.IFS($D9="","",AND(GW9=$C9,GX9=$D9),3,($C9-$D9)/MAX(ABS($C9-$D9),1)=(GW9-GX9)/MAX(ABS(GW9-GX9),1),1,TRUE,0)</f>
        <v/>
      </c>
      <c r="GZ9" s="18"/>
      <c r="HA9" s="19"/>
      <c r="HB9" s="33" t="str" cm="1">
        <f t="array" ref="HB9">_xlfn.IFS($D9="","",AND(GZ9=$C9,HA9=$D9),3,($C9-$D9)/MAX(ABS($C9-$D9),1)=(GZ9-HA9)/MAX(ABS(GZ9-HA9),1),1,TRUE,0)</f>
        <v/>
      </c>
      <c r="HC9" s="18"/>
      <c r="HD9" s="19"/>
      <c r="HE9" s="33" t="str" cm="1">
        <f t="array" ref="HE9">_xlfn.IFS($D9="","",AND(HC9=$C9,HD9=$D9),3,($C9-$D9)/MAX(ABS($C9-$D9),1)=(HC9-HD9)/MAX(ABS(HC9-HD9),1),1,TRUE,0)</f>
        <v/>
      </c>
      <c r="HF9" s="18"/>
      <c r="HG9" s="19"/>
      <c r="HH9" s="33" t="str" cm="1">
        <f t="array" ref="HH9">_xlfn.IFS($D9="","",AND(HF9=$C9,HG9=$D9),3,($C9-$D9)/MAX(ABS($C9-$D9),1)=(HF9-HG9)/MAX(ABS(HF9-HG9),1),1,TRUE,0)</f>
        <v/>
      </c>
      <c r="HI9" s="18"/>
      <c r="HJ9" s="19"/>
      <c r="HK9" s="33" t="str" cm="1">
        <f t="array" ref="HK9">_xlfn.IFS($D9="","",AND(HI9=$C9,HJ9=$D9),3,($C9-$D9)/MAX(ABS($C9-$D9),1)=(HI9-HJ9)/MAX(ABS(HI9-HJ9),1),1,TRUE,0)</f>
        <v/>
      </c>
      <c r="HL9" s="18"/>
      <c r="HM9" s="19"/>
      <c r="HN9" s="33" t="str" cm="1">
        <f t="array" ref="HN9">_xlfn.IFS($D9="","",AND(HL9=$C9,HM9=$D9),3,($C9-$D9)/MAX(ABS($C9-$D9),1)=(HL9-HM9)/MAX(ABS(HL9-HM9),1),1,TRUE,0)</f>
        <v/>
      </c>
      <c r="HO9" s="18"/>
      <c r="HP9" s="19"/>
      <c r="HQ9" s="33" t="str" cm="1">
        <f t="array" ref="HQ9">_xlfn.IFS($D9="","",AND(HO9=$C9,HP9=$D9),3,($C9-$D9)/MAX(ABS($C9-$D9),1)=(HO9-HP9)/MAX(ABS(HO9-HP9),1),1,TRUE,0)</f>
        <v/>
      </c>
      <c r="HR9" s="18"/>
      <c r="HS9" s="19"/>
      <c r="HT9" s="33" t="str" cm="1">
        <f t="array" ref="HT9">_xlfn.IFS($D9="","",AND(HR9=$C9,HS9=$D9),3,($C9-$D9)/MAX(ABS($C9-$D9),1)=(HR9-HS9)/MAX(ABS(HR9-HS9),1),1,TRUE,0)</f>
        <v/>
      </c>
      <c r="HU9" s="18"/>
      <c r="HV9" s="19"/>
      <c r="HW9" s="33" t="str" cm="1">
        <f t="array" ref="HW9">_xlfn.IFS($D9="","",AND(HU9=$C9,HV9=$D9),3,($C9-$D9)/MAX(ABS($C9-$D9),1)=(HU9-HV9)/MAX(ABS(HU9-HV9),1),1,TRUE,0)</f>
        <v/>
      </c>
      <c r="HX9" s="18"/>
      <c r="HY9" s="19"/>
      <c r="HZ9" s="33" t="str" cm="1">
        <f t="array" ref="HZ9">_xlfn.IFS($D9="","",AND(HX9=$C9,HY9=$D9),3,($C9-$D9)/MAX(ABS($C9-$D9),1)=(HX9-HY9)/MAX(ABS(HX9-HY9),1),1,TRUE,0)</f>
        <v/>
      </c>
      <c r="IA9" s="18"/>
      <c r="IB9" s="19"/>
      <c r="IC9" s="33" t="str" cm="1">
        <f t="array" ref="IC9">_xlfn.IFS($D9="","",AND(IA9=$C9,IB9=$D9),3,($C9-$D9)/MAX(ABS($C9-$D9),1)=(IA9-IB9)/MAX(ABS(IA9-IB9),1),1,TRUE,0)</f>
        <v/>
      </c>
      <c r="ID9" s="18"/>
      <c r="IE9" s="19"/>
      <c r="IF9" s="33" t="str" cm="1">
        <f t="array" ref="IF9">_xlfn.IFS($D9="","",AND(ID9=$C9,IE9=$D9),3,($C9-$D9)/MAX(ABS($C9-$D9),1)=(ID9-IE9)/MAX(ABS(ID9-IE9),1),1,TRUE,0)</f>
        <v/>
      </c>
      <c r="IG9" s="18"/>
      <c r="IH9" s="19"/>
      <c r="II9" s="33" t="str" cm="1">
        <f t="array" ref="II9">_xlfn.IFS($D9="","",AND(IG9=$C9,IH9=$D9),3,($C9-$D9)/MAX(ABS($C9-$D9),1)=(IG9-IH9)/MAX(ABS(IG9-IH9),1),1,TRUE,0)</f>
        <v/>
      </c>
      <c r="IJ9" s="18"/>
      <c r="IK9" s="19"/>
      <c r="IL9" s="33" t="str" cm="1">
        <f t="array" ref="IL9">_xlfn.IFS($D9="","",AND(IJ9=$C9,IK9=$D9),3,($C9-$D9)/MAX(ABS($C9-$D9),1)=(IJ9-IK9)/MAX(ABS(IJ9-IK9),1),1,TRUE,0)</f>
        <v/>
      </c>
      <c r="IM9" s="18"/>
      <c r="IN9" s="19"/>
      <c r="IO9" s="33" t="str" cm="1">
        <f t="array" ref="IO9">_xlfn.IFS($D9="","",AND(IM9=$C9,IN9=$D9),3,($C9-$D9)/MAX(ABS($C9-$D9),1)=(IM9-IN9)/MAX(ABS(IM9-IN9),1),1,TRUE,0)</f>
        <v/>
      </c>
      <c r="IP9" s="18"/>
      <c r="IQ9" s="19"/>
      <c r="IR9" s="33" t="str" cm="1">
        <f t="array" ref="IR9">_xlfn.IFS($D9="","",AND(IP9=$C9,IQ9=$D9),3,($C9-$D9)/MAX(ABS($C9-$D9),1)=(IP9-IQ9)/MAX(ABS(IP9-IQ9),1),1,TRUE,0)</f>
        <v/>
      </c>
      <c r="IS9" s="18"/>
      <c r="IT9" s="19"/>
      <c r="IU9" s="33" t="str" cm="1">
        <f t="array" ref="IU9">_xlfn.IFS($D9="","",AND(IS9=$C9,IT9=$D9),3,($C9-$D9)/MAX(ABS($C9-$D9),1)=(IS9-IT9)/MAX(ABS(IS9-IT9),1),1,TRUE,0)</f>
        <v/>
      </c>
      <c r="IV9" s="18"/>
      <c r="IW9" s="19"/>
      <c r="IX9" s="33" t="str" cm="1">
        <f t="array" ref="IX9">_xlfn.IFS($D9="","",AND(IV9=$C9,IW9=$D9),3,($C9-$D9)/MAX(ABS($C9-$D9),1)=(IV9-IW9)/MAX(ABS(IV9-IW9),1),1,TRUE,0)</f>
        <v/>
      </c>
      <c r="IY9" s="18"/>
      <c r="IZ9" s="19"/>
      <c r="JA9" s="33" t="str" cm="1">
        <f t="array" ref="JA9">_xlfn.IFS($D9="","",AND(IY9=$C9,IZ9=$D9),3,($C9-$D9)/MAX(ABS($C9-$D9),1)=(IY9-IZ9)/MAX(ABS(IY9-IZ9),1),1,TRUE,0)</f>
        <v/>
      </c>
      <c r="JB9" s="18"/>
      <c r="JC9" s="19"/>
      <c r="JD9" s="33" t="str" cm="1">
        <f t="array" ref="JD9">_xlfn.IFS($D9="","",AND(JB9=$C9,JC9=$D9),3,($C9-$D9)/MAX(ABS($C9-$D9),1)=(JB9-JC9)/MAX(ABS(JB9-JC9),1),1,TRUE,0)</f>
        <v/>
      </c>
    </row>
    <row r="10" spans="1:264" ht="15" thickBot="1" x14ac:dyDescent="0.35">
      <c r="A10" s="22">
        <v>46187</v>
      </c>
      <c r="B10" s="28" t="s">
        <v>41</v>
      </c>
      <c r="C10" s="53" t="str" cm="1">
        <f t="array" ref="C10">_xlfn.LET(
_xlpm.x,_xlfn.XLOOKUP(1,(Scores_Fixtures[Date]=A10)*(Scores_Fixtures[Home.1]=B10),Scores_Fixtures[Score.1],""),
IF(_xlpm.x="","",_xlpm.x)
)</f>
        <v/>
      </c>
      <c r="D10" s="53" t="str" cm="1">
        <f t="array" ref="D10">_xlfn.LET(
_xlpm.x,_xlfn.XLOOKUP(1,(Scores_Fixtures[Date]=A10)*(Scores_Fixtures[Home.1]=B10),Scores_Fixtures[Score.2],""),
IF(_xlpm.x="","",_xlpm.x)
)</f>
        <v/>
      </c>
      <c r="E10" s="12" t="s">
        <v>50</v>
      </c>
      <c r="F10" s="15"/>
      <c r="G10" s="53"/>
      <c r="H10" s="53"/>
      <c r="I10" s="33" t="str" cm="1">
        <f t="array" ref="I10">_xlfn.IFS($D10="","",AND(G10=$C10,H10=$D10),3,($C10-$D10)/MAX(ABS($C10-$D10),1)=(G10-H10)/MAX(ABS(G10-H10),1),1,TRUE,0)</f>
        <v/>
      </c>
      <c r="J10" s="18"/>
      <c r="K10" s="19"/>
      <c r="L10" s="33" t="str" cm="1">
        <f t="array" ref="L10">_xlfn.IFS($D10="","",AND(J10=$C10,K10=$D10),3,($C10-$D10)/MAX(ABS($C10-$D10),1)=(J10-K10)/MAX(ABS(J10-K10),1),1,TRUE,0)</f>
        <v/>
      </c>
      <c r="M10" s="18"/>
      <c r="N10" s="19"/>
      <c r="O10" s="33" t="str" cm="1">
        <f t="array" ref="O10">_xlfn.IFS($D10="","",AND(M10=$C10,N10=$D10),3,($C10-$D10)/MAX(ABS($C10-$D10),1)=(M10-N10)/MAX(ABS(M10-N10),1),1,TRUE,0)</f>
        <v/>
      </c>
      <c r="P10" s="18"/>
      <c r="Q10" s="19"/>
      <c r="R10" s="33" t="str" cm="1">
        <f t="array" ref="R10">_xlfn.IFS($D10="","",AND(P10=$C10,Q10=$D10),3,($C10-$D10)/MAX(ABS($C10-$D10),1)=(P10-Q10)/MAX(ABS(P10-Q10),1),1,TRUE,0)</f>
        <v/>
      </c>
      <c r="S10" s="18"/>
      <c r="T10" s="19"/>
      <c r="U10" s="33" t="str" cm="1">
        <f t="array" ref="U10">_xlfn.IFS($D10="","",AND(S10=$C10,T10=$D10),3,($C10-$D10)/MAX(ABS($C10-$D10),1)=(S10-T10)/MAX(ABS(S10-T10),1),1,TRUE,0)</f>
        <v/>
      </c>
      <c r="V10" s="18"/>
      <c r="W10" s="19"/>
      <c r="X10" s="33" t="str" cm="1">
        <f t="array" ref="X10">_xlfn.IFS($D10="","",AND(V10=$C10,W10=$D10),3,($C10-$D10)/MAX(ABS($C10-$D10),1)=(V10-W10)/MAX(ABS(V10-W10),1),1,TRUE,0)</f>
        <v/>
      </c>
      <c r="Y10" s="18"/>
      <c r="Z10" s="19"/>
      <c r="AA10" s="33" t="str" cm="1">
        <f t="array" ref="AA10">_xlfn.IFS($D10="","",AND(Y10=$C10,Z10=$D10),3,($C10-$D10)/MAX(ABS($C10-$D10),1)=(Y10-Z10)/MAX(ABS(Y10-Z10),1),1,TRUE,0)</f>
        <v/>
      </c>
      <c r="AB10" s="18"/>
      <c r="AC10" s="19"/>
      <c r="AD10" s="33" t="str" cm="1">
        <f t="array" ref="AD10">_xlfn.IFS($D10="","",AND(AB10=$C10,AC10=$D10),3,($C10-$D10)/MAX(ABS($C10-$D10),1)=(AB10-AC10)/MAX(ABS(AB10-AC10),1),1,TRUE,0)</f>
        <v/>
      </c>
      <c r="AE10" s="18"/>
      <c r="AF10" s="19"/>
      <c r="AG10" s="33" t="str" cm="1">
        <f t="array" ref="AG10">_xlfn.IFS($D10="","",AND(AE10=$C10,AF10=$D10),3,($C10-$D10)/MAX(ABS($C10-$D10),1)=(AE10-AF10)/MAX(ABS(AE10-AF10),1),1,TRUE,0)</f>
        <v/>
      </c>
      <c r="AH10" s="18"/>
      <c r="AI10" s="19"/>
      <c r="AJ10" s="33" t="str" cm="1">
        <f t="array" ref="AJ10">_xlfn.IFS($D10="","",AND(AH10=$C10,AI10=$D10),3,($C10-$D10)/MAX(ABS($C10-$D10),1)=(AH10-AI10)/MAX(ABS(AH10-AI10),1),1,TRUE,0)</f>
        <v/>
      </c>
      <c r="AK10" s="18"/>
      <c r="AL10" s="19"/>
      <c r="AM10" s="33" t="str" cm="1">
        <f t="array" ref="AM10">_xlfn.IFS($D10="","",AND(AK10=$C10,AL10=$D10),3,($C10-$D10)/MAX(ABS($C10-$D10),1)=(AK10-AL10)/MAX(ABS(AK10-AL10),1),1,TRUE,0)</f>
        <v/>
      </c>
      <c r="AN10" s="18"/>
      <c r="AO10" s="19"/>
      <c r="AP10" s="33" t="str" cm="1">
        <f t="array" ref="AP10">_xlfn.IFS($D10="","",AND(AN10=$C10,AO10=$D10),3,($C10-$D10)/MAX(ABS($C10-$D10),1)=(AN10-AO10)/MAX(ABS(AN10-AO10),1),1,TRUE,0)</f>
        <v/>
      </c>
      <c r="AQ10" s="18"/>
      <c r="AR10" s="19"/>
      <c r="AS10" s="33" t="str" cm="1">
        <f t="array" ref="AS10">_xlfn.IFS($D10="","",AND(AQ10=$C10,AR10=$D10),3,($C10-$D10)/MAX(ABS($C10-$D10),1)=(AQ10-AR10)/MAX(ABS(AQ10-AR10),1),1,TRUE,0)</f>
        <v/>
      </c>
      <c r="AT10" s="18"/>
      <c r="AU10" s="19"/>
      <c r="AV10" s="33" t="str" cm="1">
        <f t="array" ref="AV10">_xlfn.IFS($D10="","",AND(AT10=$C10,AU10=$D10),3,($C10-$D10)/MAX(ABS($C10-$D10),1)=(AT10-AU10)/MAX(ABS(AT10-AU10),1),1,TRUE,0)</f>
        <v/>
      </c>
      <c r="AW10" s="18"/>
      <c r="AX10" s="19"/>
      <c r="AY10" s="33" t="str" cm="1">
        <f t="array" ref="AY10">_xlfn.IFS($D10="","",AND(AW10=$C10,AX10=$D10),3,($C10-$D10)/MAX(ABS($C10-$D10),1)=(AW10-AX10)/MAX(ABS(AW10-AX10),1),1,TRUE,0)</f>
        <v/>
      </c>
      <c r="AZ10" s="18"/>
      <c r="BA10" s="19"/>
      <c r="BB10" s="33" t="str" cm="1">
        <f t="array" ref="BB10">_xlfn.IFS($D10="","",AND(AZ10=$C10,BA10=$D10),3,($C10-$D10)/MAX(ABS($C10-$D10),1)=(AZ10-BA10)/MAX(ABS(AZ10-BA10),1),1,TRUE,0)</f>
        <v/>
      </c>
      <c r="BC10" s="18"/>
      <c r="BD10" s="19"/>
      <c r="BE10" s="33" t="str" cm="1">
        <f t="array" ref="BE10">_xlfn.IFS($D10="","",AND(BC10=$C10,BD10=$D10),3,($C10-$D10)/MAX(ABS($C10-$D10),1)=(BC10-BD10)/MAX(ABS(BC10-BD10),1),1,TRUE,0)</f>
        <v/>
      </c>
      <c r="BF10" s="18"/>
      <c r="BG10" s="19"/>
      <c r="BH10" s="33" t="str" cm="1">
        <f t="array" ref="BH10">_xlfn.IFS($D10="","",AND(BF10=$C10,BG10=$D10),3,($C10-$D10)/MAX(ABS($C10-$D10),1)=(BF10-BG10)/MAX(ABS(BF10-BG10),1),1,TRUE,0)</f>
        <v/>
      </c>
      <c r="BI10" s="18"/>
      <c r="BJ10" s="19"/>
      <c r="BK10" s="33" t="str" cm="1">
        <f t="array" ref="BK10">_xlfn.IFS($D10="","",AND(BI10=$C10,BJ10=$D10),3,($C10-$D10)/MAX(ABS($C10-$D10),1)=(BI10-BJ10)/MAX(ABS(BI10-BJ10),1),1,TRUE,0)</f>
        <v/>
      </c>
      <c r="BL10" s="18"/>
      <c r="BM10" s="19"/>
      <c r="BN10" s="33" t="str" cm="1">
        <f t="array" ref="BN10">_xlfn.IFS($D10="","",AND(BL10=$C10,BM10=$D10),3,($C10-$D10)/MAX(ABS($C10-$D10),1)=(BL10-BM10)/MAX(ABS(BL10-BM10),1),1,TRUE,0)</f>
        <v/>
      </c>
      <c r="BO10" s="18"/>
      <c r="BP10" s="19"/>
      <c r="BQ10" s="33" t="str" cm="1">
        <f t="array" ref="BQ10">_xlfn.IFS($D10="","",AND(BO10=$C10,BP10=$D10),3,($C10-$D10)/MAX(ABS($C10-$D10),1)=(BO10-BP10)/MAX(ABS(BO10-BP10),1),1,TRUE,0)</f>
        <v/>
      </c>
      <c r="BR10" s="18"/>
      <c r="BS10" s="19"/>
      <c r="BT10" s="33" t="str" cm="1">
        <f t="array" ref="BT10">_xlfn.IFS($D10="","",AND(BR10=$C10,BS10=$D10),3,($C10-$D10)/MAX(ABS($C10-$D10),1)=(BR10-BS10)/MAX(ABS(BR10-BS10),1),1,TRUE,0)</f>
        <v/>
      </c>
      <c r="BU10" s="18"/>
      <c r="BV10" s="19"/>
      <c r="BW10" s="33" t="str" cm="1">
        <f t="array" ref="BW10">_xlfn.IFS($D10="","",AND(BU10=$C10,BV10=$D10),3,($C10-$D10)/MAX(ABS($C10-$D10),1)=(BU10-BV10)/MAX(ABS(BU10-BV10),1),1,TRUE,0)</f>
        <v/>
      </c>
      <c r="BX10" s="18"/>
      <c r="BY10" s="19"/>
      <c r="BZ10" s="33" t="str" cm="1">
        <f t="array" ref="BZ10">_xlfn.IFS($D10="","",AND(BX10=$C10,BY10=$D10),3,($C10-$D10)/MAX(ABS($C10-$D10),1)=(BX10-BY10)/MAX(ABS(BX10-BY10),1),1,TRUE,0)</f>
        <v/>
      </c>
      <c r="CA10" s="18"/>
      <c r="CB10" s="19"/>
      <c r="CC10" s="33" t="str" cm="1">
        <f t="array" ref="CC10">_xlfn.IFS($D10="","",AND(CA10=$C10,CB10=$D10),3,($C10-$D10)/MAX(ABS($C10-$D10),1)=(CA10-CB10)/MAX(ABS(CA10-CB10),1),1,TRUE,0)</f>
        <v/>
      </c>
      <c r="CD10" s="18"/>
      <c r="CE10" s="19"/>
      <c r="CF10" s="33" t="str" cm="1">
        <f t="array" ref="CF10">_xlfn.IFS($D10="","",AND(CD10=$C10,CE10=$D10),3,($C10-$D10)/MAX(ABS($C10-$D10),1)=(CD10-CE10)/MAX(ABS(CD10-CE10),1),1,TRUE,0)</f>
        <v/>
      </c>
      <c r="CG10" s="18"/>
      <c r="CH10" s="19"/>
      <c r="CI10" s="33" t="str" cm="1">
        <f t="array" ref="CI10">_xlfn.IFS($D10="","",AND(CG10=$C10,CH10=$D10),3,($C10-$D10)/MAX(ABS($C10-$D10),1)=(CG10-CH10)/MAX(ABS(CG10-CH10),1),1,TRUE,0)</f>
        <v/>
      </c>
      <c r="CJ10" s="18"/>
      <c r="CK10" s="19"/>
      <c r="CL10" s="33" t="str" cm="1">
        <f t="array" ref="CL10">_xlfn.IFS($D10="","",AND(CJ10=$C10,CK10=$D10),3,($C10-$D10)/MAX(ABS($C10-$D10),1)=(CJ10-CK10)/MAX(ABS(CJ10-CK10),1),1,TRUE,0)</f>
        <v/>
      </c>
      <c r="CM10" s="18"/>
      <c r="CN10" s="19"/>
      <c r="CO10" s="33" t="str" cm="1">
        <f t="array" ref="CO10">_xlfn.IFS($D10="","",AND(CM10=$C10,CN10=$D10),3,($C10-$D10)/MAX(ABS($C10-$D10),1)=(CM10-CN10)/MAX(ABS(CM10-CN10),1),1,TRUE,0)</f>
        <v/>
      </c>
      <c r="CP10" s="18"/>
      <c r="CQ10" s="19"/>
      <c r="CR10" s="33" t="str" cm="1">
        <f t="array" ref="CR10">_xlfn.IFS($D10="","",AND(CP10=$C10,CQ10=$D10),3,($C10-$D10)/MAX(ABS($C10-$D10),1)=(CP10-CQ10)/MAX(ABS(CP10-CQ10),1),1,TRUE,0)</f>
        <v/>
      </c>
      <c r="CS10" s="18"/>
      <c r="CT10" s="19"/>
      <c r="CU10" s="33" t="str" cm="1">
        <f t="array" ref="CU10">_xlfn.IFS($D10="","",AND(CS10=$C10,CT10=$D10),3,($C10-$D10)/MAX(ABS($C10-$D10),1)=(CS10-CT10)/MAX(ABS(CS10-CT10),1),1,TRUE,0)</f>
        <v/>
      </c>
      <c r="CV10" s="18"/>
      <c r="CW10" s="19"/>
      <c r="CX10" s="33" t="str" cm="1">
        <f t="array" ref="CX10">_xlfn.IFS($D10="","",AND(CV10=$C10,CW10=$D10),3,($C10-$D10)/MAX(ABS($C10-$D10),1)=(CV10-CW10)/MAX(ABS(CV10-CW10),1),1,TRUE,0)</f>
        <v/>
      </c>
      <c r="CY10" s="18"/>
      <c r="CZ10" s="19"/>
      <c r="DA10" s="33" t="str" cm="1">
        <f t="array" ref="DA10">_xlfn.IFS($D10="","",AND(CY10=$C10,CZ10=$D10),3,($C10-$D10)/MAX(ABS($C10-$D10),1)=(CY10-CZ10)/MAX(ABS(CY10-CZ10),1),1,TRUE,0)</f>
        <v/>
      </c>
      <c r="DB10" s="37"/>
      <c r="DC10" s="38"/>
      <c r="DD10" s="33" t="str" cm="1">
        <f t="array" ref="DD10">_xlfn.IFS($D10="","",AND(DB10=$C10,DC10=$D10),3,($C10-$D10)/MAX(ABS($C10-$D10),1)=(DB10-DC10)/MAX(ABS(DB10-DC10),1),1,TRUE,0)</f>
        <v/>
      </c>
      <c r="DE10" s="18"/>
      <c r="DF10" s="19"/>
      <c r="DG10" s="33" t="str" cm="1">
        <f t="array" ref="DG10">_xlfn.IFS($D10="","",AND(DE10=$C10,DF10=$D10),3,($C10-$D10)/MAX(ABS($C10-$D10),1)=(DE10-DF10)/MAX(ABS(DE10-DF10),1),1,TRUE,0)</f>
        <v/>
      </c>
      <c r="DH10" s="18"/>
      <c r="DI10" s="19"/>
      <c r="DJ10" s="33" t="str" cm="1">
        <f t="array" ref="DJ10">_xlfn.IFS($D10="","",AND(DH10=$C10,DI10=$D10),3,($C10-$D10)/MAX(ABS($C10-$D10),1)=(DH10-DI10)/MAX(ABS(DH10-DI10),1),1,TRUE,0)</f>
        <v/>
      </c>
      <c r="DK10" s="18"/>
      <c r="DL10" s="19"/>
      <c r="DM10" s="33" t="str" cm="1">
        <f t="array" ref="DM10">_xlfn.IFS($D10="","",AND(DK10=$C10,DL10=$D10),3,($C10-$D10)/MAX(ABS($C10-$D10),1)=(DK10-DL10)/MAX(ABS(DK10-DL10),1),1,TRUE,0)</f>
        <v/>
      </c>
      <c r="DN10" s="18"/>
      <c r="DO10" s="19"/>
      <c r="DP10" s="33" t="str" cm="1">
        <f t="array" ref="DP10">_xlfn.IFS($D10="","",AND(DN10=$C10,DO10=$D10),3,($C10-$D10)/MAX(ABS($C10-$D10),1)=(DN10-DO10)/MAX(ABS(DN10-DO10),1),1,TRUE,0)</f>
        <v/>
      </c>
      <c r="DQ10" s="18"/>
      <c r="DR10" s="19"/>
      <c r="DS10" s="33" t="str" cm="1">
        <f t="array" ref="DS10">_xlfn.IFS($D10="","",AND(DQ10=$C10,DR10=$D10),3,($C10-$D10)/MAX(ABS($C10-$D10),1)=(DQ10-DR10)/MAX(ABS(DQ10-DR10),1),1,TRUE,0)</f>
        <v/>
      </c>
      <c r="DT10" s="18"/>
      <c r="DU10" s="19"/>
      <c r="DV10" s="33" t="str" cm="1">
        <f t="array" ref="DV10">_xlfn.IFS($D10="","",AND(DT10=$C10,DU10=$D10),3,($C10-$D10)/MAX(ABS($C10-$D10),1)=(DT10-DU10)/MAX(ABS(DT10-DU10),1),1,TRUE,0)</f>
        <v/>
      </c>
      <c r="DW10" s="18"/>
      <c r="DX10" s="19"/>
      <c r="DY10" s="33" t="str" cm="1">
        <f t="array" ref="DY10">_xlfn.IFS($D10="","",AND(DW10=$C10,DX10=$D10),3,($C10-$D10)/MAX(ABS($C10-$D10),1)=(DW10-DX10)/MAX(ABS(DW10-DX10),1),1,TRUE,0)</f>
        <v/>
      </c>
      <c r="DZ10" s="18"/>
      <c r="EA10" s="19"/>
      <c r="EB10" s="33" t="str" cm="1">
        <f t="array" ref="EB10">_xlfn.IFS($D10="","",AND(DZ10=$C10,EA10=$D10),3,($C10-$D10)/MAX(ABS($C10-$D10),1)=(DZ10-EA10)/MAX(ABS(DZ10-EA10),1),1,TRUE,0)</f>
        <v/>
      </c>
      <c r="EC10" s="18"/>
      <c r="ED10" s="19"/>
      <c r="EE10" s="33" t="str" cm="1">
        <f t="array" ref="EE10">_xlfn.IFS($D10="","",AND(EC10=$C10,ED10=$D10),3,($C10-$D10)/MAX(ABS($C10-$D10),1)=(EC10-ED10)/MAX(ABS(EC10-ED10),1),1,TRUE,0)</f>
        <v/>
      </c>
      <c r="EF10" s="18"/>
      <c r="EG10" s="19"/>
      <c r="EH10" s="33" t="str" cm="1">
        <f t="array" ref="EH10">_xlfn.IFS($D10="","",AND(EF10=$C10,EG10=$D10),3,($C10-$D10)/MAX(ABS($C10-$D10),1)=(EF10-EG10)/MAX(ABS(EF10-EG10),1),1,TRUE,0)</f>
        <v/>
      </c>
      <c r="EI10" s="43"/>
      <c r="EJ10" s="44"/>
      <c r="EK10" s="33" t="str" cm="1">
        <f t="array" ref="EK10">_xlfn.IFS($D10="","",AND(EI10=$C10,EJ10=$D10),3,($C10-$D10)/MAX(ABS($C10-$D10),1)=(EI10-EJ10)/MAX(ABS(EI10-EJ10),1),1,TRUE,0)</f>
        <v/>
      </c>
      <c r="EL10" s="18"/>
      <c r="EM10" s="19"/>
      <c r="EN10" s="33" t="str" cm="1">
        <f t="array" ref="EN10">_xlfn.IFS($D10="","",AND(EL10=$C10,EM10=$D10),3,($C10-$D10)/MAX(ABS($C10-$D10),1)=(EL10-EM10)/MAX(ABS(EL10-EM10),1),1,TRUE,0)</f>
        <v/>
      </c>
      <c r="EO10" s="18"/>
      <c r="EP10" s="19"/>
      <c r="EQ10" s="33" t="str" cm="1">
        <f t="array" ref="EQ10">_xlfn.IFS($D10="","",AND(EO10=$C10,EP10=$D10),3,($C10-$D10)/MAX(ABS($C10-$D10),1)=(EO10-EP10)/MAX(ABS(EO10-EP10),1),1,TRUE,0)</f>
        <v/>
      </c>
      <c r="ER10" s="18"/>
      <c r="ES10" s="19"/>
      <c r="ET10" s="33" t="str" cm="1">
        <f t="array" ref="ET10">_xlfn.IFS($D10="","",AND(ER10=$C10,ES10=$D10),3,($C10-$D10)/MAX(ABS($C10-$D10),1)=(ER10-ES10)/MAX(ABS(ER10-ES10),1),1,TRUE,0)</f>
        <v/>
      </c>
      <c r="EU10" s="18"/>
      <c r="EV10" s="19"/>
      <c r="EW10" s="33" t="str" cm="1">
        <f t="array" ref="EW10">_xlfn.IFS($D10="","",AND(EU10=$C10,EV10=$D10),3,($C10-$D10)/MAX(ABS($C10-$D10),1)=(EU10-EV10)/MAX(ABS(EU10-EV10),1),1,TRUE,0)</f>
        <v/>
      </c>
      <c r="EX10" s="18"/>
      <c r="EY10" s="19"/>
      <c r="EZ10" s="33" t="str" cm="1">
        <f t="array" ref="EZ10">_xlfn.IFS($D10="","",AND(EX10=$C10,EY10=$D10),3,($C10-$D10)/MAX(ABS($C10-$D10),1)=(EX10-EY10)/MAX(ABS(EX10-EY10),1),1,TRUE,0)</f>
        <v/>
      </c>
      <c r="FA10" s="18"/>
      <c r="FB10" s="19"/>
      <c r="FC10" s="33" t="str" cm="1">
        <f t="array" ref="FC10">_xlfn.IFS($D10="","",AND(FA10=$C10,FB10=$D10),3,($C10-$D10)/MAX(ABS($C10-$D10),1)=(FA10-FB10)/MAX(ABS(FA10-FB10),1),1,TRUE,0)</f>
        <v/>
      </c>
      <c r="FD10" s="18"/>
      <c r="FE10" s="19"/>
      <c r="FF10" s="33" t="str" cm="1">
        <f t="array" ref="FF10">_xlfn.IFS($D10="","",AND(FD10=$C10,FE10=$D10),3,($C10-$D10)/MAX(ABS($C10-$D10),1)=(FD10-FE10)/MAX(ABS(FD10-FE10),1),1,TRUE,0)</f>
        <v/>
      </c>
      <c r="FG10" s="18"/>
      <c r="FH10" s="19"/>
      <c r="FI10" s="33" t="str" cm="1">
        <f t="array" ref="FI10">_xlfn.IFS($D10="","",AND(FG10=$C10,FH10=$D10),3,($C10-$D10)/MAX(ABS($C10-$D10),1)=(FG10-FH10)/MAX(ABS(FG10-FH10),1),1,TRUE,0)</f>
        <v/>
      </c>
      <c r="FJ10" s="18"/>
      <c r="FK10" s="19"/>
      <c r="FL10" s="33" t="str" cm="1">
        <f t="array" ref="FL10">_xlfn.IFS($D10="","",AND(FJ10=$C10,FK10=$D10),3,($C10-$D10)/MAX(ABS($C10-$D10),1)=(FJ10-FK10)/MAX(ABS(FJ10-FK10),1),1,TRUE,0)</f>
        <v/>
      </c>
      <c r="FM10" s="18"/>
      <c r="FN10" s="19"/>
      <c r="FO10" s="33" t="str" cm="1">
        <f t="array" ref="FO10">_xlfn.IFS($D10="","",AND(FM10=$C10,FN10=$D10),3,($C10-$D10)/MAX(ABS($C10-$D10),1)=(FM10-FN10)/MAX(ABS(FM10-FN10),1),1,TRUE,0)</f>
        <v/>
      </c>
      <c r="FP10" s="18"/>
      <c r="FQ10" s="19"/>
      <c r="FR10" s="33" t="str" cm="1">
        <f t="array" ref="FR10">_xlfn.IFS($D10="","",AND(FP10=$C10,FQ10=$D10),3,($C10-$D10)/MAX(ABS($C10-$D10),1)=(FP10-FQ10)/MAX(ABS(FP10-FQ10),1),1,TRUE,0)</f>
        <v/>
      </c>
      <c r="FS10" s="18"/>
      <c r="FT10" s="19"/>
      <c r="FU10" s="33" t="str" cm="1">
        <f t="array" ref="FU10">_xlfn.IFS($D10="","",AND(FS10=$C10,FT10=$D10),3,($C10-$D10)/MAX(ABS($C10-$D10),1)=(FS10-FT10)/MAX(ABS(FS10-FT10),1),1,TRUE,0)</f>
        <v/>
      </c>
      <c r="FV10" s="18"/>
      <c r="FW10" s="19"/>
      <c r="FX10" s="33" t="str" cm="1">
        <f t="array" ref="FX10">_xlfn.IFS($D10="","",AND(FV10=$C10,FW10=$D10),3,($C10-$D10)/MAX(ABS($C10-$D10),1)=(FV10-FW10)/MAX(ABS(FV10-FW10),1),1,TRUE,0)</f>
        <v/>
      </c>
      <c r="FY10" s="18"/>
      <c r="FZ10" s="19"/>
      <c r="GA10" s="33" t="str" cm="1">
        <f t="array" ref="GA10">_xlfn.IFS($D10="","",AND(FY10=$C10,FZ10=$D10),3,($C10-$D10)/MAX(ABS($C10-$D10),1)=(FY10-FZ10)/MAX(ABS(FY10-FZ10),1),1,TRUE,0)</f>
        <v/>
      </c>
      <c r="GB10" s="18"/>
      <c r="GC10" s="19"/>
      <c r="GD10" s="33" t="str" cm="1">
        <f t="array" ref="GD10">_xlfn.IFS($D10="","",AND(GB10=$C10,GC10=$D10),3,($C10-$D10)/MAX(ABS($C10-$D10),1)=(GB10-GC10)/MAX(ABS(GB10-GC10),1),1,TRUE,0)</f>
        <v/>
      </c>
      <c r="GE10" s="47"/>
      <c r="GF10" s="45"/>
      <c r="GG10" s="33" t="str" cm="1">
        <f t="array" ref="GG10">_xlfn.IFS($D10="","",AND(GE10=$C10,GF10=$D10),3,($C10-$D10)/MAX(ABS($C10-$D10),1)=(GE10-GF10)/MAX(ABS(GE10-GF10),1),1,TRUE,0)</f>
        <v/>
      </c>
      <c r="GH10" s="18"/>
      <c r="GI10" s="19"/>
      <c r="GJ10" s="33" t="str" cm="1">
        <f t="array" ref="GJ10">_xlfn.IFS($D10="","",AND(GH10=$C10,GI10=$D10),3,($C10-$D10)/MAX(ABS($C10-$D10),1)=(GH10-GI10)/MAX(ABS(GH10-GI10),1),1,TRUE,0)</f>
        <v/>
      </c>
      <c r="GK10" s="18"/>
      <c r="GL10" s="19"/>
      <c r="GM10" s="33" t="str" cm="1">
        <f t="array" ref="GM10">_xlfn.IFS($D10="","",AND(GK10=$C10,GL10=$D10),3,($C10-$D10)/MAX(ABS($C10-$D10),1)=(GK10-GL10)/MAX(ABS(GK10-GL10),1),1,TRUE,0)</f>
        <v/>
      </c>
      <c r="GN10" s="18"/>
      <c r="GO10" s="19"/>
      <c r="GP10" s="33" t="str" cm="1">
        <f t="array" ref="GP10">_xlfn.IFS($D10="","",AND(GN10=$C10,GO10=$D10),3,($C10-$D10)/MAX(ABS($C10-$D10),1)=(GN10-GO10)/MAX(ABS(GN10-GO10),1),1,TRUE,0)</f>
        <v/>
      </c>
      <c r="GQ10" s="18"/>
      <c r="GR10" s="19"/>
      <c r="GS10" s="33" t="str" cm="1">
        <f t="array" ref="GS10">_xlfn.IFS($D10="","",AND(GQ10=$C10,GR10=$D10),3,($C10-$D10)/MAX(ABS($C10-$D10),1)=(GQ10-GR10)/MAX(ABS(GQ10-GR10),1),1,TRUE,0)</f>
        <v/>
      </c>
      <c r="GT10" s="18"/>
      <c r="GU10" s="19"/>
      <c r="GV10" s="33" t="str" cm="1">
        <f t="array" ref="GV10">_xlfn.IFS($D10="","",AND(GT10=$C10,GU10=$D10),3,($C10-$D10)/MAX(ABS($C10-$D10),1)=(GT10-GU10)/MAX(ABS(GT10-GU10),1),1,TRUE,0)</f>
        <v/>
      </c>
      <c r="GW10" s="18"/>
      <c r="GX10" s="19"/>
      <c r="GY10" s="33" t="str" cm="1">
        <f t="array" ref="GY10">_xlfn.IFS($D10="","",AND(GW10=$C10,GX10=$D10),3,($C10-$D10)/MAX(ABS($C10-$D10),1)=(GW10-GX10)/MAX(ABS(GW10-GX10),1),1,TRUE,0)</f>
        <v/>
      </c>
      <c r="GZ10" s="18"/>
      <c r="HA10" s="19"/>
      <c r="HB10" s="33" t="str" cm="1">
        <f t="array" ref="HB10">_xlfn.IFS($D10="","",AND(GZ10=$C10,HA10=$D10),3,($C10-$D10)/MAX(ABS($C10-$D10),1)=(GZ10-HA10)/MAX(ABS(GZ10-HA10),1),1,TRUE,0)</f>
        <v/>
      </c>
      <c r="HC10" s="18"/>
      <c r="HD10" s="19"/>
      <c r="HE10" s="33" t="str" cm="1">
        <f t="array" ref="HE10">_xlfn.IFS($D10="","",AND(HC10=$C10,HD10=$D10),3,($C10-$D10)/MAX(ABS($C10-$D10),1)=(HC10-HD10)/MAX(ABS(HC10-HD10),1),1,TRUE,0)</f>
        <v/>
      </c>
      <c r="HF10" s="18"/>
      <c r="HG10" s="19"/>
      <c r="HH10" s="33" t="str" cm="1">
        <f t="array" ref="HH10">_xlfn.IFS($D10="","",AND(HF10=$C10,HG10=$D10),3,($C10-$D10)/MAX(ABS($C10-$D10),1)=(HF10-HG10)/MAX(ABS(HF10-HG10),1),1,TRUE,0)</f>
        <v/>
      </c>
      <c r="HI10" s="18"/>
      <c r="HJ10" s="19"/>
      <c r="HK10" s="33" t="str" cm="1">
        <f t="array" ref="HK10">_xlfn.IFS($D10="","",AND(HI10=$C10,HJ10=$D10),3,($C10-$D10)/MAX(ABS($C10-$D10),1)=(HI10-HJ10)/MAX(ABS(HI10-HJ10),1),1,TRUE,0)</f>
        <v/>
      </c>
      <c r="HL10" s="18"/>
      <c r="HM10" s="19"/>
      <c r="HN10" s="33" t="str" cm="1">
        <f t="array" ref="HN10">_xlfn.IFS($D10="","",AND(HL10=$C10,HM10=$D10),3,($C10-$D10)/MAX(ABS($C10-$D10),1)=(HL10-HM10)/MAX(ABS(HL10-HM10),1),1,TRUE,0)</f>
        <v/>
      </c>
      <c r="HO10" s="18"/>
      <c r="HP10" s="19"/>
      <c r="HQ10" s="33" t="str" cm="1">
        <f t="array" ref="HQ10">_xlfn.IFS($D10="","",AND(HO10=$C10,HP10=$D10),3,($C10-$D10)/MAX(ABS($C10-$D10),1)=(HO10-HP10)/MAX(ABS(HO10-HP10),1),1,TRUE,0)</f>
        <v/>
      </c>
      <c r="HR10" s="18"/>
      <c r="HS10" s="19"/>
      <c r="HT10" s="33" t="str" cm="1">
        <f t="array" ref="HT10">_xlfn.IFS($D10="","",AND(HR10=$C10,HS10=$D10),3,($C10-$D10)/MAX(ABS($C10-$D10),1)=(HR10-HS10)/MAX(ABS(HR10-HS10),1),1,TRUE,0)</f>
        <v/>
      </c>
      <c r="HU10" s="18"/>
      <c r="HV10" s="19"/>
      <c r="HW10" s="33" t="str" cm="1">
        <f t="array" ref="HW10">_xlfn.IFS($D10="","",AND(HU10=$C10,HV10=$D10),3,($C10-$D10)/MAX(ABS($C10-$D10),1)=(HU10-HV10)/MAX(ABS(HU10-HV10),1),1,TRUE,0)</f>
        <v/>
      </c>
      <c r="HX10" s="18"/>
      <c r="HY10" s="19"/>
      <c r="HZ10" s="33" t="str" cm="1">
        <f t="array" ref="HZ10">_xlfn.IFS($D10="","",AND(HX10=$C10,HY10=$D10),3,($C10-$D10)/MAX(ABS($C10-$D10),1)=(HX10-HY10)/MAX(ABS(HX10-HY10),1),1,TRUE,0)</f>
        <v/>
      </c>
      <c r="IA10" s="18"/>
      <c r="IB10" s="19"/>
      <c r="IC10" s="33" t="str" cm="1">
        <f t="array" ref="IC10">_xlfn.IFS($D10="","",AND(IA10=$C10,IB10=$D10),3,($C10-$D10)/MAX(ABS($C10-$D10),1)=(IA10-IB10)/MAX(ABS(IA10-IB10),1),1,TRUE,0)</f>
        <v/>
      </c>
      <c r="ID10" s="18"/>
      <c r="IE10" s="19"/>
      <c r="IF10" s="33" t="str" cm="1">
        <f t="array" ref="IF10">_xlfn.IFS($D10="","",AND(ID10=$C10,IE10=$D10),3,($C10-$D10)/MAX(ABS($C10-$D10),1)=(ID10-IE10)/MAX(ABS(ID10-IE10),1),1,TRUE,0)</f>
        <v/>
      </c>
      <c r="IG10" s="18"/>
      <c r="IH10" s="19"/>
      <c r="II10" s="33" t="str" cm="1">
        <f t="array" ref="II10">_xlfn.IFS($D10="","",AND(IG10=$C10,IH10=$D10),3,($C10-$D10)/MAX(ABS($C10-$D10),1)=(IG10-IH10)/MAX(ABS(IG10-IH10),1),1,TRUE,0)</f>
        <v/>
      </c>
      <c r="IJ10" s="18"/>
      <c r="IK10" s="19"/>
      <c r="IL10" s="33" t="str" cm="1">
        <f t="array" ref="IL10">_xlfn.IFS($D10="","",AND(IJ10=$C10,IK10=$D10),3,($C10-$D10)/MAX(ABS($C10-$D10),1)=(IJ10-IK10)/MAX(ABS(IJ10-IK10),1),1,TRUE,0)</f>
        <v/>
      </c>
      <c r="IM10" s="18"/>
      <c r="IN10" s="19"/>
      <c r="IO10" s="33" t="str" cm="1">
        <f t="array" ref="IO10">_xlfn.IFS($D10="","",AND(IM10=$C10,IN10=$D10),3,($C10-$D10)/MAX(ABS($C10-$D10),1)=(IM10-IN10)/MAX(ABS(IM10-IN10),1),1,TRUE,0)</f>
        <v/>
      </c>
      <c r="IP10" s="18"/>
      <c r="IQ10" s="19"/>
      <c r="IR10" s="33" t="str" cm="1">
        <f t="array" ref="IR10">_xlfn.IFS($D10="","",AND(IP10=$C10,IQ10=$D10),3,($C10-$D10)/MAX(ABS($C10-$D10),1)=(IP10-IQ10)/MAX(ABS(IP10-IQ10),1),1,TRUE,0)</f>
        <v/>
      </c>
      <c r="IS10" s="18"/>
      <c r="IT10" s="19"/>
      <c r="IU10" s="33" t="str" cm="1">
        <f t="array" ref="IU10">_xlfn.IFS($D10="","",AND(IS10=$C10,IT10=$D10),3,($C10-$D10)/MAX(ABS($C10-$D10),1)=(IS10-IT10)/MAX(ABS(IS10-IT10),1),1,TRUE,0)</f>
        <v/>
      </c>
      <c r="IV10" s="18"/>
      <c r="IW10" s="19"/>
      <c r="IX10" s="33" t="str" cm="1">
        <f t="array" ref="IX10">_xlfn.IFS($D10="","",AND(IV10=$C10,IW10=$D10),3,($C10-$D10)/MAX(ABS($C10-$D10),1)=(IV10-IW10)/MAX(ABS(IV10-IW10),1),1,TRUE,0)</f>
        <v/>
      </c>
      <c r="IY10" s="18"/>
      <c r="IZ10" s="19"/>
      <c r="JA10" s="33" t="str" cm="1">
        <f t="array" ref="JA10">_xlfn.IFS($D10="","",AND(IY10=$C10,IZ10=$D10),3,($C10-$D10)/MAX(ABS($C10-$D10),1)=(IY10-IZ10)/MAX(ABS(IY10-IZ10),1),1,TRUE,0)</f>
        <v/>
      </c>
      <c r="JB10" s="18"/>
      <c r="JC10" s="19"/>
      <c r="JD10" s="33" t="str" cm="1">
        <f t="array" ref="JD10">_xlfn.IFS($D10="","",AND(JB10=$C10,JC10=$D10),3,($C10-$D10)/MAX(ABS($C10-$D10),1)=(JB10-JC10)/MAX(ABS(JB10-JC10),1),1,TRUE,0)</f>
        <v/>
      </c>
    </row>
    <row r="11" spans="1:264" ht="15" thickBot="1" x14ac:dyDescent="0.35">
      <c r="A11" s="22">
        <v>46187</v>
      </c>
      <c r="B11" s="28" t="s">
        <v>13</v>
      </c>
      <c r="C11" s="53" t="str" cm="1">
        <f t="array" ref="C11">_xlfn.LET(
_xlpm.x,_xlfn.XLOOKUP(1,(Scores_Fixtures[Date]=A11)*(Scores_Fixtures[Home.1]=B11),Scores_Fixtures[Score.1],""),
IF(_xlpm.x="","",_xlpm.x)
)</f>
        <v/>
      </c>
      <c r="D11" s="53" t="str" cm="1">
        <f t="array" ref="D11">_xlfn.LET(
_xlpm.x,_xlfn.XLOOKUP(1,(Scores_Fixtures[Date]=A11)*(Scores_Fixtures[Home.1]=B11),Scores_Fixtures[Score.2],""),
IF(_xlpm.x="","",_xlpm.x)
)</f>
        <v/>
      </c>
      <c r="E11" s="12" t="s">
        <v>62</v>
      </c>
      <c r="F11" s="15"/>
      <c r="G11" s="53"/>
      <c r="H11" s="53"/>
      <c r="I11" s="33" t="str" cm="1">
        <f t="array" ref="I11">_xlfn.IFS($D11="","",AND(G11=$C11,H11=$D11),3,($C11-$D11)/MAX(ABS($C11-$D11),1)=(G11-H11)/MAX(ABS(G11-H11),1),1,TRUE,0)</f>
        <v/>
      </c>
      <c r="J11" s="18"/>
      <c r="K11" s="19"/>
      <c r="L11" s="33" t="str" cm="1">
        <f t="array" ref="L11">_xlfn.IFS($D11="","",AND(J11=$C11,K11=$D11),3,($C11-$D11)/MAX(ABS($C11-$D11),1)=(J11-K11)/MAX(ABS(J11-K11),1),1,TRUE,0)</f>
        <v/>
      </c>
      <c r="M11" s="18"/>
      <c r="N11" s="19"/>
      <c r="O11" s="33" t="str" cm="1">
        <f t="array" ref="O11">_xlfn.IFS($D11="","",AND(M11=$C11,N11=$D11),3,($C11-$D11)/MAX(ABS($C11-$D11),1)=(M11-N11)/MAX(ABS(M11-N11),1),1,TRUE,0)</f>
        <v/>
      </c>
      <c r="P11" s="18"/>
      <c r="Q11" s="19"/>
      <c r="R11" s="33" t="str" cm="1">
        <f t="array" ref="R11">_xlfn.IFS($D11="","",AND(P11=$C11,Q11=$D11),3,($C11-$D11)/MAX(ABS($C11-$D11),1)=(P11-Q11)/MAX(ABS(P11-Q11),1),1,TRUE,0)</f>
        <v/>
      </c>
      <c r="S11" s="18"/>
      <c r="T11" s="19"/>
      <c r="U11" s="33" t="str" cm="1">
        <f t="array" ref="U11">_xlfn.IFS($D11="","",AND(S11=$C11,T11=$D11),3,($C11-$D11)/MAX(ABS($C11-$D11),1)=(S11-T11)/MAX(ABS(S11-T11),1),1,TRUE,0)</f>
        <v/>
      </c>
      <c r="V11" s="18"/>
      <c r="W11" s="19"/>
      <c r="X11" s="33" t="str" cm="1">
        <f t="array" ref="X11">_xlfn.IFS($D11="","",AND(V11=$C11,W11=$D11),3,($C11-$D11)/MAX(ABS($C11-$D11),1)=(V11-W11)/MAX(ABS(V11-W11),1),1,TRUE,0)</f>
        <v/>
      </c>
      <c r="Y11" s="18"/>
      <c r="Z11" s="19"/>
      <c r="AA11" s="33" t="str" cm="1">
        <f t="array" ref="AA11">_xlfn.IFS($D11="","",AND(Y11=$C11,Z11=$D11),3,($C11-$D11)/MAX(ABS($C11-$D11),1)=(Y11-Z11)/MAX(ABS(Y11-Z11),1),1,TRUE,0)</f>
        <v/>
      </c>
      <c r="AB11" s="18"/>
      <c r="AC11" s="19"/>
      <c r="AD11" s="33" t="str" cm="1">
        <f t="array" ref="AD11">_xlfn.IFS($D11="","",AND(AB11=$C11,AC11=$D11),3,($C11-$D11)/MAX(ABS($C11-$D11),1)=(AB11-AC11)/MAX(ABS(AB11-AC11),1),1,TRUE,0)</f>
        <v/>
      </c>
      <c r="AE11" s="18"/>
      <c r="AF11" s="19"/>
      <c r="AG11" s="33" t="str" cm="1">
        <f t="array" ref="AG11">_xlfn.IFS($D11="","",AND(AE11=$C11,AF11=$D11),3,($C11-$D11)/MAX(ABS($C11-$D11),1)=(AE11-AF11)/MAX(ABS(AE11-AF11),1),1,TRUE,0)</f>
        <v/>
      </c>
      <c r="AH11" s="18"/>
      <c r="AI11" s="19"/>
      <c r="AJ11" s="33" t="str" cm="1">
        <f t="array" ref="AJ11">_xlfn.IFS($D11="","",AND(AH11=$C11,AI11=$D11),3,($C11-$D11)/MAX(ABS($C11-$D11),1)=(AH11-AI11)/MAX(ABS(AH11-AI11),1),1,TRUE,0)</f>
        <v/>
      </c>
      <c r="AK11" s="18"/>
      <c r="AL11" s="19"/>
      <c r="AM11" s="33" t="str" cm="1">
        <f t="array" ref="AM11">_xlfn.IFS($D11="","",AND(AK11=$C11,AL11=$D11),3,($C11-$D11)/MAX(ABS($C11-$D11),1)=(AK11-AL11)/MAX(ABS(AK11-AL11),1),1,TRUE,0)</f>
        <v/>
      </c>
      <c r="AN11" s="18"/>
      <c r="AO11" s="19"/>
      <c r="AP11" s="33" t="str" cm="1">
        <f t="array" ref="AP11">_xlfn.IFS($D11="","",AND(AN11=$C11,AO11=$D11),3,($C11-$D11)/MAX(ABS($C11-$D11),1)=(AN11-AO11)/MAX(ABS(AN11-AO11),1),1,TRUE,0)</f>
        <v/>
      </c>
      <c r="AQ11" s="18"/>
      <c r="AR11" s="19"/>
      <c r="AS11" s="33" t="str" cm="1">
        <f t="array" ref="AS11">_xlfn.IFS($D11="","",AND(AQ11=$C11,AR11=$D11),3,($C11-$D11)/MAX(ABS($C11-$D11),1)=(AQ11-AR11)/MAX(ABS(AQ11-AR11),1),1,TRUE,0)</f>
        <v/>
      </c>
      <c r="AT11" s="18"/>
      <c r="AU11" s="19"/>
      <c r="AV11" s="33" t="str" cm="1">
        <f t="array" ref="AV11">_xlfn.IFS($D11="","",AND(AT11=$C11,AU11=$D11),3,($C11-$D11)/MAX(ABS($C11-$D11),1)=(AT11-AU11)/MAX(ABS(AT11-AU11),1),1,TRUE,0)</f>
        <v/>
      </c>
      <c r="AW11" s="18"/>
      <c r="AX11" s="19"/>
      <c r="AY11" s="33" t="str" cm="1">
        <f t="array" ref="AY11">_xlfn.IFS($D11="","",AND(AW11=$C11,AX11=$D11),3,($C11-$D11)/MAX(ABS($C11-$D11),1)=(AW11-AX11)/MAX(ABS(AW11-AX11),1),1,TRUE,0)</f>
        <v/>
      </c>
      <c r="AZ11" s="18"/>
      <c r="BA11" s="19"/>
      <c r="BB11" s="33" t="str" cm="1">
        <f t="array" ref="BB11">_xlfn.IFS($D11="","",AND(AZ11=$C11,BA11=$D11),3,($C11-$D11)/MAX(ABS($C11-$D11),1)=(AZ11-BA11)/MAX(ABS(AZ11-BA11),1),1,TRUE,0)</f>
        <v/>
      </c>
      <c r="BC11" s="18"/>
      <c r="BD11" s="19"/>
      <c r="BE11" s="33" t="str" cm="1">
        <f t="array" ref="BE11">_xlfn.IFS($D11="","",AND(BC11=$C11,BD11=$D11),3,($C11-$D11)/MAX(ABS($C11-$D11),1)=(BC11-BD11)/MAX(ABS(BC11-BD11),1),1,TRUE,0)</f>
        <v/>
      </c>
      <c r="BF11" s="18"/>
      <c r="BG11" s="19"/>
      <c r="BH11" s="33" t="str" cm="1">
        <f t="array" ref="BH11">_xlfn.IFS($D11="","",AND(BF11=$C11,BG11=$D11),3,($C11-$D11)/MAX(ABS($C11-$D11),1)=(BF11-BG11)/MAX(ABS(BF11-BG11),1),1,TRUE,0)</f>
        <v/>
      </c>
      <c r="BI11" s="18"/>
      <c r="BJ11" s="19"/>
      <c r="BK11" s="33" t="str" cm="1">
        <f t="array" ref="BK11">_xlfn.IFS($D11="","",AND(BI11=$C11,BJ11=$D11),3,($C11-$D11)/MAX(ABS($C11-$D11),1)=(BI11-BJ11)/MAX(ABS(BI11-BJ11),1),1,TRUE,0)</f>
        <v/>
      </c>
      <c r="BL11" s="18"/>
      <c r="BM11" s="19"/>
      <c r="BN11" s="33" t="str" cm="1">
        <f t="array" ref="BN11">_xlfn.IFS($D11="","",AND(BL11=$C11,BM11=$D11),3,($C11-$D11)/MAX(ABS($C11-$D11),1)=(BL11-BM11)/MAX(ABS(BL11-BM11),1),1,TRUE,0)</f>
        <v/>
      </c>
      <c r="BO11" s="18"/>
      <c r="BP11" s="19"/>
      <c r="BQ11" s="33" t="str" cm="1">
        <f t="array" ref="BQ11">_xlfn.IFS($D11="","",AND(BO11=$C11,BP11=$D11),3,($C11-$D11)/MAX(ABS($C11-$D11),1)=(BO11-BP11)/MAX(ABS(BO11-BP11),1),1,TRUE,0)</f>
        <v/>
      </c>
      <c r="BR11" s="18"/>
      <c r="BS11" s="19"/>
      <c r="BT11" s="33" t="str" cm="1">
        <f t="array" ref="BT11">_xlfn.IFS($D11="","",AND(BR11=$C11,BS11=$D11),3,($C11-$D11)/MAX(ABS($C11-$D11),1)=(BR11-BS11)/MAX(ABS(BR11-BS11),1),1,TRUE,0)</f>
        <v/>
      </c>
      <c r="BU11" s="18"/>
      <c r="BV11" s="19"/>
      <c r="BW11" s="33" t="str" cm="1">
        <f t="array" ref="BW11">_xlfn.IFS($D11="","",AND(BU11=$C11,BV11=$D11),3,($C11-$D11)/MAX(ABS($C11-$D11),1)=(BU11-BV11)/MAX(ABS(BU11-BV11),1),1,TRUE,0)</f>
        <v/>
      </c>
      <c r="BX11" s="18"/>
      <c r="BY11" s="19"/>
      <c r="BZ11" s="33" t="str" cm="1">
        <f t="array" ref="BZ11">_xlfn.IFS($D11="","",AND(BX11=$C11,BY11=$D11),3,($C11-$D11)/MAX(ABS($C11-$D11),1)=(BX11-BY11)/MAX(ABS(BX11-BY11),1),1,TRUE,0)</f>
        <v/>
      </c>
      <c r="CA11" s="18"/>
      <c r="CB11" s="19"/>
      <c r="CC11" s="33" t="str" cm="1">
        <f t="array" ref="CC11">_xlfn.IFS($D11="","",AND(CA11=$C11,CB11=$D11),3,($C11-$D11)/MAX(ABS($C11-$D11),1)=(CA11-CB11)/MAX(ABS(CA11-CB11),1),1,TRUE,0)</f>
        <v/>
      </c>
      <c r="CD11" s="18"/>
      <c r="CE11" s="19"/>
      <c r="CF11" s="33" t="str" cm="1">
        <f t="array" ref="CF11">_xlfn.IFS($D11="","",AND(CD11=$C11,CE11=$D11),3,($C11-$D11)/MAX(ABS($C11-$D11),1)=(CD11-CE11)/MAX(ABS(CD11-CE11),1),1,TRUE,0)</f>
        <v/>
      </c>
      <c r="CG11" s="18"/>
      <c r="CH11" s="19"/>
      <c r="CI11" s="33" t="str" cm="1">
        <f t="array" ref="CI11">_xlfn.IFS($D11="","",AND(CG11=$C11,CH11=$D11),3,($C11-$D11)/MAX(ABS($C11-$D11),1)=(CG11-CH11)/MAX(ABS(CG11-CH11),1),1,TRUE,0)</f>
        <v/>
      </c>
      <c r="CJ11" s="18"/>
      <c r="CK11" s="19"/>
      <c r="CL11" s="33" t="str" cm="1">
        <f t="array" ref="CL11">_xlfn.IFS($D11="","",AND(CJ11=$C11,CK11=$D11),3,($C11-$D11)/MAX(ABS($C11-$D11),1)=(CJ11-CK11)/MAX(ABS(CJ11-CK11),1),1,TRUE,0)</f>
        <v/>
      </c>
      <c r="CM11" s="18"/>
      <c r="CN11" s="19"/>
      <c r="CO11" s="33" t="str" cm="1">
        <f t="array" ref="CO11">_xlfn.IFS($D11="","",AND(CM11=$C11,CN11=$D11),3,($C11-$D11)/MAX(ABS($C11-$D11),1)=(CM11-CN11)/MAX(ABS(CM11-CN11),1),1,TRUE,0)</f>
        <v/>
      </c>
      <c r="CP11" s="18"/>
      <c r="CQ11" s="19"/>
      <c r="CR11" s="33" t="str" cm="1">
        <f t="array" ref="CR11">_xlfn.IFS($D11="","",AND(CP11=$C11,CQ11=$D11),3,($C11-$D11)/MAX(ABS($C11-$D11),1)=(CP11-CQ11)/MAX(ABS(CP11-CQ11),1),1,TRUE,0)</f>
        <v/>
      </c>
      <c r="CS11" s="18"/>
      <c r="CT11" s="19"/>
      <c r="CU11" s="33" t="str" cm="1">
        <f t="array" ref="CU11">_xlfn.IFS($D11="","",AND(CS11=$C11,CT11=$D11),3,($C11-$D11)/MAX(ABS($C11-$D11),1)=(CS11-CT11)/MAX(ABS(CS11-CT11),1),1,TRUE,0)</f>
        <v/>
      </c>
      <c r="CV11" s="18"/>
      <c r="CW11" s="19"/>
      <c r="CX11" s="33" t="str" cm="1">
        <f t="array" ref="CX11">_xlfn.IFS($D11="","",AND(CV11=$C11,CW11=$D11),3,($C11-$D11)/MAX(ABS($C11-$D11),1)=(CV11-CW11)/MAX(ABS(CV11-CW11),1),1,TRUE,0)</f>
        <v/>
      </c>
      <c r="CY11" s="18"/>
      <c r="CZ11" s="19"/>
      <c r="DA11" s="33" t="str" cm="1">
        <f t="array" ref="DA11">_xlfn.IFS($D11="","",AND(CY11=$C11,CZ11=$D11),3,($C11-$D11)/MAX(ABS($C11-$D11),1)=(CY11-CZ11)/MAX(ABS(CY11-CZ11),1),1,TRUE,0)</f>
        <v/>
      </c>
      <c r="DB11" s="37"/>
      <c r="DC11" s="38"/>
      <c r="DD11" s="33" t="str" cm="1">
        <f t="array" ref="DD11">_xlfn.IFS($D11="","",AND(DB11=$C11,DC11=$D11),3,($C11-$D11)/MAX(ABS($C11-$D11),1)=(DB11-DC11)/MAX(ABS(DB11-DC11),1),1,TRUE,0)</f>
        <v/>
      </c>
      <c r="DE11" s="18"/>
      <c r="DF11" s="19"/>
      <c r="DG11" s="33" t="str" cm="1">
        <f t="array" ref="DG11">_xlfn.IFS($D11="","",AND(DE11=$C11,DF11=$D11),3,($C11-$D11)/MAX(ABS($C11-$D11),1)=(DE11-DF11)/MAX(ABS(DE11-DF11),1),1,TRUE,0)</f>
        <v/>
      </c>
      <c r="DH11" s="18"/>
      <c r="DI11" s="19"/>
      <c r="DJ11" s="33" t="str" cm="1">
        <f t="array" ref="DJ11">_xlfn.IFS($D11="","",AND(DH11=$C11,DI11=$D11),3,($C11-$D11)/MAX(ABS($C11-$D11),1)=(DH11-DI11)/MAX(ABS(DH11-DI11),1),1,TRUE,0)</f>
        <v/>
      </c>
      <c r="DK11" s="18"/>
      <c r="DL11" s="19"/>
      <c r="DM11" s="33" t="str" cm="1">
        <f t="array" ref="DM11">_xlfn.IFS($D11="","",AND(DK11=$C11,DL11=$D11),3,($C11-$D11)/MAX(ABS($C11-$D11),1)=(DK11-DL11)/MAX(ABS(DK11-DL11),1),1,TRUE,0)</f>
        <v/>
      </c>
      <c r="DN11" s="18"/>
      <c r="DO11" s="19"/>
      <c r="DP11" s="33" t="str" cm="1">
        <f t="array" ref="DP11">_xlfn.IFS($D11="","",AND(DN11=$C11,DO11=$D11),3,($C11-$D11)/MAX(ABS($C11-$D11),1)=(DN11-DO11)/MAX(ABS(DN11-DO11),1),1,TRUE,0)</f>
        <v/>
      </c>
      <c r="DQ11" s="18"/>
      <c r="DR11" s="19"/>
      <c r="DS11" s="33" t="str" cm="1">
        <f t="array" ref="DS11">_xlfn.IFS($D11="","",AND(DQ11=$C11,DR11=$D11),3,($C11-$D11)/MAX(ABS($C11-$D11),1)=(DQ11-DR11)/MAX(ABS(DQ11-DR11),1),1,TRUE,0)</f>
        <v/>
      </c>
      <c r="DT11" s="18"/>
      <c r="DU11" s="19"/>
      <c r="DV11" s="33" t="str" cm="1">
        <f t="array" ref="DV11">_xlfn.IFS($D11="","",AND(DT11=$C11,DU11=$D11),3,($C11-$D11)/MAX(ABS($C11-$D11),1)=(DT11-DU11)/MAX(ABS(DT11-DU11),1),1,TRUE,0)</f>
        <v/>
      </c>
      <c r="DW11" s="18"/>
      <c r="DX11" s="19"/>
      <c r="DY11" s="33" t="str" cm="1">
        <f t="array" ref="DY11">_xlfn.IFS($D11="","",AND(DW11=$C11,DX11=$D11),3,($C11-$D11)/MAX(ABS($C11-$D11),1)=(DW11-DX11)/MAX(ABS(DW11-DX11),1),1,TRUE,0)</f>
        <v/>
      </c>
      <c r="DZ11" s="18"/>
      <c r="EA11" s="19"/>
      <c r="EB11" s="33" t="str" cm="1">
        <f t="array" ref="EB11">_xlfn.IFS($D11="","",AND(DZ11=$C11,EA11=$D11),3,($C11-$D11)/MAX(ABS($C11-$D11),1)=(DZ11-EA11)/MAX(ABS(DZ11-EA11),1),1,TRUE,0)</f>
        <v/>
      </c>
      <c r="EC11" s="18"/>
      <c r="ED11" s="19"/>
      <c r="EE11" s="33" t="str" cm="1">
        <f t="array" ref="EE11">_xlfn.IFS($D11="","",AND(EC11=$C11,ED11=$D11),3,($C11-$D11)/MAX(ABS($C11-$D11),1)=(EC11-ED11)/MAX(ABS(EC11-ED11),1),1,TRUE,0)</f>
        <v/>
      </c>
      <c r="EF11" s="18"/>
      <c r="EG11" s="19"/>
      <c r="EH11" s="33" t="str" cm="1">
        <f t="array" ref="EH11">_xlfn.IFS($D11="","",AND(EF11=$C11,EG11=$D11),3,($C11-$D11)/MAX(ABS($C11-$D11),1)=(EF11-EG11)/MAX(ABS(EF11-EG11),1),1,TRUE,0)</f>
        <v/>
      </c>
      <c r="EI11" s="43"/>
      <c r="EJ11" s="44"/>
      <c r="EK11" s="33" t="str" cm="1">
        <f t="array" ref="EK11">_xlfn.IFS($D11="","",AND(EI11=$C11,EJ11=$D11),3,($C11-$D11)/MAX(ABS($C11-$D11),1)=(EI11-EJ11)/MAX(ABS(EI11-EJ11),1),1,TRUE,0)</f>
        <v/>
      </c>
      <c r="EL11" s="18"/>
      <c r="EM11" s="19"/>
      <c r="EN11" s="33" t="str" cm="1">
        <f t="array" ref="EN11">_xlfn.IFS($D11="","",AND(EL11=$C11,EM11=$D11),3,($C11-$D11)/MAX(ABS($C11-$D11),1)=(EL11-EM11)/MAX(ABS(EL11-EM11),1),1,TRUE,0)</f>
        <v/>
      </c>
      <c r="EO11" s="18"/>
      <c r="EP11" s="19"/>
      <c r="EQ11" s="33" t="str" cm="1">
        <f t="array" ref="EQ11">_xlfn.IFS($D11="","",AND(EO11=$C11,EP11=$D11),3,($C11-$D11)/MAX(ABS($C11-$D11),1)=(EO11-EP11)/MAX(ABS(EO11-EP11),1),1,TRUE,0)</f>
        <v/>
      </c>
      <c r="ER11" s="18"/>
      <c r="ES11" s="19"/>
      <c r="ET11" s="33" t="str" cm="1">
        <f t="array" ref="ET11">_xlfn.IFS($D11="","",AND(ER11=$C11,ES11=$D11),3,($C11-$D11)/MAX(ABS($C11-$D11),1)=(ER11-ES11)/MAX(ABS(ER11-ES11),1),1,TRUE,0)</f>
        <v/>
      </c>
      <c r="EU11" s="18"/>
      <c r="EV11" s="19"/>
      <c r="EW11" s="33" t="str" cm="1">
        <f t="array" ref="EW11">_xlfn.IFS($D11="","",AND(EU11=$C11,EV11=$D11),3,($C11-$D11)/MAX(ABS($C11-$D11),1)=(EU11-EV11)/MAX(ABS(EU11-EV11),1),1,TRUE,0)</f>
        <v/>
      </c>
      <c r="EX11" s="18"/>
      <c r="EY11" s="19"/>
      <c r="EZ11" s="33" t="str" cm="1">
        <f t="array" ref="EZ11">_xlfn.IFS($D11="","",AND(EX11=$C11,EY11=$D11),3,($C11-$D11)/MAX(ABS($C11-$D11),1)=(EX11-EY11)/MAX(ABS(EX11-EY11),1),1,TRUE,0)</f>
        <v/>
      </c>
      <c r="FA11" s="18"/>
      <c r="FB11" s="19"/>
      <c r="FC11" s="33" t="str" cm="1">
        <f t="array" ref="FC11">_xlfn.IFS($D11="","",AND(FA11=$C11,FB11=$D11),3,($C11-$D11)/MAX(ABS($C11-$D11),1)=(FA11-FB11)/MAX(ABS(FA11-FB11),1),1,TRUE,0)</f>
        <v/>
      </c>
      <c r="FD11" s="18"/>
      <c r="FE11" s="19"/>
      <c r="FF11" s="33" t="str" cm="1">
        <f t="array" ref="FF11">_xlfn.IFS($D11="","",AND(FD11=$C11,FE11=$D11),3,($C11-$D11)/MAX(ABS($C11-$D11),1)=(FD11-FE11)/MAX(ABS(FD11-FE11),1),1,TRUE,0)</f>
        <v/>
      </c>
      <c r="FG11" s="18"/>
      <c r="FH11" s="19"/>
      <c r="FI11" s="33" t="str" cm="1">
        <f t="array" ref="FI11">_xlfn.IFS($D11="","",AND(FG11=$C11,FH11=$D11),3,($C11-$D11)/MAX(ABS($C11-$D11),1)=(FG11-FH11)/MAX(ABS(FG11-FH11),1),1,TRUE,0)</f>
        <v/>
      </c>
      <c r="FJ11" s="18"/>
      <c r="FK11" s="19"/>
      <c r="FL11" s="33" t="str" cm="1">
        <f t="array" ref="FL11">_xlfn.IFS($D11="","",AND(FJ11=$C11,FK11=$D11),3,($C11-$D11)/MAX(ABS($C11-$D11),1)=(FJ11-FK11)/MAX(ABS(FJ11-FK11),1),1,TRUE,0)</f>
        <v/>
      </c>
      <c r="FM11" s="18"/>
      <c r="FN11" s="19"/>
      <c r="FO11" s="33" t="str" cm="1">
        <f t="array" ref="FO11">_xlfn.IFS($D11="","",AND(FM11=$C11,FN11=$D11),3,($C11-$D11)/MAX(ABS($C11-$D11),1)=(FM11-FN11)/MAX(ABS(FM11-FN11),1),1,TRUE,0)</f>
        <v/>
      </c>
      <c r="FP11" s="18"/>
      <c r="FQ11" s="19"/>
      <c r="FR11" s="33" t="str" cm="1">
        <f t="array" ref="FR11">_xlfn.IFS($D11="","",AND(FP11=$C11,FQ11=$D11),3,($C11-$D11)/MAX(ABS($C11-$D11),1)=(FP11-FQ11)/MAX(ABS(FP11-FQ11),1),1,TRUE,0)</f>
        <v/>
      </c>
      <c r="FS11" s="18"/>
      <c r="FT11" s="19"/>
      <c r="FU11" s="33" t="str" cm="1">
        <f t="array" ref="FU11">_xlfn.IFS($D11="","",AND(FS11=$C11,FT11=$D11),3,($C11-$D11)/MAX(ABS($C11-$D11),1)=(FS11-FT11)/MAX(ABS(FS11-FT11),1),1,TRUE,0)</f>
        <v/>
      </c>
      <c r="FV11" s="18"/>
      <c r="FW11" s="19"/>
      <c r="FX11" s="33" t="str" cm="1">
        <f t="array" ref="FX11">_xlfn.IFS($D11="","",AND(FV11=$C11,FW11=$D11),3,($C11-$D11)/MAX(ABS($C11-$D11),1)=(FV11-FW11)/MAX(ABS(FV11-FW11),1),1,TRUE,0)</f>
        <v/>
      </c>
      <c r="FY11" s="18"/>
      <c r="FZ11" s="19"/>
      <c r="GA11" s="33" t="str" cm="1">
        <f t="array" ref="GA11">_xlfn.IFS($D11="","",AND(FY11=$C11,FZ11=$D11),3,($C11-$D11)/MAX(ABS($C11-$D11),1)=(FY11-FZ11)/MAX(ABS(FY11-FZ11),1),1,TRUE,0)</f>
        <v/>
      </c>
      <c r="GB11" s="18"/>
      <c r="GC11" s="19"/>
      <c r="GD11" s="33" t="str" cm="1">
        <f t="array" ref="GD11">_xlfn.IFS($D11="","",AND(GB11=$C11,GC11=$D11),3,($C11-$D11)/MAX(ABS($C11-$D11),1)=(GB11-GC11)/MAX(ABS(GB11-GC11),1),1,TRUE,0)</f>
        <v/>
      </c>
      <c r="GE11" s="47"/>
      <c r="GF11" s="45"/>
      <c r="GG11" s="33" t="str" cm="1">
        <f t="array" ref="GG11">_xlfn.IFS($D11="","",AND(GE11=$C11,GF11=$D11),3,($C11-$D11)/MAX(ABS($C11-$D11),1)=(GE11-GF11)/MAX(ABS(GE11-GF11),1),1,TRUE,0)</f>
        <v/>
      </c>
      <c r="GH11" s="18"/>
      <c r="GI11" s="19"/>
      <c r="GJ11" s="33" t="str" cm="1">
        <f t="array" ref="GJ11">_xlfn.IFS($D11="","",AND(GH11=$C11,GI11=$D11),3,($C11-$D11)/MAX(ABS($C11-$D11),1)=(GH11-GI11)/MAX(ABS(GH11-GI11),1),1,TRUE,0)</f>
        <v/>
      </c>
      <c r="GK11" s="18"/>
      <c r="GL11" s="19"/>
      <c r="GM11" s="33" t="str" cm="1">
        <f t="array" ref="GM11">_xlfn.IFS($D11="","",AND(GK11=$C11,GL11=$D11),3,($C11-$D11)/MAX(ABS($C11-$D11),1)=(GK11-GL11)/MAX(ABS(GK11-GL11),1),1,TRUE,0)</f>
        <v/>
      </c>
      <c r="GN11" s="18"/>
      <c r="GO11" s="19"/>
      <c r="GP11" s="33" t="str" cm="1">
        <f t="array" ref="GP11">_xlfn.IFS($D11="","",AND(GN11=$C11,GO11=$D11),3,($C11-$D11)/MAX(ABS($C11-$D11),1)=(GN11-GO11)/MAX(ABS(GN11-GO11),1),1,TRUE,0)</f>
        <v/>
      </c>
      <c r="GQ11" s="18"/>
      <c r="GR11" s="19"/>
      <c r="GS11" s="33" t="str" cm="1">
        <f t="array" ref="GS11">_xlfn.IFS($D11="","",AND(GQ11=$C11,GR11=$D11),3,($C11-$D11)/MAX(ABS($C11-$D11),1)=(GQ11-GR11)/MAX(ABS(GQ11-GR11),1),1,TRUE,0)</f>
        <v/>
      </c>
      <c r="GT11" s="18"/>
      <c r="GU11" s="19"/>
      <c r="GV11" s="33" t="str" cm="1">
        <f t="array" ref="GV11">_xlfn.IFS($D11="","",AND(GT11=$C11,GU11=$D11),3,($C11-$D11)/MAX(ABS($C11-$D11),1)=(GT11-GU11)/MAX(ABS(GT11-GU11),1),1,TRUE,0)</f>
        <v/>
      </c>
      <c r="GW11" s="18"/>
      <c r="GX11" s="19"/>
      <c r="GY11" s="33" t="str" cm="1">
        <f t="array" ref="GY11">_xlfn.IFS($D11="","",AND(GW11=$C11,GX11=$D11),3,($C11-$D11)/MAX(ABS($C11-$D11),1)=(GW11-GX11)/MAX(ABS(GW11-GX11),1),1,TRUE,0)</f>
        <v/>
      </c>
      <c r="GZ11" s="18"/>
      <c r="HA11" s="19"/>
      <c r="HB11" s="33" t="str" cm="1">
        <f t="array" ref="HB11">_xlfn.IFS($D11="","",AND(GZ11=$C11,HA11=$D11),3,($C11-$D11)/MAX(ABS($C11-$D11),1)=(GZ11-HA11)/MAX(ABS(GZ11-HA11),1),1,TRUE,0)</f>
        <v/>
      </c>
      <c r="HC11" s="18"/>
      <c r="HD11" s="14"/>
      <c r="HE11" s="33" t="str" cm="1">
        <f t="array" ref="HE11">_xlfn.IFS($D11="","",AND(HC11=$C11,HD11=$D11),3,($C11-$D11)/MAX(ABS($C11-$D11),1)=(HC11-HD11)/MAX(ABS(HC11-HD11),1),1,TRUE,0)</f>
        <v/>
      </c>
      <c r="HF11" s="18"/>
      <c r="HG11" s="19"/>
      <c r="HH11" s="33" t="str" cm="1">
        <f t="array" ref="HH11">_xlfn.IFS($D11="","",AND(HF11=$C11,HG11=$D11),3,($C11-$D11)/MAX(ABS($C11-$D11),1)=(HF11-HG11)/MAX(ABS(HF11-HG11),1),1,TRUE,0)</f>
        <v/>
      </c>
      <c r="HI11" s="18"/>
      <c r="HJ11" s="19"/>
      <c r="HK11" s="33" t="str" cm="1">
        <f t="array" ref="HK11">_xlfn.IFS($D11="","",AND(HI11=$C11,HJ11=$D11),3,($C11-$D11)/MAX(ABS($C11-$D11),1)=(HI11-HJ11)/MAX(ABS(HI11-HJ11),1),1,TRUE,0)</f>
        <v/>
      </c>
      <c r="HL11" s="18"/>
      <c r="HM11" s="19"/>
      <c r="HN11" s="33" t="str" cm="1">
        <f t="array" ref="HN11">_xlfn.IFS($D11="","",AND(HL11=$C11,HM11=$D11),3,($C11-$D11)/MAX(ABS($C11-$D11),1)=(HL11-HM11)/MAX(ABS(HL11-HM11),1),1,TRUE,0)</f>
        <v/>
      </c>
      <c r="HO11" s="18"/>
      <c r="HP11" s="19"/>
      <c r="HQ11" s="33" t="str" cm="1">
        <f t="array" ref="HQ11">_xlfn.IFS($D11="","",AND(HO11=$C11,HP11=$D11),3,($C11-$D11)/MAX(ABS($C11-$D11),1)=(HO11-HP11)/MAX(ABS(HO11-HP11),1),1,TRUE,0)</f>
        <v/>
      </c>
      <c r="HR11" s="18"/>
      <c r="HS11" s="19"/>
      <c r="HT11" s="33" t="str" cm="1">
        <f t="array" ref="HT11">_xlfn.IFS($D11="","",AND(HR11=$C11,HS11=$D11),3,($C11-$D11)/MAX(ABS($C11-$D11),1)=(HR11-HS11)/MAX(ABS(HR11-HS11),1),1,TRUE,0)</f>
        <v/>
      </c>
      <c r="HU11" s="18"/>
      <c r="HV11" s="19"/>
      <c r="HW11" s="33" t="str" cm="1">
        <f t="array" ref="HW11">_xlfn.IFS($D11="","",AND(HU11=$C11,HV11=$D11),3,($C11-$D11)/MAX(ABS($C11-$D11),1)=(HU11-HV11)/MAX(ABS(HU11-HV11),1),1,TRUE,0)</f>
        <v/>
      </c>
      <c r="HX11" s="18"/>
      <c r="HY11" s="19"/>
      <c r="HZ11" s="33" t="str" cm="1">
        <f t="array" ref="HZ11">_xlfn.IFS($D11="","",AND(HX11=$C11,HY11=$D11),3,($C11-$D11)/MAX(ABS($C11-$D11),1)=(HX11-HY11)/MAX(ABS(HX11-HY11),1),1,TRUE,0)</f>
        <v/>
      </c>
      <c r="IA11" s="18"/>
      <c r="IB11" s="19"/>
      <c r="IC11" s="33" t="str" cm="1">
        <f t="array" ref="IC11">_xlfn.IFS($D11="","",AND(IA11=$C11,IB11=$D11),3,($C11-$D11)/MAX(ABS($C11-$D11),1)=(IA11-IB11)/MAX(ABS(IA11-IB11),1),1,TRUE,0)</f>
        <v/>
      </c>
      <c r="ID11" s="18"/>
      <c r="IE11" s="19"/>
      <c r="IF11" s="33" t="str" cm="1">
        <f t="array" ref="IF11">_xlfn.IFS($D11="","",AND(ID11=$C11,IE11=$D11),3,($C11-$D11)/MAX(ABS($C11-$D11),1)=(ID11-IE11)/MAX(ABS(ID11-IE11),1),1,TRUE,0)</f>
        <v/>
      </c>
      <c r="IG11" s="18"/>
      <c r="IH11" s="19"/>
      <c r="II11" s="33" t="str" cm="1">
        <f t="array" ref="II11">_xlfn.IFS($D11="","",AND(IG11=$C11,IH11=$D11),3,($C11-$D11)/MAX(ABS($C11-$D11),1)=(IG11-IH11)/MAX(ABS(IG11-IH11),1),1,TRUE,0)</f>
        <v/>
      </c>
      <c r="IJ11" s="18"/>
      <c r="IK11" s="19"/>
      <c r="IL11" s="33" t="str" cm="1">
        <f t="array" ref="IL11">_xlfn.IFS($D11="","",AND(IJ11=$C11,IK11=$D11),3,($C11-$D11)/MAX(ABS($C11-$D11),1)=(IJ11-IK11)/MAX(ABS(IJ11-IK11),1),1,TRUE,0)</f>
        <v/>
      </c>
      <c r="IM11" s="18"/>
      <c r="IN11" s="19"/>
      <c r="IO11" s="33" t="str" cm="1">
        <f t="array" ref="IO11">_xlfn.IFS($D11="","",AND(IM11=$C11,IN11=$D11),3,($C11-$D11)/MAX(ABS($C11-$D11),1)=(IM11-IN11)/MAX(ABS(IM11-IN11),1),1,TRUE,0)</f>
        <v/>
      </c>
      <c r="IP11" s="18"/>
      <c r="IQ11" s="19"/>
      <c r="IR11" s="33" t="str" cm="1">
        <f t="array" ref="IR11">_xlfn.IFS($D11="","",AND(IP11=$C11,IQ11=$D11),3,($C11-$D11)/MAX(ABS($C11-$D11),1)=(IP11-IQ11)/MAX(ABS(IP11-IQ11),1),1,TRUE,0)</f>
        <v/>
      </c>
      <c r="IS11" s="18"/>
      <c r="IT11" s="19"/>
      <c r="IU11" s="33" t="str" cm="1">
        <f t="array" ref="IU11">_xlfn.IFS($D11="","",AND(IS11=$C11,IT11=$D11),3,($C11-$D11)/MAX(ABS($C11-$D11),1)=(IS11-IT11)/MAX(ABS(IS11-IT11),1),1,TRUE,0)</f>
        <v/>
      </c>
      <c r="IV11" s="18"/>
      <c r="IW11" s="19"/>
      <c r="IX11" s="33" t="str" cm="1">
        <f t="array" ref="IX11">_xlfn.IFS($D11="","",AND(IV11=$C11,IW11=$D11),3,($C11-$D11)/MAX(ABS($C11-$D11),1)=(IV11-IW11)/MAX(ABS(IV11-IW11),1),1,TRUE,0)</f>
        <v/>
      </c>
      <c r="IY11" s="18"/>
      <c r="IZ11" s="19"/>
      <c r="JA11" s="33" t="str" cm="1">
        <f t="array" ref="JA11">_xlfn.IFS($D11="","",AND(IY11=$C11,IZ11=$D11),3,($C11-$D11)/MAX(ABS($C11-$D11),1)=(IY11-IZ11)/MAX(ABS(IY11-IZ11),1),1,TRUE,0)</f>
        <v/>
      </c>
      <c r="JB11" s="18"/>
      <c r="JC11" s="19"/>
      <c r="JD11" s="33" t="str" cm="1">
        <f t="array" ref="JD11">_xlfn.IFS($D11="","",AND(JB11=$C11,JC11=$D11),3,($C11-$D11)/MAX(ABS($C11-$D11),1)=(JB11-JC11)/MAX(ABS(JB11-JC11),1),1,TRUE,0)</f>
        <v/>
      </c>
    </row>
    <row r="12" spans="1:264" ht="15" thickBot="1" x14ac:dyDescent="0.35">
      <c r="A12" s="22">
        <v>46187</v>
      </c>
      <c r="B12" s="28" t="s">
        <v>10</v>
      </c>
      <c r="C12" s="53" t="str" cm="1">
        <f t="array" ref="C12">_xlfn.LET(
_xlpm.x,_xlfn.XLOOKUP(1,(Scores_Fixtures[Date]=A12)*(Scores_Fixtures[Home.1]=B12),Scores_Fixtures[Score.1],""),
IF(_xlpm.x="","",_xlpm.x)
)</f>
        <v/>
      </c>
      <c r="D12" s="53" t="str" cm="1">
        <f t="array" ref="D12">_xlfn.LET(
_xlpm.x,_xlfn.XLOOKUP(1,(Scores_Fixtures[Date]=A12)*(Scores_Fixtures[Home.1]=B12),Scores_Fixtures[Score.2],""),
IF(_xlpm.x="","",_xlpm.x)
)</f>
        <v/>
      </c>
      <c r="E12" s="12" t="s">
        <v>63</v>
      </c>
      <c r="F12" s="15"/>
      <c r="G12" s="53"/>
      <c r="H12" s="53"/>
      <c r="I12" s="33" t="str" cm="1">
        <f t="array" ref="I12">_xlfn.IFS($D12="","",AND(G12=$C12,H12=$D12),3,($C12-$D12)/MAX(ABS($C12-$D12),1)=(G12-H12)/MAX(ABS(G12-H12),1),1,TRUE,0)</f>
        <v/>
      </c>
      <c r="J12" s="18"/>
      <c r="K12" s="19"/>
      <c r="L12" s="33" t="str" cm="1">
        <f t="array" ref="L12">_xlfn.IFS($D12="","",AND(J12=$C12,K12=$D12),3,($C12-$D12)/MAX(ABS($C12-$D12),1)=(J12-K12)/MAX(ABS(J12-K12),1),1,TRUE,0)</f>
        <v/>
      </c>
      <c r="M12" s="18"/>
      <c r="N12" s="19"/>
      <c r="O12" s="33" t="str" cm="1">
        <f t="array" ref="O12">_xlfn.IFS($D12="","",AND(M12=$C12,N12=$D12),3,($C12-$D12)/MAX(ABS($C12-$D12),1)=(M12-N12)/MAX(ABS(M12-N12),1),1,TRUE,0)</f>
        <v/>
      </c>
      <c r="P12" s="18"/>
      <c r="Q12" s="19"/>
      <c r="R12" s="33" t="str" cm="1">
        <f t="array" ref="R12">_xlfn.IFS($D12="","",AND(P12=$C12,Q12=$D12),3,($C12-$D12)/MAX(ABS($C12-$D12),1)=(P12-Q12)/MAX(ABS(P12-Q12),1),1,TRUE,0)</f>
        <v/>
      </c>
      <c r="S12" s="18"/>
      <c r="T12" s="19"/>
      <c r="U12" s="33" t="str" cm="1">
        <f t="array" ref="U12">_xlfn.IFS($D12="","",AND(S12=$C12,T12=$D12),3,($C12-$D12)/MAX(ABS($C12-$D12),1)=(S12-T12)/MAX(ABS(S12-T12),1),1,TRUE,0)</f>
        <v/>
      </c>
      <c r="V12" s="18"/>
      <c r="W12" s="19"/>
      <c r="X12" s="33" t="str" cm="1">
        <f t="array" ref="X12">_xlfn.IFS($D12="","",AND(V12=$C12,W12=$D12),3,($C12-$D12)/MAX(ABS($C12-$D12),1)=(V12-W12)/MAX(ABS(V12-W12),1),1,TRUE,0)</f>
        <v/>
      </c>
      <c r="Y12" s="18"/>
      <c r="Z12" s="19"/>
      <c r="AA12" s="33" t="str" cm="1">
        <f t="array" ref="AA12">_xlfn.IFS($D12="","",AND(Y12=$C12,Z12=$D12),3,($C12-$D12)/MAX(ABS($C12-$D12),1)=(Y12-Z12)/MAX(ABS(Y12-Z12),1),1,TRUE,0)</f>
        <v/>
      </c>
      <c r="AB12" s="18"/>
      <c r="AC12" s="19"/>
      <c r="AD12" s="33" t="str" cm="1">
        <f t="array" ref="AD12">_xlfn.IFS($D12="","",AND(AB12=$C12,AC12=$D12),3,($C12-$D12)/MAX(ABS($C12-$D12),1)=(AB12-AC12)/MAX(ABS(AB12-AC12),1),1,TRUE,0)</f>
        <v/>
      </c>
      <c r="AE12" s="18"/>
      <c r="AF12" s="19"/>
      <c r="AG12" s="33" t="str" cm="1">
        <f t="array" ref="AG12">_xlfn.IFS($D12="","",AND(AE12=$C12,AF12=$D12),3,($C12-$D12)/MAX(ABS($C12-$D12),1)=(AE12-AF12)/MAX(ABS(AE12-AF12),1),1,TRUE,0)</f>
        <v/>
      </c>
      <c r="AH12" s="18"/>
      <c r="AI12" s="19"/>
      <c r="AJ12" s="33" t="str" cm="1">
        <f t="array" ref="AJ12">_xlfn.IFS($D12="","",AND(AH12=$C12,AI12=$D12),3,($C12-$D12)/MAX(ABS($C12-$D12),1)=(AH12-AI12)/MAX(ABS(AH12-AI12),1),1,TRUE,0)</f>
        <v/>
      </c>
      <c r="AK12" s="18"/>
      <c r="AL12" s="19"/>
      <c r="AM12" s="33" t="str" cm="1">
        <f t="array" ref="AM12">_xlfn.IFS($D12="","",AND(AK12=$C12,AL12=$D12),3,($C12-$D12)/MAX(ABS($C12-$D12),1)=(AK12-AL12)/MAX(ABS(AK12-AL12),1),1,TRUE,0)</f>
        <v/>
      </c>
      <c r="AN12" s="18"/>
      <c r="AO12" s="19"/>
      <c r="AP12" s="33" t="str" cm="1">
        <f t="array" ref="AP12">_xlfn.IFS($D12="","",AND(AN12=$C12,AO12=$D12),3,($C12-$D12)/MAX(ABS($C12-$D12),1)=(AN12-AO12)/MAX(ABS(AN12-AO12),1),1,TRUE,0)</f>
        <v/>
      </c>
      <c r="AQ12" s="18"/>
      <c r="AR12" s="19"/>
      <c r="AS12" s="33" t="str" cm="1">
        <f t="array" ref="AS12">_xlfn.IFS($D12="","",AND(AQ12=$C12,AR12=$D12),3,($C12-$D12)/MAX(ABS($C12-$D12),1)=(AQ12-AR12)/MAX(ABS(AQ12-AR12),1),1,TRUE,0)</f>
        <v/>
      </c>
      <c r="AT12" s="18"/>
      <c r="AU12" s="19"/>
      <c r="AV12" s="33" t="str" cm="1">
        <f t="array" ref="AV12">_xlfn.IFS($D12="","",AND(AT12=$C12,AU12=$D12),3,($C12-$D12)/MAX(ABS($C12-$D12),1)=(AT12-AU12)/MAX(ABS(AT12-AU12),1),1,TRUE,0)</f>
        <v/>
      </c>
      <c r="AW12" s="18"/>
      <c r="AX12" s="19"/>
      <c r="AY12" s="33" t="str" cm="1">
        <f t="array" ref="AY12">_xlfn.IFS($D12="","",AND(AW12=$C12,AX12=$D12),3,($C12-$D12)/MAX(ABS($C12-$D12),1)=(AW12-AX12)/MAX(ABS(AW12-AX12),1),1,TRUE,0)</f>
        <v/>
      </c>
      <c r="AZ12" s="18"/>
      <c r="BA12" s="19"/>
      <c r="BB12" s="33" t="str" cm="1">
        <f t="array" ref="BB12">_xlfn.IFS($D12="","",AND(AZ12=$C12,BA12=$D12),3,($C12-$D12)/MAX(ABS($C12-$D12),1)=(AZ12-BA12)/MAX(ABS(AZ12-BA12),1),1,TRUE,0)</f>
        <v/>
      </c>
      <c r="BC12" s="18"/>
      <c r="BD12" s="19"/>
      <c r="BE12" s="33" t="str" cm="1">
        <f t="array" ref="BE12">_xlfn.IFS($D12="","",AND(BC12=$C12,BD12=$D12),3,($C12-$D12)/MAX(ABS($C12-$D12),1)=(BC12-BD12)/MAX(ABS(BC12-BD12),1),1,TRUE,0)</f>
        <v/>
      </c>
      <c r="BF12" s="18"/>
      <c r="BG12" s="19"/>
      <c r="BH12" s="33" t="str" cm="1">
        <f t="array" ref="BH12">_xlfn.IFS($D12="","",AND(BF12=$C12,BG12=$D12),3,($C12-$D12)/MAX(ABS($C12-$D12),1)=(BF12-BG12)/MAX(ABS(BF12-BG12),1),1,TRUE,0)</f>
        <v/>
      </c>
      <c r="BI12" s="18"/>
      <c r="BJ12" s="19"/>
      <c r="BK12" s="33" t="str" cm="1">
        <f t="array" ref="BK12">_xlfn.IFS($D12="","",AND(BI12=$C12,BJ12=$D12),3,($C12-$D12)/MAX(ABS($C12-$D12),1)=(BI12-BJ12)/MAX(ABS(BI12-BJ12),1),1,TRUE,0)</f>
        <v/>
      </c>
      <c r="BL12" s="18"/>
      <c r="BM12" s="19"/>
      <c r="BN12" s="33" t="str" cm="1">
        <f t="array" ref="BN12">_xlfn.IFS($D12="","",AND(BL12=$C12,BM12=$D12),3,($C12-$D12)/MAX(ABS($C12-$D12),1)=(BL12-BM12)/MAX(ABS(BL12-BM12),1),1,TRUE,0)</f>
        <v/>
      </c>
      <c r="BO12" s="18"/>
      <c r="BP12" s="19"/>
      <c r="BQ12" s="33" t="str" cm="1">
        <f t="array" ref="BQ12">_xlfn.IFS($D12="","",AND(BO12=$C12,BP12=$D12),3,($C12-$D12)/MAX(ABS($C12-$D12),1)=(BO12-BP12)/MAX(ABS(BO12-BP12),1),1,TRUE,0)</f>
        <v/>
      </c>
      <c r="BR12" s="18"/>
      <c r="BS12" s="19"/>
      <c r="BT12" s="33" t="str" cm="1">
        <f t="array" ref="BT12">_xlfn.IFS($D12="","",AND(BR12=$C12,BS12=$D12),3,($C12-$D12)/MAX(ABS($C12-$D12),1)=(BR12-BS12)/MAX(ABS(BR12-BS12),1),1,TRUE,0)</f>
        <v/>
      </c>
      <c r="BU12" s="18"/>
      <c r="BV12" s="19"/>
      <c r="BW12" s="33" t="str" cm="1">
        <f t="array" ref="BW12">_xlfn.IFS($D12="","",AND(BU12=$C12,BV12=$D12),3,($C12-$D12)/MAX(ABS($C12-$D12),1)=(BU12-BV12)/MAX(ABS(BU12-BV12),1),1,TRUE,0)</f>
        <v/>
      </c>
      <c r="BX12" s="18"/>
      <c r="BY12" s="19"/>
      <c r="BZ12" s="33" t="str" cm="1">
        <f t="array" ref="BZ12">_xlfn.IFS($D12="","",AND(BX12=$C12,BY12=$D12),3,($C12-$D12)/MAX(ABS($C12-$D12),1)=(BX12-BY12)/MAX(ABS(BX12-BY12),1),1,TRUE,0)</f>
        <v/>
      </c>
      <c r="CA12" s="18"/>
      <c r="CB12" s="19"/>
      <c r="CC12" s="33" t="str" cm="1">
        <f t="array" ref="CC12">_xlfn.IFS($D12="","",AND(CA12=$C12,CB12=$D12),3,($C12-$D12)/MAX(ABS($C12-$D12),1)=(CA12-CB12)/MAX(ABS(CA12-CB12),1),1,TRUE,0)</f>
        <v/>
      </c>
      <c r="CD12" s="18"/>
      <c r="CE12" s="19"/>
      <c r="CF12" s="33" t="str" cm="1">
        <f t="array" ref="CF12">_xlfn.IFS($D12="","",AND(CD12=$C12,CE12=$D12),3,($C12-$D12)/MAX(ABS($C12-$D12),1)=(CD12-CE12)/MAX(ABS(CD12-CE12),1),1,TRUE,0)</f>
        <v/>
      </c>
      <c r="CG12" s="18"/>
      <c r="CH12" s="19"/>
      <c r="CI12" s="33" t="str" cm="1">
        <f t="array" ref="CI12">_xlfn.IFS($D12="","",AND(CG12=$C12,CH12=$D12),3,($C12-$D12)/MAX(ABS($C12-$D12),1)=(CG12-CH12)/MAX(ABS(CG12-CH12),1),1,TRUE,0)</f>
        <v/>
      </c>
      <c r="CJ12" s="18"/>
      <c r="CK12" s="19"/>
      <c r="CL12" s="33" t="str" cm="1">
        <f t="array" ref="CL12">_xlfn.IFS($D12="","",AND(CJ12=$C12,CK12=$D12),3,($C12-$D12)/MAX(ABS($C12-$D12),1)=(CJ12-CK12)/MAX(ABS(CJ12-CK12),1),1,TRUE,0)</f>
        <v/>
      </c>
      <c r="CM12" s="18"/>
      <c r="CN12" s="19"/>
      <c r="CO12" s="33" t="str" cm="1">
        <f t="array" ref="CO12">_xlfn.IFS($D12="","",AND(CM12=$C12,CN12=$D12),3,($C12-$D12)/MAX(ABS($C12-$D12),1)=(CM12-CN12)/MAX(ABS(CM12-CN12),1),1,TRUE,0)</f>
        <v/>
      </c>
      <c r="CP12" s="18"/>
      <c r="CQ12" s="19"/>
      <c r="CR12" s="33" t="str" cm="1">
        <f t="array" ref="CR12">_xlfn.IFS($D12="","",AND(CP12=$C12,CQ12=$D12),3,($C12-$D12)/MAX(ABS($C12-$D12),1)=(CP12-CQ12)/MAX(ABS(CP12-CQ12),1),1,TRUE,0)</f>
        <v/>
      </c>
      <c r="CS12" s="18"/>
      <c r="CT12" s="19"/>
      <c r="CU12" s="33" t="str" cm="1">
        <f t="array" ref="CU12">_xlfn.IFS($D12="","",AND(CS12=$C12,CT12=$D12),3,($C12-$D12)/MAX(ABS($C12-$D12),1)=(CS12-CT12)/MAX(ABS(CS12-CT12),1),1,TRUE,0)</f>
        <v/>
      </c>
      <c r="CV12" s="18"/>
      <c r="CW12" s="19"/>
      <c r="CX12" s="33" t="str" cm="1">
        <f t="array" ref="CX12">_xlfn.IFS($D12="","",AND(CV12=$C12,CW12=$D12),3,($C12-$D12)/MAX(ABS($C12-$D12),1)=(CV12-CW12)/MAX(ABS(CV12-CW12),1),1,TRUE,0)</f>
        <v/>
      </c>
      <c r="CY12" s="18"/>
      <c r="CZ12" s="19"/>
      <c r="DA12" s="33" t="str" cm="1">
        <f t="array" ref="DA12">_xlfn.IFS($D12="","",AND(CY12=$C12,CZ12=$D12),3,($C12-$D12)/MAX(ABS($C12-$D12),1)=(CY12-CZ12)/MAX(ABS(CY12-CZ12),1),1,TRUE,0)</f>
        <v/>
      </c>
      <c r="DB12" s="37"/>
      <c r="DC12" s="38"/>
      <c r="DD12" s="33" t="str" cm="1">
        <f t="array" ref="DD12">_xlfn.IFS($D12="","",AND(DB12=$C12,DC12=$D12),3,($C12-$D12)/MAX(ABS($C12-$D12),1)=(DB12-DC12)/MAX(ABS(DB12-DC12),1),1,TRUE,0)</f>
        <v/>
      </c>
      <c r="DE12" s="18"/>
      <c r="DF12" s="19"/>
      <c r="DG12" s="33" t="str" cm="1">
        <f t="array" ref="DG12">_xlfn.IFS($D12="","",AND(DE12=$C12,DF12=$D12),3,($C12-$D12)/MAX(ABS($C12-$D12),1)=(DE12-DF12)/MAX(ABS(DE12-DF12),1),1,TRUE,0)</f>
        <v/>
      </c>
      <c r="DH12" s="18"/>
      <c r="DI12" s="19"/>
      <c r="DJ12" s="33" t="str" cm="1">
        <f t="array" ref="DJ12">_xlfn.IFS($D12="","",AND(DH12=$C12,DI12=$D12),3,($C12-$D12)/MAX(ABS($C12-$D12),1)=(DH12-DI12)/MAX(ABS(DH12-DI12),1),1,TRUE,0)</f>
        <v/>
      </c>
      <c r="DK12" s="18"/>
      <c r="DL12" s="19"/>
      <c r="DM12" s="33" t="str" cm="1">
        <f t="array" ref="DM12">_xlfn.IFS($D12="","",AND(DK12=$C12,DL12=$D12),3,($C12-$D12)/MAX(ABS($C12-$D12),1)=(DK12-DL12)/MAX(ABS(DK12-DL12),1),1,TRUE,0)</f>
        <v/>
      </c>
      <c r="DN12" s="18"/>
      <c r="DO12" s="19"/>
      <c r="DP12" s="33" t="str" cm="1">
        <f t="array" ref="DP12">_xlfn.IFS($D12="","",AND(DN12=$C12,DO12=$D12),3,($C12-$D12)/MAX(ABS($C12-$D12),1)=(DN12-DO12)/MAX(ABS(DN12-DO12),1),1,TRUE,0)</f>
        <v/>
      </c>
      <c r="DQ12" s="18"/>
      <c r="DR12" s="19"/>
      <c r="DS12" s="33" t="str" cm="1">
        <f t="array" ref="DS12">_xlfn.IFS($D12="","",AND(DQ12=$C12,DR12=$D12),3,($C12-$D12)/MAX(ABS($C12-$D12),1)=(DQ12-DR12)/MAX(ABS(DQ12-DR12),1),1,TRUE,0)</f>
        <v/>
      </c>
      <c r="DT12" s="18"/>
      <c r="DU12" s="19"/>
      <c r="DV12" s="33" t="str" cm="1">
        <f t="array" ref="DV12">_xlfn.IFS($D12="","",AND(DT12=$C12,DU12=$D12),3,($C12-$D12)/MAX(ABS($C12-$D12),1)=(DT12-DU12)/MAX(ABS(DT12-DU12),1),1,TRUE,0)</f>
        <v/>
      </c>
      <c r="DW12" s="18"/>
      <c r="DX12" s="19"/>
      <c r="DY12" s="33" t="str" cm="1">
        <f t="array" ref="DY12">_xlfn.IFS($D12="","",AND(DW12=$C12,DX12=$D12),3,($C12-$D12)/MAX(ABS($C12-$D12),1)=(DW12-DX12)/MAX(ABS(DW12-DX12),1),1,TRUE,0)</f>
        <v/>
      </c>
      <c r="DZ12" s="18"/>
      <c r="EA12" s="19"/>
      <c r="EB12" s="33" t="str" cm="1">
        <f t="array" ref="EB12">_xlfn.IFS($D12="","",AND(DZ12=$C12,EA12=$D12),3,($C12-$D12)/MAX(ABS($C12-$D12),1)=(DZ12-EA12)/MAX(ABS(DZ12-EA12),1),1,TRUE,0)</f>
        <v/>
      </c>
      <c r="EC12" s="18"/>
      <c r="ED12" s="19"/>
      <c r="EE12" s="33" t="str" cm="1">
        <f t="array" ref="EE12">_xlfn.IFS($D12="","",AND(EC12=$C12,ED12=$D12),3,($C12-$D12)/MAX(ABS($C12-$D12),1)=(EC12-ED12)/MAX(ABS(EC12-ED12),1),1,TRUE,0)</f>
        <v/>
      </c>
      <c r="EF12" s="18"/>
      <c r="EG12" s="19"/>
      <c r="EH12" s="33" t="str" cm="1">
        <f t="array" ref="EH12">_xlfn.IFS($D12="","",AND(EF12=$C12,EG12=$D12),3,($C12-$D12)/MAX(ABS($C12-$D12),1)=(EF12-EG12)/MAX(ABS(EF12-EG12),1),1,TRUE,0)</f>
        <v/>
      </c>
      <c r="EI12" s="43"/>
      <c r="EJ12" s="44"/>
      <c r="EK12" s="33" t="str" cm="1">
        <f t="array" ref="EK12">_xlfn.IFS($D12="","",AND(EI12=$C12,EJ12=$D12),3,($C12-$D12)/MAX(ABS($C12-$D12),1)=(EI12-EJ12)/MAX(ABS(EI12-EJ12),1),1,TRUE,0)</f>
        <v/>
      </c>
      <c r="EL12" s="18"/>
      <c r="EM12" s="19"/>
      <c r="EN12" s="33" t="str" cm="1">
        <f t="array" ref="EN12">_xlfn.IFS($D12="","",AND(EL12=$C12,EM12=$D12),3,($C12-$D12)/MAX(ABS($C12-$D12),1)=(EL12-EM12)/MAX(ABS(EL12-EM12),1),1,TRUE,0)</f>
        <v/>
      </c>
      <c r="EO12" s="18"/>
      <c r="EP12" s="19"/>
      <c r="EQ12" s="33" t="str" cm="1">
        <f t="array" ref="EQ12">_xlfn.IFS($D12="","",AND(EO12=$C12,EP12=$D12),3,($C12-$D12)/MAX(ABS($C12-$D12),1)=(EO12-EP12)/MAX(ABS(EO12-EP12),1),1,TRUE,0)</f>
        <v/>
      </c>
      <c r="ER12" s="18"/>
      <c r="ES12" s="19"/>
      <c r="ET12" s="33" t="str" cm="1">
        <f t="array" ref="ET12">_xlfn.IFS($D12="","",AND(ER12=$C12,ES12=$D12),3,($C12-$D12)/MAX(ABS($C12-$D12),1)=(ER12-ES12)/MAX(ABS(ER12-ES12),1),1,TRUE,0)</f>
        <v/>
      </c>
      <c r="EU12" s="18"/>
      <c r="EV12" s="19"/>
      <c r="EW12" s="33" t="str" cm="1">
        <f t="array" ref="EW12">_xlfn.IFS($D12="","",AND(EU12=$C12,EV12=$D12),3,($C12-$D12)/MAX(ABS($C12-$D12),1)=(EU12-EV12)/MAX(ABS(EU12-EV12),1),1,TRUE,0)</f>
        <v/>
      </c>
      <c r="EX12" s="18"/>
      <c r="EY12" s="19"/>
      <c r="EZ12" s="33" t="str" cm="1">
        <f t="array" ref="EZ12">_xlfn.IFS($D12="","",AND(EX12=$C12,EY12=$D12),3,($C12-$D12)/MAX(ABS($C12-$D12),1)=(EX12-EY12)/MAX(ABS(EX12-EY12),1),1,TRUE,0)</f>
        <v/>
      </c>
      <c r="FA12" s="18"/>
      <c r="FB12" s="19"/>
      <c r="FC12" s="33" t="str" cm="1">
        <f t="array" ref="FC12">_xlfn.IFS($D12="","",AND(FA12=$C12,FB12=$D12),3,($C12-$D12)/MAX(ABS($C12-$D12),1)=(FA12-FB12)/MAX(ABS(FA12-FB12),1),1,TRUE,0)</f>
        <v/>
      </c>
      <c r="FD12" s="18"/>
      <c r="FE12" s="19"/>
      <c r="FF12" s="33" t="str" cm="1">
        <f t="array" ref="FF12">_xlfn.IFS($D12="","",AND(FD12=$C12,FE12=$D12),3,($C12-$D12)/MAX(ABS($C12-$D12),1)=(FD12-FE12)/MAX(ABS(FD12-FE12),1),1,TRUE,0)</f>
        <v/>
      </c>
      <c r="FG12" s="18"/>
      <c r="FH12" s="19"/>
      <c r="FI12" s="33" t="str" cm="1">
        <f t="array" ref="FI12">_xlfn.IFS($D12="","",AND(FG12=$C12,FH12=$D12),3,($C12-$D12)/MAX(ABS($C12-$D12),1)=(FG12-FH12)/MAX(ABS(FG12-FH12),1),1,TRUE,0)</f>
        <v/>
      </c>
      <c r="FJ12" s="18"/>
      <c r="FK12" s="19"/>
      <c r="FL12" s="33" t="str" cm="1">
        <f t="array" ref="FL12">_xlfn.IFS($D12="","",AND(FJ12=$C12,FK12=$D12),3,($C12-$D12)/MAX(ABS($C12-$D12),1)=(FJ12-FK12)/MAX(ABS(FJ12-FK12),1),1,TRUE,0)</f>
        <v/>
      </c>
      <c r="FM12" s="18"/>
      <c r="FN12" s="19"/>
      <c r="FO12" s="33" t="str" cm="1">
        <f t="array" ref="FO12">_xlfn.IFS($D12="","",AND(FM12=$C12,FN12=$D12),3,($C12-$D12)/MAX(ABS($C12-$D12),1)=(FM12-FN12)/MAX(ABS(FM12-FN12),1),1,TRUE,0)</f>
        <v/>
      </c>
      <c r="FP12" s="18"/>
      <c r="FQ12" s="19"/>
      <c r="FR12" s="33" t="str" cm="1">
        <f t="array" ref="FR12">_xlfn.IFS($D12="","",AND(FP12=$C12,FQ12=$D12),3,($C12-$D12)/MAX(ABS($C12-$D12),1)=(FP12-FQ12)/MAX(ABS(FP12-FQ12),1),1,TRUE,0)</f>
        <v/>
      </c>
      <c r="FS12" s="18"/>
      <c r="FT12" s="19"/>
      <c r="FU12" s="33" t="str" cm="1">
        <f t="array" ref="FU12">_xlfn.IFS($D12="","",AND(FS12=$C12,FT12=$D12),3,($C12-$D12)/MAX(ABS($C12-$D12),1)=(FS12-FT12)/MAX(ABS(FS12-FT12),1),1,TRUE,0)</f>
        <v/>
      </c>
      <c r="FV12" s="18"/>
      <c r="FW12" s="19"/>
      <c r="FX12" s="33" t="str" cm="1">
        <f t="array" ref="FX12">_xlfn.IFS($D12="","",AND(FV12=$C12,FW12=$D12),3,($C12-$D12)/MAX(ABS($C12-$D12),1)=(FV12-FW12)/MAX(ABS(FV12-FW12),1),1,TRUE,0)</f>
        <v/>
      </c>
      <c r="FY12" s="18"/>
      <c r="FZ12" s="19"/>
      <c r="GA12" s="33" t="str" cm="1">
        <f t="array" ref="GA12">_xlfn.IFS($D12="","",AND(FY12=$C12,FZ12=$D12),3,($C12-$D12)/MAX(ABS($C12-$D12),1)=(FY12-FZ12)/MAX(ABS(FY12-FZ12),1),1,TRUE,0)</f>
        <v/>
      </c>
      <c r="GB12" s="18"/>
      <c r="GC12" s="19"/>
      <c r="GD12" s="33" t="str" cm="1">
        <f t="array" ref="GD12">_xlfn.IFS($D12="","",AND(GB12=$C12,GC12=$D12),3,($C12-$D12)/MAX(ABS($C12-$D12),1)=(GB12-GC12)/MAX(ABS(GB12-GC12),1),1,TRUE,0)</f>
        <v/>
      </c>
      <c r="GE12" s="47"/>
      <c r="GF12" s="45"/>
      <c r="GG12" s="33" t="str" cm="1">
        <f t="array" ref="GG12">_xlfn.IFS($D12="","",AND(GE12=$C12,GF12=$D12),3,($C12-$D12)/MAX(ABS($C12-$D12),1)=(GE12-GF12)/MAX(ABS(GE12-GF12),1),1,TRUE,0)</f>
        <v/>
      </c>
      <c r="GH12" s="18"/>
      <c r="GI12" s="19"/>
      <c r="GJ12" s="33" t="str" cm="1">
        <f t="array" ref="GJ12">_xlfn.IFS($D12="","",AND(GH12=$C12,GI12=$D12),3,($C12-$D12)/MAX(ABS($C12-$D12),1)=(GH12-GI12)/MAX(ABS(GH12-GI12),1),1,TRUE,0)</f>
        <v/>
      </c>
      <c r="GK12" s="18"/>
      <c r="GL12" s="19"/>
      <c r="GM12" s="33" t="str" cm="1">
        <f t="array" ref="GM12">_xlfn.IFS($D12="","",AND(GK12=$C12,GL12=$D12),3,($C12-$D12)/MAX(ABS($C12-$D12),1)=(GK12-GL12)/MAX(ABS(GK12-GL12),1),1,TRUE,0)</f>
        <v/>
      </c>
      <c r="GN12" s="18"/>
      <c r="GO12" s="19"/>
      <c r="GP12" s="33" t="str" cm="1">
        <f t="array" ref="GP12">_xlfn.IFS($D12="","",AND(GN12=$C12,GO12=$D12),3,($C12-$D12)/MAX(ABS($C12-$D12),1)=(GN12-GO12)/MAX(ABS(GN12-GO12),1),1,TRUE,0)</f>
        <v/>
      </c>
      <c r="GQ12" s="18"/>
      <c r="GR12" s="19"/>
      <c r="GS12" s="33" t="str" cm="1">
        <f t="array" ref="GS12">_xlfn.IFS($D12="","",AND(GQ12=$C12,GR12=$D12),3,($C12-$D12)/MAX(ABS($C12-$D12),1)=(GQ12-GR12)/MAX(ABS(GQ12-GR12),1),1,TRUE,0)</f>
        <v/>
      </c>
      <c r="GT12" s="18"/>
      <c r="GU12" s="19"/>
      <c r="GV12" s="33" t="str" cm="1">
        <f t="array" ref="GV12">_xlfn.IFS($D12="","",AND(GT12=$C12,GU12=$D12),3,($C12-$D12)/MAX(ABS($C12-$D12),1)=(GT12-GU12)/MAX(ABS(GT12-GU12),1),1,TRUE,0)</f>
        <v/>
      </c>
      <c r="GW12" s="18"/>
      <c r="GX12" s="19"/>
      <c r="GY12" s="33" t="str" cm="1">
        <f t="array" ref="GY12">_xlfn.IFS($D12="","",AND(GW12=$C12,GX12=$D12),3,($C12-$D12)/MAX(ABS($C12-$D12),1)=(GW12-GX12)/MAX(ABS(GW12-GX12),1),1,TRUE,0)</f>
        <v/>
      </c>
      <c r="GZ12" s="18"/>
      <c r="HA12" s="19"/>
      <c r="HB12" s="33" t="str" cm="1">
        <f t="array" ref="HB12">_xlfn.IFS($D12="","",AND(GZ12=$C12,HA12=$D12),3,($C12-$D12)/MAX(ABS($C12-$D12),1)=(GZ12-HA12)/MAX(ABS(GZ12-HA12),1),1,TRUE,0)</f>
        <v/>
      </c>
      <c r="HC12" s="18"/>
      <c r="HD12" s="19"/>
      <c r="HE12" s="33" t="str" cm="1">
        <f t="array" ref="HE12">_xlfn.IFS($D12="","",AND(HC12=$C12,HD12=$D12),3,($C12-$D12)/MAX(ABS($C12-$D12),1)=(HC12-HD12)/MAX(ABS(HC12-HD12),1),1,TRUE,0)</f>
        <v/>
      </c>
      <c r="HF12" s="18"/>
      <c r="HG12" s="19"/>
      <c r="HH12" s="33" t="str" cm="1">
        <f t="array" ref="HH12">_xlfn.IFS($D12="","",AND(HF12=$C12,HG12=$D12),3,($C12-$D12)/MAX(ABS($C12-$D12),1)=(HF12-HG12)/MAX(ABS(HF12-HG12),1),1,TRUE,0)</f>
        <v/>
      </c>
      <c r="HI12" s="18"/>
      <c r="HJ12" s="19"/>
      <c r="HK12" s="33" t="str" cm="1">
        <f t="array" ref="HK12">_xlfn.IFS($D12="","",AND(HI12=$C12,HJ12=$D12),3,($C12-$D12)/MAX(ABS($C12-$D12),1)=(HI12-HJ12)/MAX(ABS(HI12-HJ12),1),1,TRUE,0)</f>
        <v/>
      </c>
      <c r="HL12" s="18"/>
      <c r="HM12" s="19"/>
      <c r="HN12" s="33" t="str" cm="1">
        <f t="array" ref="HN12">_xlfn.IFS($D12="","",AND(HL12=$C12,HM12=$D12),3,($C12-$D12)/MAX(ABS($C12-$D12),1)=(HL12-HM12)/MAX(ABS(HL12-HM12),1),1,TRUE,0)</f>
        <v/>
      </c>
      <c r="HO12" s="18"/>
      <c r="HP12" s="19"/>
      <c r="HQ12" s="33" t="str" cm="1">
        <f t="array" ref="HQ12">_xlfn.IFS($D12="","",AND(HO12=$C12,HP12=$D12),3,($C12-$D12)/MAX(ABS($C12-$D12),1)=(HO12-HP12)/MAX(ABS(HO12-HP12),1),1,TRUE,0)</f>
        <v/>
      </c>
      <c r="HR12" s="18"/>
      <c r="HS12" s="19"/>
      <c r="HT12" s="33" t="str" cm="1">
        <f t="array" ref="HT12">_xlfn.IFS($D12="","",AND(HR12=$C12,HS12=$D12),3,($C12-$D12)/MAX(ABS($C12-$D12),1)=(HR12-HS12)/MAX(ABS(HR12-HS12),1),1,TRUE,0)</f>
        <v/>
      </c>
      <c r="HU12" s="18"/>
      <c r="HV12" s="19"/>
      <c r="HW12" s="33" t="str" cm="1">
        <f t="array" ref="HW12">_xlfn.IFS($D12="","",AND(HU12=$C12,HV12=$D12),3,($C12-$D12)/MAX(ABS($C12-$D12),1)=(HU12-HV12)/MAX(ABS(HU12-HV12),1),1,TRUE,0)</f>
        <v/>
      </c>
      <c r="HX12" s="18"/>
      <c r="HY12" s="19"/>
      <c r="HZ12" s="33" t="str" cm="1">
        <f t="array" ref="HZ12">_xlfn.IFS($D12="","",AND(HX12=$C12,HY12=$D12),3,($C12-$D12)/MAX(ABS($C12-$D12),1)=(HX12-HY12)/MAX(ABS(HX12-HY12),1),1,TRUE,0)</f>
        <v/>
      </c>
      <c r="IA12" s="18"/>
      <c r="IB12" s="19"/>
      <c r="IC12" s="33" t="str" cm="1">
        <f t="array" ref="IC12">_xlfn.IFS($D12="","",AND(IA12=$C12,IB12=$D12),3,($C12-$D12)/MAX(ABS($C12-$D12),1)=(IA12-IB12)/MAX(ABS(IA12-IB12),1),1,TRUE,0)</f>
        <v/>
      </c>
      <c r="ID12" s="18"/>
      <c r="IE12" s="19"/>
      <c r="IF12" s="33" t="str" cm="1">
        <f t="array" ref="IF12">_xlfn.IFS($D12="","",AND(ID12=$C12,IE12=$D12),3,($C12-$D12)/MAX(ABS($C12-$D12),1)=(ID12-IE12)/MAX(ABS(ID12-IE12),1),1,TRUE,0)</f>
        <v/>
      </c>
      <c r="IG12" s="18"/>
      <c r="IH12" s="19"/>
      <c r="II12" s="33" t="str" cm="1">
        <f t="array" ref="II12">_xlfn.IFS($D12="","",AND(IG12=$C12,IH12=$D12),3,($C12-$D12)/MAX(ABS($C12-$D12),1)=(IG12-IH12)/MAX(ABS(IG12-IH12),1),1,TRUE,0)</f>
        <v/>
      </c>
      <c r="IJ12" s="18"/>
      <c r="IK12" s="19"/>
      <c r="IL12" s="33" t="str" cm="1">
        <f t="array" ref="IL12">_xlfn.IFS($D12="","",AND(IJ12=$C12,IK12=$D12),3,($C12-$D12)/MAX(ABS($C12-$D12),1)=(IJ12-IK12)/MAX(ABS(IJ12-IK12),1),1,TRUE,0)</f>
        <v/>
      </c>
      <c r="IM12" s="18"/>
      <c r="IN12" s="19"/>
      <c r="IO12" s="33" t="str" cm="1">
        <f t="array" ref="IO12">_xlfn.IFS($D12="","",AND(IM12=$C12,IN12=$D12),3,($C12-$D12)/MAX(ABS($C12-$D12),1)=(IM12-IN12)/MAX(ABS(IM12-IN12),1),1,TRUE,0)</f>
        <v/>
      </c>
      <c r="IP12" s="18"/>
      <c r="IQ12" s="19"/>
      <c r="IR12" s="33" t="str" cm="1">
        <f t="array" ref="IR12">_xlfn.IFS($D12="","",AND(IP12=$C12,IQ12=$D12),3,($C12-$D12)/MAX(ABS($C12-$D12),1)=(IP12-IQ12)/MAX(ABS(IP12-IQ12),1),1,TRUE,0)</f>
        <v/>
      </c>
      <c r="IS12" s="18"/>
      <c r="IT12" s="19"/>
      <c r="IU12" s="33" t="str" cm="1">
        <f t="array" ref="IU12">_xlfn.IFS($D12="","",AND(IS12=$C12,IT12=$D12),3,($C12-$D12)/MAX(ABS($C12-$D12),1)=(IS12-IT12)/MAX(ABS(IS12-IT12),1),1,TRUE,0)</f>
        <v/>
      </c>
      <c r="IV12" s="18"/>
      <c r="IW12" s="19"/>
      <c r="IX12" s="33" t="str" cm="1">
        <f t="array" ref="IX12">_xlfn.IFS($D12="","",AND(IV12=$C12,IW12=$D12),3,($C12-$D12)/MAX(ABS($C12-$D12),1)=(IV12-IW12)/MAX(ABS(IV12-IW12),1),1,TRUE,0)</f>
        <v/>
      </c>
      <c r="IY12" s="18"/>
      <c r="IZ12" s="19"/>
      <c r="JA12" s="33" t="str" cm="1">
        <f t="array" ref="JA12">_xlfn.IFS($D12="","",AND(IY12=$C12,IZ12=$D12),3,($C12-$D12)/MAX(ABS($C12-$D12),1)=(IY12-IZ12)/MAX(ABS(IY12-IZ12),1),1,TRUE,0)</f>
        <v/>
      </c>
      <c r="JB12" s="18"/>
      <c r="JC12" s="19"/>
      <c r="JD12" s="33" t="str" cm="1">
        <f t="array" ref="JD12">_xlfn.IFS($D12="","",AND(JB12=$C12,JC12=$D12),3,($C12-$D12)/MAX(ABS($C12-$D12),1)=(JB12-JC12)/MAX(ABS(JB12-JC12),1),1,TRUE,0)</f>
        <v/>
      </c>
    </row>
    <row r="13" spans="1:264" ht="15" thickBot="1" x14ac:dyDescent="0.35">
      <c r="A13" s="22">
        <v>46188</v>
      </c>
      <c r="B13" s="28" t="s">
        <v>42</v>
      </c>
      <c r="C13" s="53" t="str" cm="1">
        <f t="array" ref="C13">_xlfn.LET(
_xlpm.x,_xlfn.XLOOKUP(1,(Scores_Fixtures[Date]=A13)*(Scores_Fixtures[Home.1]=B13),Scores_Fixtures[Score.1],""),
IF(_xlpm.x="","",_xlpm.x)
)</f>
        <v/>
      </c>
      <c r="D13" s="53" t="str" cm="1">
        <f t="array" ref="D13">_xlfn.LET(
_xlpm.x,_xlfn.XLOOKUP(1,(Scores_Fixtures[Date]=A13)*(Scores_Fixtures[Home.1]=B13),Scores_Fixtures[Score.2],""),
IF(_xlpm.x="","",_xlpm.x)
)</f>
        <v/>
      </c>
      <c r="E13" s="12" t="s">
        <v>51</v>
      </c>
      <c r="F13" s="15"/>
      <c r="G13" s="53"/>
      <c r="H13" s="53"/>
      <c r="I13" s="33" t="str" cm="1">
        <f t="array" ref="I13">_xlfn.IFS($D13="","",AND(G13=$C13,H13=$D13),3,($C13-$D13)/MAX(ABS($C13-$D13),1)=(G13-H13)/MAX(ABS(G13-H13),1),1,TRUE,0)</f>
        <v/>
      </c>
      <c r="J13" s="18"/>
      <c r="K13" s="19"/>
      <c r="L13" s="33" t="str" cm="1">
        <f t="array" ref="L13">_xlfn.IFS($D13="","",AND(J13=$C13,K13=$D13),3,($C13-$D13)/MAX(ABS($C13-$D13),1)=(J13-K13)/MAX(ABS(J13-K13),1),1,TRUE,0)</f>
        <v/>
      </c>
      <c r="M13" s="18"/>
      <c r="N13" s="19"/>
      <c r="O13" s="33" t="str" cm="1">
        <f t="array" ref="O13">_xlfn.IFS($D13="","",AND(M13=$C13,N13=$D13),3,($C13-$D13)/MAX(ABS($C13-$D13),1)=(M13-N13)/MAX(ABS(M13-N13),1),1,TRUE,0)</f>
        <v/>
      </c>
      <c r="P13" s="18"/>
      <c r="Q13" s="19"/>
      <c r="R13" s="33" t="str" cm="1">
        <f t="array" ref="R13">_xlfn.IFS($D13="","",AND(P13=$C13,Q13=$D13),3,($C13-$D13)/MAX(ABS($C13-$D13),1)=(P13-Q13)/MAX(ABS(P13-Q13),1),1,TRUE,0)</f>
        <v/>
      </c>
      <c r="S13" s="18"/>
      <c r="T13" s="19"/>
      <c r="U13" s="33" t="str" cm="1">
        <f t="array" ref="U13">_xlfn.IFS($D13="","",AND(S13=$C13,T13=$D13),3,($C13-$D13)/MAX(ABS($C13-$D13),1)=(S13-T13)/MAX(ABS(S13-T13),1),1,TRUE,0)</f>
        <v/>
      </c>
      <c r="V13" s="18"/>
      <c r="W13" s="19"/>
      <c r="X13" s="33" t="str" cm="1">
        <f t="array" ref="X13">_xlfn.IFS($D13="","",AND(V13=$C13,W13=$D13),3,($C13-$D13)/MAX(ABS($C13-$D13),1)=(V13-W13)/MAX(ABS(V13-W13),1),1,TRUE,0)</f>
        <v/>
      </c>
      <c r="Y13" s="18"/>
      <c r="Z13" s="19"/>
      <c r="AA13" s="33" t="str" cm="1">
        <f t="array" ref="AA13">_xlfn.IFS($D13="","",AND(Y13=$C13,Z13=$D13),3,($C13-$D13)/MAX(ABS($C13-$D13),1)=(Y13-Z13)/MAX(ABS(Y13-Z13),1),1,TRUE,0)</f>
        <v/>
      </c>
      <c r="AB13" s="18"/>
      <c r="AC13" s="19"/>
      <c r="AD13" s="33" t="str" cm="1">
        <f t="array" ref="AD13">_xlfn.IFS($D13="","",AND(AB13=$C13,AC13=$D13),3,($C13-$D13)/MAX(ABS($C13-$D13),1)=(AB13-AC13)/MAX(ABS(AB13-AC13),1),1,TRUE,0)</f>
        <v/>
      </c>
      <c r="AE13" s="18"/>
      <c r="AF13" s="19"/>
      <c r="AG13" s="33" t="str" cm="1">
        <f t="array" ref="AG13">_xlfn.IFS($D13="","",AND(AE13=$C13,AF13=$D13),3,($C13-$D13)/MAX(ABS($C13-$D13),1)=(AE13-AF13)/MAX(ABS(AE13-AF13),1),1,TRUE,0)</f>
        <v/>
      </c>
      <c r="AH13" s="18"/>
      <c r="AI13" s="19"/>
      <c r="AJ13" s="33" t="str" cm="1">
        <f t="array" ref="AJ13">_xlfn.IFS($D13="","",AND(AH13=$C13,AI13=$D13),3,($C13-$D13)/MAX(ABS($C13-$D13),1)=(AH13-AI13)/MAX(ABS(AH13-AI13),1),1,TRUE,0)</f>
        <v/>
      </c>
      <c r="AK13" s="18"/>
      <c r="AL13" s="19"/>
      <c r="AM13" s="33" t="str" cm="1">
        <f t="array" ref="AM13">_xlfn.IFS($D13="","",AND(AK13=$C13,AL13=$D13),3,($C13-$D13)/MAX(ABS($C13-$D13),1)=(AK13-AL13)/MAX(ABS(AK13-AL13),1),1,TRUE,0)</f>
        <v/>
      </c>
      <c r="AN13" s="18"/>
      <c r="AO13" s="19"/>
      <c r="AP13" s="33" t="str" cm="1">
        <f t="array" ref="AP13">_xlfn.IFS($D13="","",AND(AN13=$C13,AO13=$D13),3,($C13-$D13)/MAX(ABS($C13-$D13),1)=(AN13-AO13)/MAX(ABS(AN13-AO13),1),1,TRUE,0)</f>
        <v/>
      </c>
      <c r="AQ13" s="18"/>
      <c r="AR13" s="19"/>
      <c r="AS13" s="33" t="str" cm="1">
        <f t="array" ref="AS13">_xlfn.IFS($D13="","",AND(AQ13=$C13,AR13=$D13),3,($C13-$D13)/MAX(ABS($C13-$D13),1)=(AQ13-AR13)/MAX(ABS(AQ13-AR13),1),1,TRUE,0)</f>
        <v/>
      </c>
      <c r="AT13" s="18"/>
      <c r="AU13" s="19"/>
      <c r="AV13" s="33" t="str" cm="1">
        <f t="array" ref="AV13">_xlfn.IFS($D13="","",AND(AT13=$C13,AU13=$D13),3,($C13-$D13)/MAX(ABS($C13-$D13),1)=(AT13-AU13)/MAX(ABS(AT13-AU13),1),1,TRUE,0)</f>
        <v/>
      </c>
      <c r="AW13" s="18"/>
      <c r="AX13" s="19"/>
      <c r="AY13" s="33" t="str" cm="1">
        <f t="array" ref="AY13">_xlfn.IFS($D13="","",AND(AW13=$C13,AX13=$D13),3,($C13-$D13)/MAX(ABS($C13-$D13),1)=(AW13-AX13)/MAX(ABS(AW13-AX13),1),1,TRUE,0)</f>
        <v/>
      </c>
      <c r="AZ13" s="18"/>
      <c r="BA13" s="19"/>
      <c r="BB13" s="33" t="str" cm="1">
        <f t="array" ref="BB13">_xlfn.IFS($D13="","",AND(AZ13=$C13,BA13=$D13),3,($C13-$D13)/MAX(ABS($C13-$D13),1)=(AZ13-BA13)/MAX(ABS(AZ13-BA13),1),1,TRUE,0)</f>
        <v/>
      </c>
      <c r="BC13" s="18"/>
      <c r="BD13" s="19"/>
      <c r="BE13" s="33" t="str" cm="1">
        <f t="array" ref="BE13">_xlfn.IFS($D13="","",AND(BC13=$C13,BD13=$D13),3,($C13-$D13)/MAX(ABS($C13-$D13),1)=(BC13-BD13)/MAX(ABS(BC13-BD13),1),1,TRUE,0)</f>
        <v/>
      </c>
      <c r="BF13" s="18"/>
      <c r="BG13" s="19"/>
      <c r="BH13" s="33" t="str" cm="1">
        <f t="array" ref="BH13">_xlfn.IFS($D13="","",AND(BF13=$C13,BG13=$D13),3,($C13-$D13)/MAX(ABS($C13-$D13),1)=(BF13-BG13)/MAX(ABS(BF13-BG13),1),1,TRUE,0)</f>
        <v/>
      </c>
      <c r="BI13" s="18"/>
      <c r="BJ13" s="19"/>
      <c r="BK13" s="33" t="str" cm="1">
        <f t="array" ref="BK13">_xlfn.IFS($D13="","",AND(BI13=$C13,BJ13=$D13),3,($C13-$D13)/MAX(ABS($C13-$D13),1)=(BI13-BJ13)/MAX(ABS(BI13-BJ13),1),1,TRUE,0)</f>
        <v/>
      </c>
      <c r="BL13" s="18"/>
      <c r="BM13" s="19"/>
      <c r="BN13" s="33" t="str" cm="1">
        <f t="array" ref="BN13">_xlfn.IFS($D13="","",AND(BL13=$C13,BM13=$D13),3,($C13-$D13)/MAX(ABS($C13-$D13),1)=(BL13-BM13)/MAX(ABS(BL13-BM13),1),1,TRUE,0)</f>
        <v/>
      </c>
      <c r="BO13" s="18"/>
      <c r="BP13" s="19"/>
      <c r="BQ13" s="33" t="str" cm="1">
        <f t="array" ref="BQ13">_xlfn.IFS($D13="","",AND(BO13=$C13,BP13=$D13),3,($C13-$D13)/MAX(ABS($C13-$D13),1)=(BO13-BP13)/MAX(ABS(BO13-BP13),1),1,TRUE,0)</f>
        <v/>
      </c>
      <c r="BR13" s="18"/>
      <c r="BS13" s="19"/>
      <c r="BT13" s="33" t="str" cm="1">
        <f t="array" ref="BT13">_xlfn.IFS($D13="","",AND(BR13=$C13,BS13=$D13),3,($C13-$D13)/MAX(ABS($C13-$D13),1)=(BR13-BS13)/MAX(ABS(BR13-BS13),1),1,TRUE,0)</f>
        <v/>
      </c>
      <c r="BU13" s="18"/>
      <c r="BV13" s="19"/>
      <c r="BW13" s="33" t="str" cm="1">
        <f t="array" ref="BW13">_xlfn.IFS($D13="","",AND(BU13=$C13,BV13=$D13),3,($C13-$D13)/MAX(ABS($C13-$D13),1)=(BU13-BV13)/MAX(ABS(BU13-BV13),1),1,TRUE,0)</f>
        <v/>
      </c>
      <c r="BX13" s="18"/>
      <c r="BY13" s="19"/>
      <c r="BZ13" s="33" t="str" cm="1">
        <f t="array" ref="BZ13">_xlfn.IFS($D13="","",AND(BX13=$C13,BY13=$D13),3,($C13-$D13)/MAX(ABS($C13-$D13),1)=(BX13-BY13)/MAX(ABS(BX13-BY13),1),1,TRUE,0)</f>
        <v/>
      </c>
      <c r="CA13" s="18"/>
      <c r="CB13" s="19"/>
      <c r="CC13" s="33" t="str" cm="1">
        <f t="array" ref="CC13">_xlfn.IFS($D13="","",AND(CA13=$C13,CB13=$D13),3,($C13-$D13)/MAX(ABS($C13-$D13),1)=(CA13-CB13)/MAX(ABS(CA13-CB13),1),1,TRUE,0)</f>
        <v/>
      </c>
      <c r="CD13" s="18"/>
      <c r="CE13" s="19"/>
      <c r="CF13" s="33" t="str" cm="1">
        <f t="array" ref="CF13">_xlfn.IFS($D13="","",AND(CD13=$C13,CE13=$D13),3,($C13-$D13)/MAX(ABS($C13-$D13),1)=(CD13-CE13)/MAX(ABS(CD13-CE13),1),1,TRUE,0)</f>
        <v/>
      </c>
      <c r="CG13" s="18"/>
      <c r="CH13" s="19"/>
      <c r="CI13" s="33" t="str" cm="1">
        <f t="array" ref="CI13">_xlfn.IFS($D13="","",AND(CG13=$C13,CH13=$D13),3,($C13-$D13)/MAX(ABS($C13-$D13),1)=(CG13-CH13)/MAX(ABS(CG13-CH13),1),1,TRUE,0)</f>
        <v/>
      </c>
      <c r="CJ13" s="18"/>
      <c r="CK13" s="19"/>
      <c r="CL13" s="33" t="str" cm="1">
        <f t="array" ref="CL13">_xlfn.IFS($D13="","",AND(CJ13=$C13,CK13=$D13),3,($C13-$D13)/MAX(ABS($C13-$D13),1)=(CJ13-CK13)/MAX(ABS(CJ13-CK13),1),1,TRUE,0)</f>
        <v/>
      </c>
      <c r="CM13" s="18"/>
      <c r="CN13" s="19"/>
      <c r="CO13" s="33" t="str" cm="1">
        <f t="array" ref="CO13">_xlfn.IFS($D13="","",AND(CM13=$C13,CN13=$D13),3,($C13-$D13)/MAX(ABS($C13-$D13),1)=(CM13-CN13)/MAX(ABS(CM13-CN13),1),1,TRUE,0)</f>
        <v/>
      </c>
      <c r="CP13" s="18"/>
      <c r="CQ13" s="19"/>
      <c r="CR13" s="33" t="str" cm="1">
        <f t="array" ref="CR13">_xlfn.IFS($D13="","",AND(CP13=$C13,CQ13=$D13),3,($C13-$D13)/MAX(ABS($C13-$D13),1)=(CP13-CQ13)/MAX(ABS(CP13-CQ13),1),1,TRUE,0)</f>
        <v/>
      </c>
      <c r="CS13" s="18"/>
      <c r="CT13" s="19"/>
      <c r="CU13" s="33" t="str" cm="1">
        <f t="array" ref="CU13">_xlfn.IFS($D13="","",AND(CS13=$C13,CT13=$D13),3,($C13-$D13)/MAX(ABS($C13-$D13),1)=(CS13-CT13)/MAX(ABS(CS13-CT13),1),1,TRUE,0)</f>
        <v/>
      </c>
      <c r="CV13" s="18"/>
      <c r="CW13" s="19"/>
      <c r="CX13" s="33" t="str" cm="1">
        <f t="array" ref="CX13">_xlfn.IFS($D13="","",AND(CV13=$C13,CW13=$D13),3,($C13-$D13)/MAX(ABS($C13-$D13),1)=(CV13-CW13)/MAX(ABS(CV13-CW13),1),1,TRUE,0)</f>
        <v/>
      </c>
      <c r="CY13" s="18"/>
      <c r="CZ13" s="19"/>
      <c r="DA13" s="33" t="str" cm="1">
        <f t="array" ref="DA13">_xlfn.IFS($D13="","",AND(CY13=$C13,CZ13=$D13),3,($C13-$D13)/MAX(ABS($C13-$D13),1)=(CY13-CZ13)/MAX(ABS(CY13-CZ13),1),1,TRUE,0)</f>
        <v/>
      </c>
      <c r="DB13" s="37"/>
      <c r="DC13" s="38"/>
      <c r="DD13" s="33" t="str" cm="1">
        <f t="array" ref="DD13">_xlfn.IFS($D13="","",AND(DB13=$C13,DC13=$D13),3,($C13-$D13)/MAX(ABS($C13-$D13),1)=(DB13-DC13)/MAX(ABS(DB13-DC13),1),1,TRUE,0)</f>
        <v/>
      </c>
      <c r="DE13" s="18"/>
      <c r="DF13" s="19"/>
      <c r="DG13" s="33" t="str" cm="1">
        <f t="array" ref="DG13">_xlfn.IFS($D13="","",AND(DE13=$C13,DF13=$D13),3,($C13-$D13)/MAX(ABS($C13-$D13),1)=(DE13-DF13)/MAX(ABS(DE13-DF13),1),1,TRUE,0)</f>
        <v/>
      </c>
      <c r="DH13" s="18"/>
      <c r="DI13" s="19"/>
      <c r="DJ13" s="33" t="str" cm="1">
        <f t="array" ref="DJ13">_xlfn.IFS($D13="","",AND(DH13=$C13,DI13=$D13),3,($C13-$D13)/MAX(ABS($C13-$D13),1)=(DH13-DI13)/MAX(ABS(DH13-DI13),1),1,TRUE,0)</f>
        <v/>
      </c>
      <c r="DK13" s="18"/>
      <c r="DL13" s="19"/>
      <c r="DM13" s="33" t="str" cm="1">
        <f t="array" ref="DM13">_xlfn.IFS($D13="","",AND(DK13=$C13,DL13=$D13),3,($C13-$D13)/MAX(ABS($C13-$D13),1)=(DK13-DL13)/MAX(ABS(DK13-DL13),1),1,TRUE,0)</f>
        <v/>
      </c>
      <c r="DN13" s="18"/>
      <c r="DO13" s="19"/>
      <c r="DP13" s="33" t="str" cm="1">
        <f t="array" ref="DP13">_xlfn.IFS($D13="","",AND(DN13=$C13,DO13=$D13),3,($C13-$D13)/MAX(ABS($C13-$D13),1)=(DN13-DO13)/MAX(ABS(DN13-DO13),1),1,TRUE,0)</f>
        <v/>
      </c>
      <c r="DQ13" s="18"/>
      <c r="DR13" s="19"/>
      <c r="DS13" s="33" t="str" cm="1">
        <f t="array" ref="DS13">_xlfn.IFS($D13="","",AND(DQ13=$C13,DR13=$D13),3,($C13-$D13)/MAX(ABS($C13-$D13),1)=(DQ13-DR13)/MAX(ABS(DQ13-DR13),1),1,TRUE,0)</f>
        <v/>
      </c>
      <c r="DT13" s="18"/>
      <c r="DU13" s="19"/>
      <c r="DV13" s="33" t="str" cm="1">
        <f t="array" ref="DV13">_xlfn.IFS($D13="","",AND(DT13=$C13,DU13=$D13),3,($C13-$D13)/MAX(ABS($C13-$D13),1)=(DT13-DU13)/MAX(ABS(DT13-DU13),1),1,TRUE,0)</f>
        <v/>
      </c>
      <c r="DW13" s="18"/>
      <c r="DX13" s="19"/>
      <c r="DY13" s="33" t="str" cm="1">
        <f t="array" ref="DY13">_xlfn.IFS($D13="","",AND(DW13=$C13,DX13=$D13),3,($C13-$D13)/MAX(ABS($C13-$D13),1)=(DW13-DX13)/MAX(ABS(DW13-DX13),1),1,TRUE,0)</f>
        <v/>
      </c>
      <c r="DZ13" s="18"/>
      <c r="EA13" s="19"/>
      <c r="EB13" s="33" t="str" cm="1">
        <f t="array" ref="EB13">_xlfn.IFS($D13="","",AND(DZ13=$C13,EA13=$D13),3,($C13-$D13)/MAX(ABS($C13-$D13),1)=(DZ13-EA13)/MAX(ABS(DZ13-EA13),1),1,TRUE,0)</f>
        <v/>
      </c>
      <c r="EC13" s="18"/>
      <c r="ED13" s="19"/>
      <c r="EE13" s="33" t="str" cm="1">
        <f t="array" ref="EE13">_xlfn.IFS($D13="","",AND(EC13=$C13,ED13=$D13),3,($C13-$D13)/MAX(ABS($C13-$D13),1)=(EC13-ED13)/MAX(ABS(EC13-ED13),1),1,TRUE,0)</f>
        <v/>
      </c>
      <c r="EF13" s="18"/>
      <c r="EG13" s="19"/>
      <c r="EH13" s="33" t="str" cm="1">
        <f t="array" ref="EH13">_xlfn.IFS($D13="","",AND(EF13=$C13,EG13=$D13),3,($C13-$D13)/MAX(ABS($C13-$D13),1)=(EF13-EG13)/MAX(ABS(EF13-EG13),1),1,TRUE,0)</f>
        <v/>
      </c>
      <c r="EI13" s="43"/>
      <c r="EJ13" s="44"/>
      <c r="EK13" s="33" t="str" cm="1">
        <f t="array" ref="EK13">_xlfn.IFS($D13="","",AND(EI13=$C13,EJ13=$D13),3,($C13-$D13)/MAX(ABS($C13-$D13),1)=(EI13-EJ13)/MAX(ABS(EI13-EJ13),1),1,TRUE,0)</f>
        <v/>
      </c>
      <c r="EL13" s="18"/>
      <c r="EM13" s="19"/>
      <c r="EN13" s="33" t="str" cm="1">
        <f t="array" ref="EN13">_xlfn.IFS($D13="","",AND(EL13=$C13,EM13=$D13),3,($C13-$D13)/MAX(ABS($C13-$D13),1)=(EL13-EM13)/MAX(ABS(EL13-EM13),1),1,TRUE,0)</f>
        <v/>
      </c>
      <c r="EO13" s="18"/>
      <c r="EP13" s="19"/>
      <c r="EQ13" s="33" t="str" cm="1">
        <f t="array" ref="EQ13">_xlfn.IFS($D13="","",AND(EO13=$C13,EP13=$D13),3,($C13-$D13)/MAX(ABS($C13-$D13),1)=(EO13-EP13)/MAX(ABS(EO13-EP13),1),1,TRUE,0)</f>
        <v/>
      </c>
      <c r="ER13" s="18"/>
      <c r="ES13" s="19"/>
      <c r="ET13" s="33" t="str" cm="1">
        <f t="array" ref="ET13">_xlfn.IFS($D13="","",AND(ER13=$C13,ES13=$D13),3,($C13-$D13)/MAX(ABS($C13-$D13),1)=(ER13-ES13)/MAX(ABS(ER13-ES13),1),1,TRUE,0)</f>
        <v/>
      </c>
      <c r="EU13" s="18"/>
      <c r="EV13" s="19"/>
      <c r="EW13" s="33" t="str" cm="1">
        <f t="array" ref="EW13">_xlfn.IFS($D13="","",AND(EU13=$C13,EV13=$D13),3,($C13-$D13)/MAX(ABS($C13-$D13),1)=(EU13-EV13)/MAX(ABS(EU13-EV13),1),1,TRUE,0)</f>
        <v/>
      </c>
      <c r="EX13" s="18"/>
      <c r="EY13" s="19"/>
      <c r="EZ13" s="33" t="str" cm="1">
        <f t="array" ref="EZ13">_xlfn.IFS($D13="","",AND(EX13=$C13,EY13=$D13),3,($C13-$D13)/MAX(ABS($C13-$D13),1)=(EX13-EY13)/MAX(ABS(EX13-EY13),1),1,TRUE,0)</f>
        <v/>
      </c>
      <c r="FA13" s="18"/>
      <c r="FB13" s="19"/>
      <c r="FC13" s="33" t="str" cm="1">
        <f t="array" ref="FC13">_xlfn.IFS($D13="","",AND(FA13=$C13,FB13=$D13),3,($C13-$D13)/MAX(ABS($C13-$D13),1)=(FA13-FB13)/MAX(ABS(FA13-FB13),1),1,TRUE,0)</f>
        <v/>
      </c>
      <c r="FD13" s="18"/>
      <c r="FE13" s="19"/>
      <c r="FF13" s="33" t="str" cm="1">
        <f t="array" ref="FF13">_xlfn.IFS($D13="","",AND(FD13=$C13,FE13=$D13),3,($C13-$D13)/MAX(ABS($C13-$D13),1)=(FD13-FE13)/MAX(ABS(FD13-FE13),1),1,TRUE,0)</f>
        <v/>
      </c>
      <c r="FG13" s="18"/>
      <c r="FH13" s="19"/>
      <c r="FI13" s="33" t="str" cm="1">
        <f t="array" ref="FI13">_xlfn.IFS($D13="","",AND(FG13=$C13,FH13=$D13),3,($C13-$D13)/MAX(ABS($C13-$D13),1)=(FG13-FH13)/MAX(ABS(FG13-FH13),1),1,TRUE,0)</f>
        <v/>
      </c>
      <c r="FJ13" s="18"/>
      <c r="FK13" s="19"/>
      <c r="FL13" s="33" t="str" cm="1">
        <f t="array" ref="FL13">_xlfn.IFS($D13="","",AND(FJ13=$C13,FK13=$D13),3,($C13-$D13)/MAX(ABS($C13-$D13),1)=(FJ13-FK13)/MAX(ABS(FJ13-FK13),1),1,TRUE,0)</f>
        <v/>
      </c>
      <c r="FM13" s="18"/>
      <c r="FN13" s="19"/>
      <c r="FO13" s="33" t="str" cm="1">
        <f t="array" ref="FO13">_xlfn.IFS($D13="","",AND(FM13=$C13,FN13=$D13),3,($C13-$D13)/MAX(ABS($C13-$D13),1)=(FM13-FN13)/MAX(ABS(FM13-FN13),1),1,TRUE,0)</f>
        <v/>
      </c>
      <c r="FP13" s="18"/>
      <c r="FQ13" s="19"/>
      <c r="FR13" s="33" t="str" cm="1">
        <f t="array" ref="FR13">_xlfn.IFS($D13="","",AND(FP13=$C13,FQ13=$D13),3,($C13-$D13)/MAX(ABS($C13-$D13),1)=(FP13-FQ13)/MAX(ABS(FP13-FQ13),1),1,TRUE,0)</f>
        <v/>
      </c>
      <c r="FS13" s="18"/>
      <c r="FT13" s="19"/>
      <c r="FU13" s="33" t="str" cm="1">
        <f t="array" ref="FU13">_xlfn.IFS($D13="","",AND(FS13=$C13,FT13=$D13),3,($C13-$D13)/MAX(ABS($C13-$D13),1)=(FS13-FT13)/MAX(ABS(FS13-FT13),1),1,TRUE,0)</f>
        <v/>
      </c>
      <c r="FV13" s="18"/>
      <c r="FW13" s="19"/>
      <c r="FX13" s="33" t="str" cm="1">
        <f t="array" ref="FX13">_xlfn.IFS($D13="","",AND(FV13=$C13,FW13=$D13),3,($C13-$D13)/MAX(ABS($C13-$D13),1)=(FV13-FW13)/MAX(ABS(FV13-FW13),1),1,TRUE,0)</f>
        <v/>
      </c>
      <c r="FY13" s="18"/>
      <c r="FZ13" s="19"/>
      <c r="GA13" s="33" t="str" cm="1">
        <f t="array" ref="GA13">_xlfn.IFS($D13="","",AND(FY13=$C13,FZ13=$D13),3,($C13-$D13)/MAX(ABS($C13-$D13),1)=(FY13-FZ13)/MAX(ABS(FY13-FZ13),1),1,TRUE,0)</f>
        <v/>
      </c>
      <c r="GB13" s="18"/>
      <c r="GC13" s="19"/>
      <c r="GD13" s="33" t="str" cm="1">
        <f t="array" ref="GD13">_xlfn.IFS($D13="","",AND(GB13=$C13,GC13=$D13),3,($C13-$D13)/MAX(ABS($C13-$D13),1)=(GB13-GC13)/MAX(ABS(GB13-GC13),1),1,TRUE,0)</f>
        <v/>
      </c>
      <c r="GE13" s="47"/>
      <c r="GF13" s="45"/>
      <c r="GG13" s="33" t="str" cm="1">
        <f t="array" ref="GG13">_xlfn.IFS($D13="","",AND(GE13=$C13,GF13=$D13),3,($C13-$D13)/MAX(ABS($C13-$D13),1)=(GE13-GF13)/MAX(ABS(GE13-GF13),1),1,TRUE,0)</f>
        <v/>
      </c>
      <c r="GH13" s="18"/>
      <c r="GI13" s="19"/>
      <c r="GJ13" s="33" t="str" cm="1">
        <f t="array" ref="GJ13">_xlfn.IFS($D13="","",AND(GH13=$C13,GI13=$D13),3,($C13-$D13)/MAX(ABS($C13-$D13),1)=(GH13-GI13)/MAX(ABS(GH13-GI13),1),1,TRUE,0)</f>
        <v/>
      </c>
      <c r="GK13" s="18"/>
      <c r="GL13" s="19"/>
      <c r="GM13" s="33" t="str" cm="1">
        <f t="array" ref="GM13">_xlfn.IFS($D13="","",AND(GK13=$C13,GL13=$D13),3,($C13-$D13)/MAX(ABS($C13-$D13),1)=(GK13-GL13)/MAX(ABS(GK13-GL13),1),1,TRUE,0)</f>
        <v/>
      </c>
      <c r="GN13" s="18"/>
      <c r="GO13" s="19"/>
      <c r="GP13" s="33" t="str" cm="1">
        <f t="array" ref="GP13">_xlfn.IFS($D13="","",AND(GN13=$C13,GO13=$D13),3,($C13-$D13)/MAX(ABS($C13-$D13),1)=(GN13-GO13)/MAX(ABS(GN13-GO13),1),1,TRUE,0)</f>
        <v/>
      </c>
      <c r="GQ13" s="18"/>
      <c r="GR13" s="19"/>
      <c r="GS13" s="33" t="str" cm="1">
        <f t="array" ref="GS13">_xlfn.IFS($D13="","",AND(GQ13=$C13,GR13=$D13),3,($C13-$D13)/MAX(ABS($C13-$D13),1)=(GQ13-GR13)/MAX(ABS(GQ13-GR13),1),1,TRUE,0)</f>
        <v/>
      </c>
      <c r="GT13" s="18"/>
      <c r="GU13" s="19"/>
      <c r="GV13" s="33" t="str" cm="1">
        <f t="array" ref="GV13">_xlfn.IFS($D13="","",AND(GT13=$C13,GU13=$D13),3,($C13-$D13)/MAX(ABS($C13-$D13),1)=(GT13-GU13)/MAX(ABS(GT13-GU13),1),1,TRUE,0)</f>
        <v/>
      </c>
      <c r="GW13" s="18"/>
      <c r="GX13" s="19"/>
      <c r="GY13" s="33" t="str" cm="1">
        <f t="array" ref="GY13">_xlfn.IFS($D13="","",AND(GW13=$C13,GX13=$D13),3,($C13-$D13)/MAX(ABS($C13-$D13),1)=(GW13-GX13)/MAX(ABS(GW13-GX13),1),1,TRUE,0)</f>
        <v/>
      </c>
      <c r="GZ13" s="18"/>
      <c r="HA13" s="19"/>
      <c r="HB13" s="33" t="str" cm="1">
        <f t="array" ref="HB13">_xlfn.IFS($D13="","",AND(GZ13=$C13,HA13=$D13),3,($C13-$D13)/MAX(ABS($C13-$D13),1)=(GZ13-HA13)/MAX(ABS(GZ13-HA13),1),1,TRUE,0)</f>
        <v/>
      </c>
      <c r="HC13" s="18"/>
      <c r="HD13" s="19"/>
      <c r="HE13" s="33" t="str" cm="1">
        <f t="array" ref="HE13">_xlfn.IFS($D13="","",AND(HC13=$C13,HD13=$D13),3,($C13-$D13)/MAX(ABS($C13-$D13),1)=(HC13-HD13)/MAX(ABS(HC13-HD13),1),1,TRUE,0)</f>
        <v/>
      </c>
      <c r="HF13" s="18"/>
      <c r="HG13" s="19"/>
      <c r="HH13" s="33" t="str" cm="1">
        <f t="array" ref="HH13">_xlfn.IFS($D13="","",AND(HF13=$C13,HG13=$D13),3,($C13-$D13)/MAX(ABS($C13-$D13),1)=(HF13-HG13)/MAX(ABS(HF13-HG13),1),1,TRUE,0)</f>
        <v/>
      </c>
      <c r="HI13" s="18"/>
      <c r="HJ13" s="19"/>
      <c r="HK13" s="33" t="str" cm="1">
        <f t="array" ref="HK13">_xlfn.IFS($D13="","",AND(HI13=$C13,HJ13=$D13),3,($C13-$D13)/MAX(ABS($C13-$D13),1)=(HI13-HJ13)/MAX(ABS(HI13-HJ13),1),1,TRUE,0)</f>
        <v/>
      </c>
      <c r="HL13" s="18"/>
      <c r="HM13" s="19"/>
      <c r="HN13" s="33" t="str" cm="1">
        <f t="array" ref="HN13">_xlfn.IFS($D13="","",AND(HL13=$C13,HM13=$D13),3,($C13-$D13)/MAX(ABS($C13-$D13),1)=(HL13-HM13)/MAX(ABS(HL13-HM13),1),1,TRUE,0)</f>
        <v/>
      </c>
      <c r="HO13" s="18"/>
      <c r="HP13" s="19"/>
      <c r="HQ13" s="33" t="str" cm="1">
        <f t="array" ref="HQ13">_xlfn.IFS($D13="","",AND(HO13=$C13,HP13=$D13),3,($C13-$D13)/MAX(ABS($C13-$D13),1)=(HO13-HP13)/MAX(ABS(HO13-HP13),1),1,TRUE,0)</f>
        <v/>
      </c>
      <c r="HR13" s="18"/>
      <c r="HS13" s="19"/>
      <c r="HT13" s="33" t="str" cm="1">
        <f t="array" ref="HT13">_xlfn.IFS($D13="","",AND(HR13=$C13,HS13=$D13),3,($C13-$D13)/MAX(ABS($C13-$D13),1)=(HR13-HS13)/MAX(ABS(HR13-HS13),1),1,TRUE,0)</f>
        <v/>
      </c>
      <c r="HU13" s="18"/>
      <c r="HV13" s="19"/>
      <c r="HW13" s="33" t="str" cm="1">
        <f t="array" ref="HW13">_xlfn.IFS($D13="","",AND(HU13=$C13,HV13=$D13),3,($C13-$D13)/MAX(ABS($C13-$D13),1)=(HU13-HV13)/MAX(ABS(HU13-HV13),1),1,TRUE,0)</f>
        <v/>
      </c>
      <c r="HX13" s="18"/>
      <c r="HY13" s="19"/>
      <c r="HZ13" s="33" t="str" cm="1">
        <f t="array" ref="HZ13">_xlfn.IFS($D13="","",AND(HX13=$C13,HY13=$D13),3,($C13-$D13)/MAX(ABS($C13-$D13),1)=(HX13-HY13)/MAX(ABS(HX13-HY13),1),1,TRUE,0)</f>
        <v/>
      </c>
      <c r="IA13" s="18"/>
      <c r="IB13" s="19"/>
      <c r="IC13" s="33" t="str" cm="1">
        <f t="array" ref="IC13">_xlfn.IFS($D13="","",AND(IA13=$C13,IB13=$D13),3,($C13-$D13)/MAX(ABS($C13-$D13),1)=(IA13-IB13)/MAX(ABS(IA13-IB13),1),1,TRUE,0)</f>
        <v/>
      </c>
      <c r="ID13" s="18"/>
      <c r="IE13" s="19"/>
      <c r="IF13" s="33" t="str" cm="1">
        <f t="array" ref="IF13">_xlfn.IFS($D13="","",AND(ID13=$C13,IE13=$D13),3,($C13-$D13)/MAX(ABS($C13-$D13),1)=(ID13-IE13)/MAX(ABS(ID13-IE13),1),1,TRUE,0)</f>
        <v/>
      </c>
      <c r="IG13" s="18"/>
      <c r="IH13" s="19"/>
      <c r="II13" s="33" t="str" cm="1">
        <f t="array" ref="II13">_xlfn.IFS($D13="","",AND(IG13=$C13,IH13=$D13),3,($C13-$D13)/MAX(ABS($C13-$D13),1)=(IG13-IH13)/MAX(ABS(IG13-IH13),1),1,TRUE,0)</f>
        <v/>
      </c>
      <c r="IJ13" s="18"/>
      <c r="IK13" s="19"/>
      <c r="IL13" s="33" t="str" cm="1">
        <f t="array" ref="IL13">_xlfn.IFS($D13="","",AND(IJ13=$C13,IK13=$D13),3,($C13-$D13)/MAX(ABS($C13-$D13),1)=(IJ13-IK13)/MAX(ABS(IJ13-IK13),1),1,TRUE,0)</f>
        <v/>
      </c>
      <c r="IM13" s="18"/>
      <c r="IN13" s="19"/>
      <c r="IO13" s="33" t="str" cm="1">
        <f t="array" ref="IO13">_xlfn.IFS($D13="","",AND(IM13=$C13,IN13=$D13),3,($C13-$D13)/MAX(ABS($C13-$D13),1)=(IM13-IN13)/MAX(ABS(IM13-IN13),1),1,TRUE,0)</f>
        <v/>
      </c>
      <c r="IP13" s="18"/>
      <c r="IQ13" s="19"/>
      <c r="IR13" s="33" t="str" cm="1">
        <f t="array" ref="IR13">_xlfn.IFS($D13="","",AND(IP13=$C13,IQ13=$D13),3,($C13-$D13)/MAX(ABS($C13-$D13),1)=(IP13-IQ13)/MAX(ABS(IP13-IQ13),1),1,TRUE,0)</f>
        <v/>
      </c>
      <c r="IS13" s="18"/>
      <c r="IT13" s="19"/>
      <c r="IU13" s="33" t="str" cm="1">
        <f t="array" ref="IU13">_xlfn.IFS($D13="","",AND(IS13=$C13,IT13=$D13),3,($C13-$D13)/MAX(ABS($C13-$D13),1)=(IS13-IT13)/MAX(ABS(IS13-IT13),1),1,TRUE,0)</f>
        <v/>
      </c>
      <c r="IV13" s="18"/>
      <c r="IW13" s="19"/>
      <c r="IX13" s="33" t="str" cm="1">
        <f t="array" ref="IX13">_xlfn.IFS($D13="","",AND(IV13=$C13,IW13=$D13),3,($C13-$D13)/MAX(ABS($C13-$D13),1)=(IV13-IW13)/MAX(ABS(IV13-IW13),1),1,TRUE,0)</f>
        <v/>
      </c>
      <c r="IY13" s="18"/>
      <c r="IZ13" s="19"/>
      <c r="JA13" s="33" t="str" cm="1">
        <f t="array" ref="JA13">_xlfn.IFS($D13="","",AND(IY13=$C13,IZ13=$D13),3,($C13-$D13)/MAX(ABS($C13-$D13),1)=(IY13-IZ13)/MAX(ABS(IY13-IZ13),1),1,TRUE,0)</f>
        <v/>
      </c>
      <c r="JB13" s="18"/>
      <c r="JC13" s="19"/>
      <c r="JD13" s="33" t="str" cm="1">
        <f t="array" ref="JD13">_xlfn.IFS($D13="","",AND(JB13=$C13,JC13=$D13),3,($C13-$D13)/MAX(ABS($C13-$D13),1)=(JB13-JC13)/MAX(ABS(JB13-JC13),1),1,TRUE,0)</f>
        <v/>
      </c>
    </row>
    <row r="14" spans="1:264" ht="15" thickBot="1" x14ac:dyDescent="0.35">
      <c r="A14" s="22">
        <v>46188</v>
      </c>
      <c r="B14" s="28" t="s">
        <v>43</v>
      </c>
      <c r="C14" s="53" t="str" cm="1">
        <f t="array" ref="C14">_xlfn.LET(
_xlpm.x,_xlfn.XLOOKUP(1,(Scores_Fixtures[Date]=A14)*(Scores_Fixtures[Home.1]=B14),Scores_Fixtures[Score.1],""),
IF(_xlpm.x="","",_xlpm.x)
)</f>
        <v/>
      </c>
      <c r="D14" s="53" t="str" cm="1">
        <f t="array" ref="D14">_xlfn.LET(
_xlpm.x,_xlfn.XLOOKUP(1,(Scores_Fixtures[Date]=A14)*(Scores_Fixtures[Home.1]=B14),Scores_Fixtures[Score.2],""),
IF(_xlpm.x="","",_xlpm.x)
)</f>
        <v/>
      </c>
      <c r="E14" s="12" t="s">
        <v>52</v>
      </c>
      <c r="F14" s="15"/>
      <c r="G14" s="53"/>
      <c r="H14" s="53"/>
      <c r="I14" s="33" t="str" cm="1">
        <f t="array" ref="I14">_xlfn.IFS($D14="","",AND(G14=$C14,H14=$D14),3,($C14-$D14)/MAX(ABS($C14-$D14),1)=(G14-H14)/MAX(ABS(G14-H14),1),1,TRUE,0)</f>
        <v/>
      </c>
      <c r="J14" s="18"/>
      <c r="K14" s="19"/>
      <c r="L14" s="33" t="str" cm="1">
        <f t="array" ref="L14">_xlfn.IFS($D14="","",AND(J14=$C14,K14=$D14),3,($C14-$D14)/MAX(ABS($C14-$D14),1)=(J14-K14)/MAX(ABS(J14-K14),1),1,TRUE,0)</f>
        <v/>
      </c>
      <c r="M14" s="18"/>
      <c r="N14" s="19"/>
      <c r="O14" s="33" t="str" cm="1">
        <f t="array" ref="O14">_xlfn.IFS($D14="","",AND(M14=$C14,N14=$D14),3,($C14-$D14)/MAX(ABS($C14-$D14),1)=(M14-N14)/MAX(ABS(M14-N14),1),1,TRUE,0)</f>
        <v/>
      </c>
      <c r="P14" s="18"/>
      <c r="Q14" s="19"/>
      <c r="R14" s="33" t="str" cm="1">
        <f t="array" ref="R14">_xlfn.IFS($D14="","",AND(P14=$C14,Q14=$D14),3,($C14-$D14)/MAX(ABS($C14-$D14),1)=(P14-Q14)/MAX(ABS(P14-Q14),1),1,TRUE,0)</f>
        <v/>
      </c>
      <c r="S14" s="18"/>
      <c r="T14" s="19"/>
      <c r="U14" s="33" t="str" cm="1">
        <f t="array" ref="U14">_xlfn.IFS($D14="","",AND(S14=$C14,T14=$D14),3,($C14-$D14)/MAX(ABS($C14-$D14),1)=(S14-T14)/MAX(ABS(S14-T14),1),1,TRUE,0)</f>
        <v/>
      </c>
      <c r="V14" s="18"/>
      <c r="W14" s="19"/>
      <c r="X14" s="33" t="str" cm="1">
        <f t="array" ref="X14">_xlfn.IFS($D14="","",AND(V14=$C14,W14=$D14),3,($C14-$D14)/MAX(ABS($C14-$D14),1)=(V14-W14)/MAX(ABS(V14-W14),1),1,TRUE,0)</f>
        <v/>
      </c>
      <c r="Y14" s="18"/>
      <c r="Z14" s="19"/>
      <c r="AA14" s="33" t="str" cm="1">
        <f t="array" ref="AA14">_xlfn.IFS($D14="","",AND(Y14=$C14,Z14=$D14),3,($C14-$D14)/MAX(ABS($C14-$D14),1)=(Y14-Z14)/MAX(ABS(Y14-Z14),1),1,TRUE,0)</f>
        <v/>
      </c>
      <c r="AB14" s="18"/>
      <c r="AC14" s="19"/>
      <c r="AD14" s="33" t="str" cm="1">
        <f t="array" ref="AD14">_xlfn.IFS($D14="","",AND(AB14=$C14,AC14=$D14),3,($C14-$D14)/MAX(ABS($C14-$D14),1)=(AB14-AC14)/MAX(ABS(AB14-AC14),1),1,TRUE,0)</f>
        <v/>
      </c>
      <c r="AE14" s="18"/>
      <c r="AF14" s="19"/>
      <c r="AG14" s="33" t="str" cm="1">
        <f t="array" ref="AG14">_xlfn.IFS($D14="","",AND(AE14=$C14,AF14=$D14),3,($C14-$D14)/MAX(ABS($C14-$D14),1)=(AE14-AF14)/MAX(ABS(AE14-AF14),1),1,TRUE,0)</f>
        <v/>
      </c>
      <c r="AH14" s="18"/>
      <c r="AI14" s="19"/>
      <c r="AJ14" s="33" t="str" cm="1">
        <f t="array" ref="AJ14">_xlfn.IFS($D14="","",AND(AH14=$C14,AI14=$D14),3,($C14-$D14)/MAX(ABS($C14-$D14),1)=(AH14-AI14)/MAX(ABS(AH14-AI14),1),1,TRUE,0)</f>
        <v/>
      </c>
      <c r="AK14" s="18"/>
      <c r="AL14" s="19"/>
      <c r="AM14" s="33" t="str" cm="1">
        <f t="array" ref="AM14">_xlfn.IFS($D14="","",AND(AK14=$C14,AL14=$D14),3,($C14-$D14)/MAX(ABS($C14-$D14),1)=(AK14-AL14)/MAX(ABS(AK14-AL14),1),1,TRUE,0)</f>
        <v/>
      </c>
      <c r="AN14" s="18"/>
      <c r="AO14" s="19"/>
      <c r="AP14" s="33" t="str" cm="1">
        <f t="array" ref="AP14">_xlfn.IFS($D14="","",AND(AN14=$C14,AO14=$D14),3,($C14-$D14)/MAX(ABS($C14-$D14),1)=(AN14-AO14)/MAX(ABS(AN14-AO14),1),1,TRUE,0)</f>
        <v/>
      </c>
      <c r="AQ14" s="18"/>
      <c r="AR14" s="19"/>
      <c r="AS14" s="33" t="str" cm="1">
        <f t="array" ref="AS14">_xlfn.IFS($D14="","",AND(AQ14=$C14,AR14=$D14),3,($C14-$D14)/MAX(ABS($C14-$D14),1)=(AQ14-AR14)/MAX(ABS(AQ14-AR14),1),1,TRUE,0)</f>
        <v/>
      </c>
      <c r="AT14" s="18"/>
      <c r="AU14" s="19"/>
      <c r="AV14" s="33" t="str" cm="1">
        <f t="array" ref="AV14">_xlfn.IFS($D14="","",AND(AT14=$C14,AU14=$D14),3,($C14-$D14)/MAX(ABS($C14-$D14),1)=(AT14-AU14)/MAX(ABS(AT14-AU14),1),1,TRUE,0)</f>
        <v/>
      </c>
      <c r="AW14" s="18"/>
      <c r="AX14" s="19"/>
      <c r="AY14" s="33" t="str" cm="1">
        <f t="array" ref="AY14">_xlfn.IFS($D14="","",AND(AW14=$C14,AX14=$D14),3,($C14-$D14)/MAX(ABS($C14-$D14),1)=(AW14-AX14)/MAX(ABS(AW14-AX14),1),1,TRUE,0)</f>
        <v/>
      </c>
      <c r="AZ14" s="18"/>
      <c r="BA14" s="19"/>
      <c r="BB14" s="33" t="str" cm="1">
        <f t="array" ref="BB14">_xlfn.IFS($D14="","",AND(AZ14=$C14,BA14=$D14),3,($C14-$D14)/MAX(ABS($C14-$D14),1)=(AZ14-BA14)/MAX(ABS(AZ14-BA14),1),1,TRUE,0)</f>
        <v/>
      </c>
      <c r="BC14" s="18"/>
      <c r="BD14" s="19"/>
      <c r="BE14" s="33" t="str" cm="1">
        <f t="array" ref="BE14">_xlfn.IFS($D14="","",AND(BC14=$C14,BD14=$D14),3,($C14-$D14)/MAX(ABS($C14-$D14),1)=(BC14-BD14)/MAX(ABS(BC14-BD14),1),1,TRUE,0)</f>
        <v/>
      </c>
      <c r="BF14" s="18"/>
      <c r="BG14" s="19"/>
      <c r="BH14" s="33" t="str" cm="1">
        <f t="array" ref="BH14">_xlfn.IFS($D14="","",AND(BF14=$C14,BG14=$D14),3,($C14-$D14)/MAX(ABS($C14-$D14),1)=(BF14-BG14)/MAX(ABS(BF14-BG14),1),1,TRUE,0)</f>
        <v/>
      </c>
      <c r="BI14" s="18"/>
      <c r="BJ14" s="19"/>
      <c r="BK14" s="33" t="str" cm="1">
        <f t="array" ref="BK14">_xlfn.IFS($D14="","",AND(BI14=$C14,BJ14=$D14),3,($C14-$D14)/MAX(ABS($C14-$D14),1)=(BI14-BJ14)/MAX(ABS(BI14-BJ14),1),1,TRUE,0)</f>
        <v/>
      </c>
      <c r="BL14" s="18"/>
      <c r="BM14" s="19"/>
      <c r="BN14" s="33" t="str" cm="1">
        <f t="array" ref="BN14">_xlfn.IFS($D14="","",AND(BL14=$C14,BM14=$D14),3,($C14-$D14)/MAX(ABS($C14-$D14),1)=(BL14-BM14)/MAX(ABS(BL14-BM14),1),1,TRUE,0)</f>
        <v/>
      </c>
      <c r="BO14" s="18"/>
      <c r="BP14" s="19"/>
      <c r="BQ14" s="33" t="str" cm="1">
        <f t="array" ref="BQ14">_xlfn.IFS($D14="","",AND(BO14=$C14,BP14=$D14),3,($C14-$D14)/MAX(ABS($C14-$D14),1)=(BO14-BP14)/MAX(ABS(BO14-BP14),1),1,TRUE,0)</f>
        <v/>
      </c>
      <c r="BR14" s="18"/>
      <c r="BS14" s="19"/>
      <c r="BT14" s="33" t="str" cm="1">
        <f t="array" ref="BT14">_xlfn.IFS($D14="","",AND(BR14=$C14,BS14=$D14),3,($C14-$D14)/MAX(ABS($C14-$D14),1)=(BR14-BS14)/MAX(ABS(BR14-BS14),1),1,TRUE,0)</f>
        <v/>
      </c>
      <c r="BU14" s="18"/>
      <c r="BV14" s="19"/>
      <c r="BW14" s="33" t="str" cm="1">
        <f t="array" ref="BW14">_xlfn.IFS($D14="","",AND(BU14=$C14,BV14=$D14),3,($C14-$D14)/MAX(ABS($C14-$D14),1)=(BU14-BV14)/MAX(ABS(BU14-BV14),1),1,TRUE,0)</f>
        <v/>
      </c>
      <c r="BX14" s="18"/>
      <c r="BY14" s="19"/>
      <c r="BZ14" s="33" t="str" cm="1">
        <f t="array" ref="BZ14">_xlfn.IFS($D14="","",AND(BX14=$C14,BY14=$D14),3,($C14-$D14)/MAX(ABS($C14-$D14),1)=(BX14-BY14)/MAX(ABS(BX14-BY14),1),1,TRUE,0)</f>
        <v/>
      </c>
      <c r="CA14" s="18"/>
      <c r="CB14" s="19"/>
      <c r="CC14" s="33" t="str" cm="1">
        <f t="array" ref="CC14">_xlfn.IFS($D14="","",AND(CA14=$C14,CB14=$D14),3,($C14-$D14)/MAX(ABS($C14-$D14),1)=(CA14-CB14)/MAX(ABS(CA14-CB14),1),1,TRUE,0)</f>
        <v/>
      </c>
      <c r="CD14" s="18"/>
      <c r="CE14" s="19"/>
      <c r="CF14" s="33" t="str" cm="1">
        <f t="array" ref="CF14">_xlfn.IFS($D14="","",AND(CD14=$C14,CE14=$D14),3,($C14-$D14)/MAX(ABS($C14-$D14),1)=(CD14-CE14)/MAX(ABS(CD14-CE14),1),1,TRUE,0)</f>
        <v/>
      </c>
      <c r="CG14" s="18"/>
      <c r="CH14" s="19"/>
      <c r="CI14" s="33" t="str" cm="1">
        <f t="array" ref="CI14">_xlfn.IFS($D14="","",AND(CG14=$C14,CH14=$D14),3,($C14-$D14)/MAX(ABS($C14-$D14),1)=(CG14-CH14)/MAX(ABS(CG14-CH14),1),1,TRUE,0)</f>
        <v/>
      </c>
      <c r="CJ14" s="18"/>
      <c r="CK14" s="19"/>
      <c r="CL14" s="33" t="str" cm="1">
        <f t="array" ref="CL14">_xlfn.IFS($D14="","",AND(CJ14=$C14,CK14=$D14),3,($C14-$D14)/MAX(ABS($C14-$D14),1)=(CJ14-CK14)/MAX(ABS(CJ14-CK14),1),1,TRUE,0)</f>
        <v/>
      </c>
      <c r="CM14" s="18"/>
      <c r="CN14" s="19"/>
      <c r="CO14" s="33" t="str" cm="1">
        <f t="array" ref="CO14">_xlfn.IFS($D14="","",AND(CM14=$C14,CN14=$D14),3,($C14-$D14)/MAX(ABS($C14-$D14),1)=(CM14-CN14)/MAX(ABS(CM14-CN14),1),1,TRUE,0)</f>
        <v/>
      </c>
      <c r="CP14" s="18"/>
      <c r="CQ14" s="19"/>
      <c r="CR14" s="33" t="str" cm="1">
        <f t="array" ref="CR14">_xlfn.IFS($D14="","",AND(CP14=$C14,CQ14=$D14),3,($C14-$D14)/MAX(ABS($C14-$D14),1)=(CP14-CQ14)/MAX(ABS(CP14-CQ14),1),1,TRUE,0)</f>
        <v/>
      </c>
      <c r="CS14" s="18"/>
      <c r="CT14" s="19"/>
      <c r="CU14" s="33" t="str" cm="1">
        <f t="array" ref="CU14">_xlfn.IFS($D14="","",AND(CS14=$C14,CT14=$D14),3,($C14-$D14)/MAX(ABS($C14-$D14),1)=(CS14-CT14)/MAX(ABS(CS14-CT14),1),1,TRUE,0)</f>
        <v/>
      </c>
      <c r="CV14" s="18"/>
      <c r="CW14" s="19"/>
      <c r="CX14" s="33" t="str" cm="1">
        <f t="array" ref="CX14">_xlfn.IFS($D14="","",AND(CV14=$C14,CW14=$D14),3,($C14-$D14)/MAX(ABS($C14-$D14),1)=(CV14-CW14)/MAX(ABS(CV14-CW14),1),1,TRUE,0)</f>
        <v/>
      </c>
      <c r="CY14" s="18"/>
      <c r="CZ14" s="19"/>
      <c r="DA14" s="33" t="str" cm="1">
        <f t="array" ref="DA14">_xlfn.IFS($D14="","",AND(CY14=$C14,CZ14=$D14),3,($C14-$D14)/MAX(ABS($C14-$D14),1)=(CY14-CZ14)/MAX(ABS(CY14-CZ14),1),1,TRUE,0)</f>
        <v/>
      </c>
      <c r="DB14" s="37"/>
      <c r="DC14" s="38"/>
      <c r="DD14" s="33" t="str" cm="1">
        <f t="array" ref="DD14">_xlfn.IFS($D14="","",AND(DB14=$C14,DC14=$D14),3,($C14-$D14)/MAX(ABS($C14-$D14),1)=(DB14-DC14)/MAX(ABS(DB14-DC14),1),1,TRUE,0)</f>
        <v/>
      </c>
      <c r="DE14" s="18"/>
      <c r="DF14" s="19"/>
      <c r="DG14" s="33" t="str" cm="1">
        <f t="array" ref="DG14">_xlfn.IFS($D14="","",AND(DE14=$C14,DF14=$D14),3,($C14-$D14)/MAX(ABS($C14-$D14),1)=(DE14-DF14)/MAX(ABS(DE14-DF14),1),1,TRUE,0)</f>
        <v/>
      </c>
      <c r="DH14" s="18"/>
      <c r="DI14" s="19"/>
      <c r="DJ14" s="33" t="str" cm="1">
        <f t="array" ref="DJ14">_xlfn.IFS($D14="","",AND(DH14=$C14,DI14=$D14),3,($C14-$D14)/MAX(ABS($C14-$D14),1)=(DH14-DI14)/MAX(ABS(DH14-DI14),1),1,TRUE,0)</f>
        <v/>
      </c>
      <c r="DK14" s="18"/>
      <c r="DL14" s="19"/>
      <c r="DM14" s="33" t="str" cm="1">
        <f t="array" ref="DM14">_xlfn.IFS($D14="","",AND(DK14=$C14,DL14=$D14),3,($C14-$D14)/MAX(ABS($C14-$D14),1)=(DK14-DL14)/MAX(ABS(DK14-DL14),1),1,TRUE,0)</f>
        <v/>
      </c>
      <c r="DN14" s="18"/>
      <c r="DO14" s="19"/>
      <c r="DP14" s="33" t="str" cm="1">
        <f t="array" ref="DP14">_xlfn.IFS($D14="","",AND(DN14=$C14,DO14=$D14),3,($C14-$D14)/MAX(ABS($C14-$D14),1)=(DN14-DO14)/MAX(ABS(DN14-DO14),1),1,TRUE,0)</f>
        <v/>
      </c>
      <c r="DQ14" s="18"/>
      <c r="DR14" s="19"/>
      <c r="DS14" s="33" t="str" cm="1">
        <f t="array" ref="DS14">_xlfn.IFS($D14="","",AND(DQ14=$C14,DR14=$D14),3,($C14-$D14)/MAX(ABS($C14-$D14),1)=(DQ14-DR14)/MAX(ABS(DQ14-DR14),1),1,TRUE,0)</f>
        <v/>
      </c>
      <c r="DT14" s="18"/>
      <c r="DU14" s="19"/>
      <c r="DV14" s="33" t="str" cm="1">
        <f t="array" ref="DV14">_xlfn.IFS($D14="","",AND(DT14=$C14,DU14=$D14),3,($C14-$D14)/MAX(ABS($C14-$D14),1)=(DT14-DU14)/MAX(ABS(DT14-DU14),1),1,TRUE,0)</f>
        <v/>
      </c>
      <c r="DW14" s="18"/>
      <c r="DX14" s="19"/>
      <c r="DY14" s="33" t="str" cm="1">
        <f t="array" ref="DY14">_xlfn.IFS($D14="","",AND(DW14=$C14,DX14=$D14),3,($C14-$D14)/MAX(ABS($C14-$D14),1)=(DW14-DX14)/MAX(ABS(DW14-DX14),1),1,TRUE,0)</f>
        <v/>
      </c>
      <c r="DZ14" s="18"/>
      <c r="EA14" s="19"/>
      <c r="EB14" s="33" t="str" cm="1">
        <f t="array" ref="EB14">_xlfn.IFS($D14="","",AND(DZ14=$C14,EA14=$D14),3,($C14-$D14)/MAX(ABS($C14-$D14),1)=(DZ14-EA14)/MAX(ABS(DZ14-EA14),1),1,TRUE,0)</f>
        <v/>
      </c>
      <c r="EC14" s="18"/>
      <c r="ED14" s="19"/>
      <c r="EE14" s="33" t="str" cm="1">
        <f t="array" ref="EE14">_xlfn.IFS($D14="","",AND(EC14=$C14,ED14=$D14),3,($C14-$D14)/MAX(ABS($C14-$D14),1)=(EC14-ED14)/MAX(ABS(EC14-ED14),1),1,TRUE,0)</f>
        <v/>
      </c>
      <c r="EF14" s="18"/>
      <c r="EG14" s="19"/>
      <c r="EH14" s="33" t="str" cm="1">
        <f t="array" ref="EH14">_xlfn.IFS($D14="","",AND(EF14=$C14,EG14=$D14),3,($C14-$D14)/MAX(ABS($C14-$D14),1)=(EF14-EG14)/MAX(ABS(EF14-EG14),1),1,TRUE,0)</f>
        <v/>
      </c>
      <c r="EI14" s="43"/>
      <c r="EJ14" s="44"/>
      <c r="EK14" s="33" t="str" cm="1">
        <f t="array" ref="EK14">_xlfn.IFS($D14="","",AND(EI14=$C14,EJ14=$D14),3,($C14-$D14)/MAX(ABS($C14-$D14),1)=(EI14-EJ14)/MAX(ABS(EI14-EJ14),1),1,TRUE,0)</f>
        <v/>
      </c>
      <c r="EL14" s="18"/>
      <c r="EM14" s="19"/>
      <c r="EN14" s="33" t="str" cm="1">
        <f t="array" ref="EN14">_xlfn.IFS($D14="","",AND(EL14=$C14,EM14=$D14),3,($C14-$D14)/MAX(ABS($C14-$D14),1)=(EL14-EM14)/MAX(ABS(EL14-EM14),1),1,TRUE,0)</f>
        <v/>
      </c>
      <c r="EO14" s="18"/>
      <c r="EP14" s="19"/>
      <c r="EQ14" s="33" t="str" cm="1">
        <f t="array" ref="EQ14">_xlfn.IFS($D14="","",AND(EO14=$C14,EP14=$D14),3,($C14-$D14)/MAX(ABS($C14-$D14),1)=(EO14-EP14)/MAX(ABS(EO14-EP14),1),1,TRUE,0)</f>
        <v/>
      </c>
      <c r="ER14" s="18"/>
      <c r="ES14" s="19"/>
      <c r="ET14" s="33" t="str" cm="1">
        <f t="array" ref="ET14">_xlfn.IFS($D14="","",AND(ER14=$C14,ES14=$D14),3,($C14-$D14)/MAX(ABS($C14-$D14),1)=(ER14-ES14)/MAX(ABS(ER14-ES14),1),1,TRUE,0)</f>
        <v/>
      </c>
      <c r="EU14" s="18"/>
      <c r="EV14" s="19"/>
      <c r="EW14" s="33" t="str" cm="1">
        <f t="array" ref="EW14">_xlfn.IFS($D14="","",AND(EU14=$C14,EV14=$D14),3,($C14-$D14)/MAX(ABS($C14-$D14),1)=(EU14-EV14)/MAX(ABS(EU14-EV14),1),1,TRUE,0)</f>
        <v/>
      </c>
      <c r="EX14" s="18"/>
      <c r="EY14" s="19"/>
      <c r="EZ14" s="33" t="str" cm="1">
        <f t="array" ref="EZ14">_xlfn.IFS($D14="","",AND(EX14=$C14,EY14=$D14),3,($C14-$D14)/MAX(ABS($C14-$D14),1)=(EX14-EY14)/MAX(ABS(EX14-EY14),1),1,TRUE,0)</f>
        <v/>
      </c>
      <c r="FA14" s="18"/>
      <c r="FB14" s="19"/>
      <c r="FC14" s="33" t="str" cm="1">
        <f t="array" ref="FC14">_xlfn.IFS($D14="","",AND(FA14=$C14,FB14=$D14),3,($C14-$D14)/MAX(ABS($C14-$D14),1)=(FA14-FB14)/MAX(ABS(FA14-FB14),1),1,TRUE,0)</f>
        <v/>
      </c>
      <c r="FD14" s="18"/>
      <c r="FE14" s="19"/>
      <c r="FF14" s="33" t="str" cm="1">
        <f t="array" ref="FF14">_xlfn.IFS($D14="","",AND(FD14=$C14,FE14=$D14),3,($C14-$D14)/MAX(ABS($C14-$D14),1)=(FD14-FE14)/MAX(ABS(FD14-FE14),1),1,TRUE,0)</f>
        <v/>
      </c>
      <c r="FG14" s="18"/>
      <c r="FH14" s="19"/>
      <c r="FI14" s="33" t="str" cm="1">
        <f t="array" ref="FI14">_xlfn.IFS($D14="","",AND(FG14=$C14,FH14=$D14),3,($C14-$D14)/MAX(ABS($C14-$D14),1)=(FG14-FH14)/MAX(ABS(FG14-FH14),1),1,TRUE,0)</f>
        <v/>
      </c>
      <c r="FJ14" s="18"/>
      <c r="FK14" s="19"/>
      <c r="FL14" s="33" t="str" cm="1">
        <f t="array" ref="FL14">_xlfn.IFS($D14="","",AND(FJ14=$C14,FK14=$D14),3,($C14-$D14)/MAX(ABS($C14-$D14),1)=(FJ14-FK14)/MAX(ABS(FJ14-FK14),1),1,TRUE,0)</f>
        <v/>
      </c>
      <c r="FM14" s="18"/>
      <c r="FN14" s="19"/>
      <c r="FO14" s="33" t="str" cm="1">
        <f t="array" ref="FO14">_xlfn.IFS($D14="","",AND(FM14=$C14,FN14=$D14),3,($C14-$D14)/MAX(ABS($C14-$D14),1)=(FM14-FN14)/MAX(ABS(FM14-FN14),1),1,TRUE,0)</f>
        <v/>
      </c>
      <c r="FP14" s="18"/>
      <c r="FQ14" s="19"/>
      <c r="FR14" s="33" t="str" cm="1">
        <f t="array" ref="FR14">_xlfn.IFS($D14="","",AND(FP14=$C14,FQ14=$D14),3,($C14-$D14)/MAX(ABS($C14-$D14),1)=(FP14-FQ14)/MAX(ABS(FP14-FQ14),1),1,TRUE,0)</f>
        <v/>
      </c>
      <c r="FS14" s="18"/>
      <c r="FT14" s="19"/>
      <c r="FU14" s="33" t="str" cm="1">
        <f t="array" ref="FU14">_xlfn.IFS($D14="","",AND(FS14=$C14,FT14=$D14),3,($C14-$D14)/MAX(ABS($C14-$D14),1)=(FS14-FT14)/MAX(ABS(FS14-FT14),1),1,TRUE,0)</f>
        <v/>
      </c>
      <c r="FV14" s="18"/>
      <c r="FW14" s="19"/>
      <c r="FX14" s="33" t="str" cm="1">
        <f t="array" ref="FX14">_xlfn.IFS($D14="","",AND(FV14=$C14,FW14=$D14),3,($C14-$D14)/MAX(ABS($C14-$D14),1)=(FV14-FW14)/MAX(ABS(FV14-FW14),1),1,TRUE,0)</f>
        <v/>
      </c>
      <c r="FY14" s="18"/>
      <c r="FZ14" s="19"/>
      <c r="GA14" s="33" t="str" cm="1">
        <f t="array" ref="GA14">_xlfn.IFS($D14="","",AND(FY14=$C14,FZ14=$D14),3,($C14-$D14)/MAX(ABS($C14-$D14),1)=(FY14-FZ14)/MAX(ABS(FY14-FZ14),1),1,TRUE,0)</f>
        <v/>
      </c>
      <c r="GB14" s="18"/>
      <c r="GC14" s="19"/>
      <c r="GD14" s="33" t="str" cm="1">
        <f t="array" ref="GD14">_xlfn.IFS($D14="","",AND(GB14=$C14,GC14=$D14),3,($C14-$D14)/MAX(ABS($C14-$D14),1)=(GB14-GC14)/MAX(ABS(GB14-GC14),1),1,TRUE,0)</f>
        <v/>
      </c>
      <c r="GE14" s="47"/>
      <c r="GF14" s="45"/>
      <c r="GG14" s="33" t="str" cm="1">
        <f t="array" ref="GG14">_xlfn.IFS($D14="","",AND(GE14=$C14,GF14=$D14),3,($C14-$D14)/MAX(ABS($C14-$D14),1)=(GE14-GF14)/MAX(ABS(GE14-GF14),1),1,TRUE,0)</f>
        <v/>
      </c>
      <c r="GH14" s="18"/>
      <c r="GI14" s="19"/>
      <c r="GJ14" s="33" t="str" cm="1">
        <f t="array" ref="GJ14">_xlfn.IFS($D14="","",AND(GH14=$C14,GI14=$D14),3,($C14-$D14)/MAX(ABS($C14-$D14),1)=(GH14-GI14)/MAX(ABS(GH14-GI14),1),1,TRUE,0)</f>
        <v/>
      </c>
      <c r="GK14" s="18"/>
      <c r="GL14" s="19"/>
      <c r="GM14" s="33" t="str" cm="1">
        <f t="array" ref="GM14">_xlfn.IFS($D14="","",AND(GK14=$C14,GL14=$D14),3,($C14-$D14)/MAX(ABS($C14-$D14),1)=(GK14-GL14)/MAX(ABS(GK14-GL14),1),1,TRUE,0)</f>
        <v/>
      </c>
      <c r="GN14" s="18"/>
      <c r="GO14" s="19"/>
      <c r="GP14" s="33" t="str" cm="1">
        <f t="array" ref="GP14">_xlfn.IFS($D14="","",AND(GN14=$C14,GO14=$D14),3,($C14-$D14)/MAX(ABS($C14-$D14),1)=(GN14-GO14)/MAX(ABS(GN14-GO14),1),1,TRUE,0)</f>
        <v/>
      </c>
      <c r="GQ14" s="18"/>
      <c r="GR14" s="19"/>
      <c r="GS14" s="33" t="str" cm="1">
        <f t="array" ref="GS14">_xlfn.IFS($D14="","",AND(GQ14=$C14,GR14=$D14),3,($C14-$D14)/MAX(ABS($C14-$D14),1)=(GQ14-GR14)/MAX(ABS(GQ14-GR14),1),1,TRUE,0)</f>
        <v/>
      </c>
      <c r="GT14" s="18"/>
      <c r="GU14" s="19"/>
      <c r="GV14" s="33" t="str" cm="1">
        <f t="array" ref="GV14">_xlfn.IFS($D14="","",AND(GT14=$C14,GU14=$D14),3,($C14-$D14)/MAX(ABS($C14-$D14),1)=(GT14-GU14)/MAX(ABS(GT14-GU14),1),1,TRUE,0)</f>
        <v/>
      </c>
      <c r="GW14" s="18"/>
      <c r="GX14" s="19"/>
      <c r="GY14" s="33" t="str" cm="1">
        <f t="array" ref="GY14">_xlfn.IFS($D14="","",AND(GW14=$C14,GX14=$D14),3,($C14-$D14)/MAX(ABS($C14-$D14),1)=(GW14-GX14)/MAX(ABS(GW14-GX14),1),1,TRUE,0)</f>
        <v/>
      </c>
      <c r="GZ14" s="18"/>
      <c r="HA14" s="19"/>
      <c r="HB14" s="33" t="str" cm="1">
        <f t="array" ref="HB14">_xlfn.IFS($D14="","",AND(GZ14=$C14,HA14=$D14),3,($C14-$D14)/MAX(ABS($C14-$D14),1)=(GZ14-HA14)/MAX(ABS(GZ14-HA14),1),1,TRUE,0)</f>
        <v/>
      </c>
      <c r="HC14" s="18"/>
      <c r="HD14" s="19"/>
      <c r="HE14" s="33" t="str" cm="1">
        <f t="array" ref="HE14">_xlfn.IFS($D14="","",AND(HC14=$C14,HD14=$D14),3,($C14-$D14)/MAX(ABS($C14-$D14),1)=(HC14-HD14)/MAX(ABS(HC14-HD14),1),1,TRUE,0)</f>
        <v/>
      </c>
      <c r="HF14" s="18"/>
      <c r="HG14" s="19"/>
      <c r="HH14" s="33" t="str" cm="1">
        <f t="array" ref="HH14">_xlfn.IFS($D14="","",AND(HF14=$C14,HG14=$D14),3,($C14-$D14)/MAX(ABS($C14-$D14),1)=(HF14-HG14)/MAX(ABS(HF14-HG14),1),1,TRUE,0)</f>
        <v/>
      </c>
      <c r="HI14" s="18"/>
      <c r="HJ14" s="19"/>
      <c r="HK14" s="33" t="str" cm="1">
        <f t="array" ref="HK14">_xlfn.IFS($D14="","",AND(HI14=$C14,HJ14=$D14),3,($C14-$D14)/MAX(ABS($C14-$D14),1)=(HI14-HJ14)/MAX(ABS(HI14-HJ14),1),1,TRUE,0)</f>
        <v/>
      </c>
      <c r="HL14" s="18"/>
      <c r="HM14" s="19"/>
      <c r="HN14" s="33" t="str" cm="1">
        <f t="array" ref="HN14">_xlfn.IFS($D14="","",AND(HL14=$C14,HM14=$D14),3,($C14-$D14)/MAX(ABS($C14-$D14),1)=(HL14-HM14)/MAX(ABS(HL14-HM14),1),1,TRUE,0)</f>
        <v/>
      </c>
      <c r="HO14" s="18"/>
      <c r="HP14" s="19"/>
      <c r="HQ14" s="33" t="str" cm="1">
        <f t="array" ref="HQ14">_xlfn.IFS($D14="","",AND(HO14=$C14,HP14=$D14),3,($C14-$D14)/MAX(ABS($C14-$D14),1)=(HO14-HP14)/MAX(ABS(HO14-HP14),1),1,TRUE,0)</f>
        <v/>
      </c>
      <c r="HR14" s="18"/>
      <c r="HS14" s="19"/>
      <c r="HT14" s="33" t="str" cm="1">
        <f t="array" ref="HT14">_xlfn.IFS($D14="","",AND(HR14=$C14,HS14=$D14),3,($C14-$D14)/MAX(ABS($C14-$D14),1)=(HR14-HS14)/MAX(ABS(HR14-HS14),1),1,TRUE,0)</f>
        <v/>
      </c>
      <c r="HU14" s="18"/>
      <c r="HV14" s="19"/>
      <c r="HW14" s="33" t="str" cm="1">
        <f t="array" ref="HW14">_xlfn.IFS($D14="","",AND(HU14=$C14,HV14=$D14),3,($C14-$D14)/MAX(ABS($C14-$D14),1)=(HU14-HV14)/MAX(ABS(HU14-HV14),1),1,TRUE,0)</f>
        <v/>
      </c>
      <c r="HX14" s="18"/>
      <c r="HY14" s="19"/>
      <c r="HZ14" s="33" t="str" cm="1">
        <f t="array" ref="HZ14">_xlfn.IFS($D14="","",AND(HX14=$C14,HY14=$D14),3,($C14-$D14)/MAX(ABS($C14-$D14),1)=(HX14-HY14)/MAX(ABS(HX14-HY14),1),1,TRUE,0)</f>
        <v/>
      </c>
      <c r="IA14" s="18"/>
      <c r="IB14" s="19"/>
      <c r="IC14" s="33" t="str" cm="1">
        <f t="array" ref="IC14">_xlfn.IFS($D14="","",AND(IA14=$C14,IB14=$D14),3,($C14-$D14)/MAX(ABS($C14-$D14),1)=(IA14-IB14)/MAX(ABS(IA14-IB14),1),1,TRUE,0)</f>
        <v/>
      </c>
      <c r="ID14" s="18"/>
      <c r="IE14" s="19"/>
      <c r="IF14" s="33" t="str" cm="1">
        <f t="array" ref="IF14">_xlfn.IFS($D14="","",AND(ID14=$C14,IE14=$D14),3,($C14-$D14)/MAX(ABS($C14-$D14),1)=(ID14-IE14)/MAX(ABS(ID14-IE14),1),1,TRUE,0)</f>
        <v/>
      </c>
      <c r="IG14" s="18"/>
      <c r="IH14" s="19"/>
      <c r="II14" s="33" t="str" cm="1">
        <f t="array" ref="II14">_xlfn.IFS($D14="","",AND(IG14=$C14,IH14=$D14),3,($C14-$D14)/MAX(ABS($C14-$D14),1)=(IG14-IH14)/MAX(ABS(IG14-IH14),1),1,TRUE,0)</f>
        <v/>
      </c>
      <c r="IJ14" s="18"/>
      <c r="IK14" s="19"/>
      <c r="IL14" s="33" t="str" cm="1">
        <f t="array" ref="IL14">_xlfn.IFS($D14="","",AND(IJ14=$C14,IK14=$D14),3,($C14-$D14)/MAX(ABS($C14-$D14),1)=(IJ14-IK14)/MAX(ABS(IJ14-IK14),1),1,TRUE,0)</f>
        <v/>
      </c>
      <c r="IM14" s="18"/>
      <c r="IN14" s="19"/>
      <c r="IO14" s="33" t="str" cm="1">
        <f t="array" ref="IO14">_xlfn.IFS($D14="","",AND(IM14=$C14,IN14=$D14),3,($C14-$D14)/MAX(ABS($C14-$D14),1)=(IM14-IN14)/MAX(ABS(IM14-IN14),1),1,TRUE,0)</f>
        <v/>
      </c>
      <c r="IP14" s="18"/>
      <c r="IQ14" s="19"/>
      <c r="IR14" s="33" t="str" cm="1">
        <f t="array" ref="IR14">_xlfn.IFS($D14="","",AND(IP14=$C14,IQ14=$D14),3,($C14-$D14)/MAX(ABS($C14-$D14),1)=(IP14-IQ14)/MAX(ABS(IP14-IQ14),1),1,TRUE,0)</f>
        <v/>
      </c>
      <c r="IS14" s="18"/>
      <c r="IT14" s="19"/>
      <c r="IU14" s="33" t="str" cm="1">
        <f t="array" ref="IU14">_xlfn.IFS($D14="","",AND(IS14=$C14,IT14=$D14),3,($C14-$D14)/MAX(ABS($C14-$D14),1)=(IS14-IT14)/MAX(ABS(IS14-IT14),1),1,TRUE,0)</f>
        <v/>
      </c>
      <c r="IV14" s="18"/>
      <c r="IW14" s="19"/>
      <c r="IX14" s="33" t="str" cm="1">
        <f t="array" ref="IX14">_xlfn.IFS($D14="","",AND(IV14=$C14,IW14=$D14),3,($C14-$D14)/MAX(ABS($C14-$D14),1)=(IV14-IW14)/MAX(ABS(IV14-IW14),1),1,TRUE,0)</f>
        <v/>
      </c>
      <c r="IY14" s="18"/>
      <c r="IZ14" s="19"/>
      <c r="JA14" s="33" t="str" cm="1">
        <f t="array" ref="JA14">_xlfn.IFS($D14="","",AND(IY14=$C14,IZ14=$D14),3,($C14-$D14)/MAX(ABS($C14-$D14),1)=(IY14-IZ14)/MAX(ABS(IY14-IZ14),1),1,TRUE,0)</f>
        <v/>
      </c>
      <c r="JB14" s="18"/>
      <c r="JC14" s="19"/>
      <c r="JD14" s="33" t="str" cm="1">
        <f t="array" ref="JD14">_xlfn.IFS($D14="","",AND(JB14=$C14,JC14=$D14),3,($C14-$D14)/MAX(ABS($C14-$D14),1)=(JB14-JC14)/MAX(ABS(JB14-JC14),1),1,TRUE,0)</f>
        <v/>
      </c>
    </row>
    <row r="15" spans="1:264" ht="15" thickBot="1" x14ac:dyDescent="0.35">
      <c r="A15" s="22">
        <v>46188</v>
      </c>
      <c r="B15" s="28" t="s">
        <v>14</v>
      </c>
      <c r="C15" s="53" t="str" cm="1">
        <f t="array" ref="C15">_xlfn.LET(
_xlpm.x,_xlfn.XLOOKUP(1,(Scores_Fixtures[Date]=A15)*(Scores_Fixtures[Home.1]=B15),Scores_Fixtures[Score.1],""),
IF(_xlpm.x="","",_xlpm.x)
)</f>
        <v/>
      </c>
      <c r="D15" s="53" t="str" cm="1">
        <f t="array" ref="D15">_xlfn.LET(
_xlpm.x,_xlfn.XLOOKUP(1,(Scores_Fixtures[Date]=A15)*(Scores_Fixtures[Home.1]=B15),Scores_Fixtures[Score.2],""),
IF(_xlpm.x="","",_xlpm.x)
)</f>
        <v/>
      </c>
      <c r="E15" s="12" t="s">
        <v>66</v>
      </c>
      <c r="F15" s="15"/>
      <c r="G15" s="53"/>
      <c r="H15" s="53"/>
      <c r="I15" s="33" t="str" cm="1">
        <f t="array" ref="I15">_xlfn.IFS($D15="","",AND(G15=$C15,H15=$D15),3,($C15-$D15)/MAX(ABS($C15-$D15),1)=(G15-H15)/MAX(ABS(G15-H15),1),1,TRUE,0)</f>
        <v/>
      </c>
      <c r="J15" s="18"/>
      <c r="K15" s="19"/>
      <c r="L15" s="33" t="str" cm="1">
        <f t="array" ref="L15">_xlfn.IFS($D15="","",AND(J15=$C15,K15=$D15),3,($C15-$D15)/MAX(ABS($C15-$D15),1)=(J15-K15)/MAX(ABS(J15-K15),1),1,TRUE,0)</f>
        <v/>
      </c>
      <c r="M15" s="18"/>
      <c r="N15" s="19"/>
      <c r="O15" s="33" t="str" cm="1">
        <f t="array" ref="O15">_xlfn.IFS($D15="","",AND(M15=$C15,N15=$D15),3,($C15-$D15)/MAX(ABS($C15-$D15),1)=(M15-N15)/MAX(ABS(M15-N15),1),1,TRUE,0)</f>
        <v/>
      </c>
      <c r="P15" s="18"/>
      <c r="Q15" s="19"/>
      <c r="R15" s="33" t="str" cm="1">
        <f t="array" ref="R15">_xlfn.IFS($D15="","",AND(P15=$C15,Q15=$D15),3,($C15-$D15)/MAX(ABS($C15-$D15),1)=(P15-Q15)/MAX(ABS(P15-Q15),1),1,TRUE,0)</f>
        <v/>
      </c>
      <c r="S15" s="18"/>
      <c r="T15" s="19"/>
      <c r="U15" s="33" t="str" cm="1">
        <f t="array" ref="U15">_xlfn.IFS($D15="","",AND(S15=$C15,T15=$D15),3,($C15-$D15)/MAX(ABS($C15-$D15),1)=(S15-T15)/MAX(ABS(S15-T15),1),1,TRUE,0)</f>
        <v/>
      </c>
      <c r="V15" s="18"/>
      <c r="W15" s="19"/>
      <c r="X15" s="33" t="str" cm="1">
        <f t="array" ref="X15">_xlfn.IFS($D15="","",AND(V15=$C15,W15=$D15),3,($C15-$D15)/MAX(ABS($C15-$D15),1)=(V15-W15)/MAX(ABS(V15-W15),1),1,TRUE,0)</f>
        <v/>
      </c>
      <c r="Y15" s="18"/>
      <c r="Z15" s="19"/>
      <c r="AA15" s="33" t="str" cm="1">
        <f t="array" ref="AA15">_xlfn.IFS($D15="","",AND(Y15=$C15,Z15=$D15),3,($C15-$D15)/MAX(ABS($C15-$D15),1)=(Y15-Z15)/MAX(ABS(Y15-Z15),1),1,TRUE,0)</f>
        <v/>
      </c>
      <c r="AB15" s="18"/>
      <c r="AC15" s="19"/>
      <c r="AD15" s="33" t="str" cm="1">
        <f t="array" ref="AD15">_xlfn.IFS($D15="","",AND(AB15=$C15,AC15=$D15),3,($C15-$D15)/MAX(ABS($C15-$D15),1)=(AB15-AC15)/MAX(ABS(AB15-AC15),1),1,TRUE,0)</f>
        <v/>
      </c>
      <c r="AE15" s="18"/>
      <c r="AF15" s="19"/>
      <c r="AG15" s="33" t="str" cm="1">
        <f t="array" ref="AG15">_xlfn.IFS($D15="","",AND(AE15=$C15,AF15=$D15),3,($C15-$D15)/MAX(ABS($C15-$D15),1)=(AE15-AF15)/MAX(ABS(AE15-AF15),1),1,TRUE,0)</f>
        <v/>
      </c>
      <c r="AH15" s="18"/>
      <c r="AI15" s="19"/>
      <c r="AJ15" s="33" t="str" cm="1">
        <f t="array" ref="AJ15">_xlfn.IFS($D15="","",AND(AH15=$C15,AI15=$D15),3,($C15-$D15)/MAX(ABS($C15-$D15),1)=(AH15-AI15)/MAX(ABS(AH15-AI15),1),1,TRUE,0)</f>
        <v/>
      </c>
      <c r="AK15" s="18"/>
      <c r="AL15" s="19"/>
      <c r="AM15" s="33" t="str" cm="1">
        <f t="array" ref="AM15">_xlfn.IFS($D15="","",AND(AK15=$C15,AL15=$D15),3,($C15-$D15)/MAX(ABS($C15-$D15),1)=(AK15-AL15)/MAX(ABS(AK15-AL15),1),1,TRUE,0)</f>
        <v/>
      </c>
      <c r="AN15" s="18"/>
      <c r="AO15" s="19"/>
      <c r="AP15" s="33" t="str" cm="1">
        <f t="array" ref="AP15">_xlfn.IFS($D15="","",AND(AN15=$C15,AO15=$D15),3,($C15-$D15)/MAX(ABS($C15-$D15),1)=(AN15-AO15)/MAX(ABS(AN15-AO15),1),1,TRUE,0)</f>
        <v/>
      </c>
      <c r="AQ15" s="18"/>
      <c r="AR15" s="19"/>
      <c r="AS15" s="33" t="str" cm="1">
        <f t="array" ref="AS15">_xlfn.IFS($D15="","",AND(AQ15=$C15,AR15=$D15),3,($C15-$D15)/MAX(ABS($C15-$D15),1)=(AQ15-AR15)/MAX(ABS(AQ15-AR15),1),1,TRUE,0)</f>
        <v/>
      </c>
      <c r="AT15" s="18"/>
      <c r="AU15" s="19"/>
      <c r="AV15" s="33" t="str" cm="1">
        <f t="array" ref="AV15">_xlfn.IFS($D15="","",AND(AT15=$C15,AU15=$D15),3,($C15-$D15)/MAX(ABS($C15-$D15),1)=(AT15-AU15)/MAX(ABS(AT15-AU15),1),1,TRUE,0)</f>
        <v/>
      </c>
      <c r="AW15" s="18"/>
      <c r="AX15" s="19"/>
      <c r="AY15" s="33" t="str" cm="1">
        <f t="array" ref="AY15">_xlfn.IFS($D15="","",AND(AW15=$C15,AX15=$D15),3,($C15-$D15)/MAX(ABS($C15-$D15),1)=(AW15-AX15)/MAX(ABS(AW15-AX15),1),1,TRUE,0)</f>
        <v/>
      </c>
      <c r="AZ15" s="18"/>
      <c r="BA15" s="19"/>
      <c r="BB15" s="33" t="str" cm="1">
        <f t="array" ref="BB15">_xlfn.IFS($D15="","",AND(AZ15=$C15,BA15=$D15),3,($C15-$D15)/MAX(ABS($C15-$D15),1)=(AZ15-BA15)/MAX(ABS(AZ15-BA15),1),1,TRUE,0)</f>
        <v/>
      </c>
      <c r="BC15" s="18"/>
      <c r="BD15" s="19"/>
      <c r="BE15" s="33" t="str" cm="1">
        <f t="array" ref="BE15">_xlfn.IFS($D15="","",AND(BC15=$C15,BD15=$D15),3,($C15-$D15)/MAX(ABS($C15-$D15),1)=(BC15-BD15)/MAX(ABS(BC15-BD15),1),1,TRUE,0)</f>
        <v/>
      </c>
      <c r="BF15" s="18"/>
      <c r="BG15" s="19"/>
      <c r="BH15" s="33" t="str" cm="1">
        <f t="array" ref="BH15">_xlfn.IFS($D15="","",AND(BF15=$C15,BG15=$D15),3,($C15-$D15)/MAX(ABS($C15-$D15),1)=(BF15-BG15)/MAX(ABS(BF15-BG15),1),1,TRUE,0)</f>
        <v/>
      </c>
      <c r="BI15" s="18"/>
      <c r="BJ15" s="19"/>
      <c r="BK15" s="33" t="str" cm="1">
        <f t="array" ref="BK15">_xlfn.IFS($D15="","",AND(BI15=$C15,BJ15=$D15),3,($C15-$D15)/MAX(ABS($C15-$D15),1)=(BI15-BJ15)/MAX(ABS(BI15-BJ15),1),1,TRUE,0)</f>
        <v/>
      </c>
      <c r="BL15" s="18"/>
      <c r="BM15" s="19"/>
      <c r="BN15" s="33" t="str" cm="1">
        <f t="array" ref="BN15">_xlfn.IFS($D15="","",AND(BL15=$C15,BM15=$D15),3,($C15-$D15)/MAX(ABS($C15-$D15),1)=(BL15-BM15)/MAX(ABS(BL15-BM15),1),1,TRUE,0)</f>
        <v/>
      </c>
      <c r="BO15" s="18"/>
      <c r="BP15" s="19"/>
      <c r="BQ15" s="33" t="str" cm="1">
        <f t="array" ref="BQ15">_xlfn.IFS($D15="","",AND(BO15=$C15,BP15=$D15),3,($C15-$D15)/MAX(ABS($C15-$D15),1)=(BO15-BP15)/MAX(ABS(BO15-BP15),1),1,TRUE,0)</f>
        <v/>
      </c>
      <c r="BR15" s="18"/>
      <c r="BS15" s="19"/>
      <c r="BT15" s="33" t="str" cm="1">
        <f t="array" ref="BT15">_xlfn.IFS($D15="","",AND(BR15=$C15,BS15=$D15),3,($C15-$D15)/MAX(ABS($C15-$D15),1)=(BR15-BS15)/MAX(ABS(BR15-BS15),1),1,TRUE,0)</f>
        <v/>
      </c>
      <c r="BU15" s="18"/>
      <c r="BV15" s="19"/>
      <c r="BW15" s="33" t="str" cm="1">
        <f t="array" ref="BW15">_xlfn.IFS($D15="","",AND(BU15=$C15,BV15=$D15),3,($C15-$D15)/MAX(ABS($C15-$D15),1)=(BU15-BV15)/MAX(ABS(BU15-BV15),1),1,TRUE,0)</f>
        <v/>
      </c>
      <c r="BX15" s="18"/>
      <c r="BY15" s="19"/>
      <c r="BZ15" s="33" t="str" cm="1">
        <f t="array" ref="BZ15">_xlfn.IFS($D15="","",AND(BX15=$C15,BY15=$D15),3,($C15-$D15)/MAX(ABS($C15-$D15),1)=(BX15-BY15)/MAX(ABS(BX15-BY15),1),1,TRUE,0)</f>
        <v/>
      </c>
      <c r="CA15" s="18"/>
      <c r="CB15" s="19"/>
      <c r="CC15" s="33" t="str" cm="1">
        <f t="array" ref="CC15">_xlfn.IFS($D15="","",AND(CA15=$C15,CB15=$D15),3,($C15-$D15)/MAX(ABS($C15-$D15),1)=(CA15-CB15)/MAX(ABS(CA15-CB15),1),1,TRUE,0)</f>
        <v/>
      </c>
      <c r="CD15" s="18"/>
      <c r="CE15" s="19"/>
      <c r="CF15" s="33" t="str" cm="1">
        <f t="array" ref="CF15">_xlfn.IFS($D15="","",AND(CD15=$C15,CE15=$D15),3,($C15-$D15)/MAX(ABS($C15-$D15),1)=(CD15-CE15)/MAX(ABS(CD15-CE15),1),1,TRUE,0)</f>
        <v/>
      </c>
      <c r="CG15" s="18"/>
      <c r="CH15" s="19"/>
      <c r="CI15" s="33" t="str" cm="1">
        <f t="array" ref="CI15">_xlfn.IFS($D15="","",AND(CG15=$C15,CH15=$D15),3,($C15-$D15)/MAX(ABS($C15-$D15),1)=(CG15-CH15)/MAX(ABS(CG15-CH15),1),1,TRUE,0)</f>
        <v/>
      </c>
      <c r="CJ15" s="18"/>
      <c r="CK15" s="19"/>
      <c r="CL15" s="33" t="str" cm="1">
        <f t="array" ref="CL15">_xlfn.IFS($D15="","",AND(CJ15=$C15,CK15=$D15),3,($C15-$D15)/MAX(ABS($C15-$D15),1)=(CJ15-CK15)/MAX(ABS(CJ15-CK15),1),1,TRUE,0)</f>
        <v/>
      </c>
      <c r="CM15" s="18"/>
      <c r="CN15" s="19"/>
      <c r="CO15" s="33" t="str" cm="1">
        <f t="array" ref="CO15">_xlfn.IFS($D15="","",AND(CM15=$C15,CN15=$D15),3,($C15-$D15)/MAX(ABS($C15-$D15),1)=(CM15-CN15)/MAX(ABS(CM15-CN15),1),1,TRUE,0)</f>
        <v/>
      </c>
      <c r="CP15" s="18"/>
      <c r="CQ15" s="19"/>
      <c r="CR15" s="33" t="str" cm="1">
        <f t="array" ref="CR15">_xlfn.IFS($D15="","",AND(CP15=$C15,CQ15=$D15),3,($C15-$D15)/MAX(ABS($C15-$D15),1)=(CP15-CQ15)/MAX(ABS(CP15-CQ15),1),1,TRUE,0)</f>
        <v/>
      </c>
      <c r="CS15" s="18"/>
      <c r="CT15" s="19"/>
      <c r="CU15" s="33" t="str" cm="1">
        <f t="array" ref="CU15">_xlfn.IFS($D15="","",AND(CS15=$C15,CT15=$D15),3,($C15-$D15)/MAX(ABS($C15-$D15),1)=(CS15-CT15)/MAX(ABS(CS15-CT15),1),1,TRUE,0)</f>
        <v/>
      </c>
      <c r="CV15" s="18"/>
      <c r="CW15" s="19"/>
      <c r="CX15" s="33" t="str" cm="1">
        <f t="array" ref="CX15">_xlfn.IFS($D15="","",AND(CV15=$C15,CW15=$D15),3,($C15-$D15)/MAX(ABS($C15-$D15),1)=(CV15-CW15)/MAX(ABS(CV15-CW15),1),1,TRUE,0)</f>
        <v/>
      </c>
      <c r="CY15" s="18"/>
      <c r="CZ15" s="19"/>
      <c r="DA15" s="33" t="str" cm="1">
        <f t="array" ref="DA15">_xlfn.IFS($D15="","",AND(CY15=$C15,CZ15=$D15),3,($C15-$D15)/MAX(ABS($C15-$D15),1)=(CY15-CZ15)/MAX(ABS(CY15-CZ15),1),1,TRUE,0)</f>
        <v/>
      </c>
      <c r="DB15" s="37"/>
      <c r="DC15" s="38"/>
      <c r="DD15" s="33" t="str" cm="1">
        <f t="array" ref="DD15">_xlfn.IFS($D15="","",AND(DB15=$C15,DC15=$D15),3,($C15-$D15)/MAX(ABS($C15-$D15),1)=(DB15-DC15)/MAX(ABS(DB15-DC15),1),1,TRUE,0)</f>
        <v/>
      </c>
      <c r="DE15" s="18"/>
      <c r="DF15" s="19"/>
      <c r="DG15" s="33" t="str" cm="1">
        <f t="array" ref="DG15">_xlfn.IFS($D15="","",AND(DE15=$C15,DF15=$D15),3,($C15-$D15)/MAX(ABS($C15-$D15),1)=(DE15-DF15)/MAX(ABS(DE15-DF15),1),1,TRUE,0)</f>
        <v/>
      </c>
      <c r="DH15" s="18"/>
      <c r="DI15" s="19"/>
      <c r="DJ15" s="33" t="str" cm="1">
        <f t="array" ref="DJ15">_xlfn.IFS($D15="","",AND(DH15=$C15,DI15=$D15),3,($C15-$D15)/MAX(ABS($C15-$D15),1)=(DH15-DI15)/MAX(ABS(DH15-DI15),1),1,TRUE,0)</f>
        <v/>
      </c>
      <c r="DK15" s="18"/>
      <c r="DL15" s="19"/>
      <c r="DM15" s="33" t="str" cm="1">
        <f t="array" ref="DM15">_xlfn.IFS($D15="","",AND(DK15=$C15,DL15=$D15),3,($C15-$D15)/MAX(ABS($C15-$D15),1)=(DK15-DL15)/MAX(ABS(DK15-DL15),1),1,TRUE,0)</f>
        <v/>
      </c>
      <c r="DN15" s="18"/>
      <c r="DO15" s="19"/>
      <c r="DP15" s="33" t="str" cm="1">
        <f t="array" ref="DP15">_xlfn.IFS($D15="","",AND(DN15=$C15,DO15=$D15),3,($C15-$D15)/MAX(ABS($C15-$D15),1)=(DN15-DO15)/MAX(ABS(DN15-DO15),1),1,TRUE,0)</f>
        <v/>
      </c>
      <c r="DQ15" s="18"/>
      <c r="DR15" s="19"/>
      <c r="DS15" s="33" t="str" cm="1">
        <f t="array" ref="DS15">_xlfn.IFS($D15="","",AND(DQ15=$C15,DR15=$D15),3,($C15-$D15)/MAX(ABS($C15-$D15),1)=(DQ15-DR15)/MAX(ABS(DQ15-DR15),1),1,TRUE,0)</f>
        <v/>
      </c>
      <c r="DT15" s="18"/>
      <c r="DU15" s="19"/>
      <c r="DV15" s="33" t="str" cm="1">
        <f t="array" ref="DV15">_xlfn.IFS($D15="","",AND(DT15=$C15,DU15=$D15),3,($C15-$D15)/MAX(ABS($C15-$D15),1)=(DT15-DU15)/MAX(ABS(DT15-DU15),1),1,TRUE,0)</f>
        <v/>
      </c>
      <c r="DW15" s="18"/>
      <c r="DX15" s="19"/>
      <c r="DY15" s="33" t="str" cm="1">
        <f t="array" ref="DY15">_xlfn.IFS($D15="","",AND(DW15=$C15,DX15=$D15),3,($C15-$D15)/MAX(ABS($C15-$D15),1)=(DW15-DX15)/MAX(ABS(DW15-DX15),1),1,TRUE,0)</f>
        <v/>
      </c>
      <c r="DZ15" s="18"/>
      <c r="EA15" s="19"/>
      <c r="EB15" s="33" t="str" cm="1">
        <f t="array" ref="EB15">_xlfn.IFS($D15="","",AND(DZ15=$C15,EA15=$D15),3,($C15-$D15)/MAX(ABS($C15-$D15),1)=(DZ15-EA15)/MAX(ABS(DZ15-EA15),1),1,TRUE,0)</f>
        <v/>
      </c>
      <c r="EC15" s="18"/>
      <c r="ED15" s="19"/>
      <c r="EE15" s="33" t="str" cm="1">
        <f t="array" ref="EE15">_xlfn.IFS($D15="","",AND(EC15=$C15,ED15=$D15),3,($C15-$D15)/MAX(ABS($C15-$D15),1)=(EC15-ED15)/MAX(ABS(EC15-ED15),1),1,TRUE,0)</f>
        <v/>
      </c>
      <c r="EF15" s="18"/>
      <c r="EG15" s="19"/>
      <c r="EH15" s="33" t="str" cm="1">
        <f t="array" ref="EH15">_xlfn.IFS($D15="","",AND(EF15=$C15,EG15=$D15),3,($C15-$D15)/MAX(ABS($C15-$D15),1)=(EF15-EG15)/MAX(ABS(EF15-EG15),1),1,TRUE,0)</f>
        <v/>
      </c>
      <c r="EI15" s="43"/>
      <c r="EJ15" s="44"/>
      <c r="EK15" s="33" t="str" cm="1">
        <f t="array" ref="EK15">_xlfn.IFS($D15="","",AND(EI15=$C15,EJ15=$D15),3,($C15-$D15)/MAX(ABS($C15-$D15),1)=(EI15-EJ15)/MAX(ABS(EI15-EJ15),1),1,TRUE,0)</f>
        <v/>
      </c>
      <c r="EL15" s="18"/>
      <c r="EM15" s="19"/>
      <c r="EN15" s="33" t="str" cm="1">
        <f t="array" ref="EN15">_xlfn.IFS($D15="","",AND(EL15=$C15,EM15=$D15),3,($C15-$D15)/MAX(ABS($C15-$D15),1)=(EL15-EM15)/MAX(ABS(EL15-EM15),1),1,TRUE,0)</f>
        <v/>
      </c>
      <c r="EO15" s="18"/>
      <c r="EP15" s="19"/>
      <c r="EQ15" s="33" t="str" cm="1">
        <f t="array" ref="EQ15">_xlfn.IFS($D15="","",AND(EO15=$C15,EP15=$D15),3,($C15-$D15)/MAX(ABS($C15-$D15),1)=(EO15-EP15)/MAX(ABS(EO15-EP15),1),1,TRUE,0)</f>
        <v/>
      </c>
      <c r="ER15" s="18"/>
      <c r="ES15" s="19"/>
      <c r="ET15" s="33" t="str" cm="1">
        <f t="array" ref="ET15">_xlfn.IFS($D15="","",AND(ER15=$C15,ES15=$D15),3,($C15-$D15)/MAX(ABS($C15-$D15),1)=(ER15-ES15)/MAX(ABS(ER15-ES15),1),1,TRUE,0)</f>
        <v/>
      </c>
      <c r="EU15" s="18"/>
      <c r="EV15" s="19"/>
      <c r="EW15" s="33" t="str" cm="1">
        <f t="array" ref="EW15">_xlfn.IFS($D15="","",AND(EU15=$C15,EV15=$D15),3,($C15-$D15)/MAX(ABS($C15-$D15),1)=(EU15-EV15)/MAX(ABS(EU15-EV15),1),1,TRUE,0)</f>
        <v/>
      </c>
      <c r="EX15" s="18"/>
      <c r="EY15" s="19"/>
      <c r="EZ15" s="33" t="str" cm="1">
        <f t="array" ref="EZ15">_xlfn.IFS($D15="","",AND(EX15=$C15,EY15=$D15),3,($C15-$D15)/MAX(ABS($C15-$D15),1)=(EX15-EY15)/MAX(ABS(EX15-EY15),1),1,TRUE,0)</f>
        <v/>
      </c>
      <c r="FA15" s="18"/>
      <c r="FB15" s="19"/>
      <c r="FC15" s="33" t="str" cm="1">
        <f t="array" ref="FC15">_xlfn.IFS($D15="","",AND(FA15=$C15,FB15=$D15),3,($C15-$D15)/MAX(ABS($C15-$D15),1)=(FA15-FB15)/MAX(ABS(FA15-FB15),1),1,TRUE,0)</f>
        <v/>
      </c>
      <c r="FD15" s="18"/>
      <c r="FE15" s="19"/>
      <c r="FF15" s="33" t="str" cm="1">
        <f t="array" ref="FF15">_xlfn.IFS($D15="","",AND(FD15=$C15,FE15=$D15),3,($C15-$D15)/MAX(ABS($C15-$D15),1)=(FD15-FE15)/MAX(ABS(FD15-FE15),1),1,TRUE,0)</f>
        <v/>
      </c>
      <c r="FG15" s="18"/>
      <c r="FH15" s="19"/>
      <c r="FI15" s="33" t="str" cm="1">
        <f t="array" ref="FI15">_xlfn.IFS($D15="","",AND(FG15=$C15,FH15=$D15),3,($C15-$D15)/MAX(ABS($C15-$D15),1)=(FG15-FH15)/MAX(ABS(FG15-FH15),1),1,TRUE,0)</f>
        <v/>
      </c>
      <c r="FJ15" s="18"/>
      <c r="FK15" s="19"/>
      <c r="FL15" s="33" t="str" cm="1">
        <f t="array" ref="FL15">_xlfn.IFS($D15="","",AND(FJ15=$C15,FK15=$D15),3,($C15-$D15)/MAX(ABS($C15-$D15),1)=(FJ15-FK15)/MAX(ABS(FJ15-FK15),1),1,TRUE,0)</f>
        <v/>
      </c>
      <c r="FM15" s="18"/>
      <c r="FN15" s="19"/>
      <c r="FO15" s="33" t="str" cm="1">
        <f t="array" ref="FO15">_xlfn.IFS($D15="","",AND(FM15=$C15,FN15=$D15),3,($C15-$D15)/MAX(ABS($C15-$D15),1)=(FM15-FN15)/MAX(ABS(FM15-FN15),1),1,TRUE,0)</f>
        <v/>
      </c>
      <c r="FP15" s="18"/>
      <c r="FQ15" s="19"/>
      <c r="FR15" s="33" t="str" cm="1">
        <f t="array" ref="FR15">_xlfn.IFS($D15="","",AND(FP15=$C15,FQ15=$D15),3,($C15-$D15)/MAX(ABS($C15-$D15),1)=(FP15-FQ15)/MAX(ABS(FP15-FQ15),1),1,TRUE,0)</f>
        <v/>
      </c>
      <c r="FS15" s="18"/>
      <c r="FT15" s="19"/>
      <c r="FU15" s="33" t="str" cm="1">
        <f t="array" ref="FU15">_xlfn.IFS($D15="","",AND(FS15=$C15,FT15=$D15),3,($C15-$D15)/MAX(ABS($C15-$D15),1)=(FS15-FT15)/MAX(ABS(FS15-FT15),1),1,TRUE,0)</f>
        <v/>
      </c>
      <c r="FV15" s="18"/>
      <c r="FW15" s="19"/>
      <c r="FX15" s="33" t="str" cm="1">
        <f t="array" ref="FX15">_xlfn.IFS($D15="","",AND(FV15=$C15,FW15=$D15),3,($C15-$D15)/MAX(ABS($C15-$D15),1)=(FV15-FW15)/MAX(ABS(FV15-FW15),1),1,TRUE,0)</f>
        <v/>
      </c>
      <c r="FY15" s="18"/>
      <c r="FZ15" s="19"/>
      <c r="GA15" s="33" t="str" cm="1">
        <f t="array" ref="GA15">_xlfn.IFS($D15="","",AND(FY15=$C15,FZ15=$D15),3,($C15-$D15)/MAX(ABS($C15-$D15),1)=(FY15-FZ15)/MAX(ABS(FY15-FZ15),1),1,TRUE,0)</f>
        <v/>
      </c>
      <c r="GB15" s="18"/>
      <c r="GC15" s="19"/>
      <c r="GD15" s="33" t="str" cm="1">
        <f t="array" ref="GD15">_xlfn.IFS($D15="","",AND(GB15=$C15,GC15=$D15),3,($C15-$D15)/MAX(ABS($C15-$D15),1)=(GB15-GC15)/MAX(ABS(GB15-GC15),1),1,TRUE,0)</f>
        <v/>
      </c>
      <c r="GE15" s="47"/>
      <c r="GF15" s="45"/>
      <c r="GG15" s="33" t="str" cm="1">
        <f t="array" ref="GG15">_xlfn.IFS($D15="","",AND(GE15=$C15,GF15=$D15),3,($C15-$D15)/MAX(ABS($C15-$D15),1)=(GE15-GF15)/MAX(ABS(GE15-GF15),1),1,TRUE,0)</f>
        <v/>
      </c>
      <c r="GH15" s="18"/>
      <c r="GI15" s="19"/>
      <c r="GJ15" s="33" t="str" cm="1">
        <f t="array" ref="GJ15">_xlfn.IFS($D15="","",AND(GH15=$C15,GI15=$D15),3,($C15-$D15)/MAX(ABS($C15-$D15),1)=(GH15-GI15)/MAX(ABS(GH15-GI15),1),1,TRUE,0)</f>
        <v/>
      </c>
      <c r="GK15" s="18"/>
      <c r="GL15" s="19"/>
      <c r="GM15" s="33" t="str" cm="1">
        <f t="array" ref="GM15">_xlfn.IFS($D15="","",AND(GK15=$C15,GL15=$D15),3,($C15-$D15)/MAX(ABS($C15-$D15),1)=(GK15-GL15)/MAX(ABS(GK15-GL15),1),1,TRUE,0)</f>
        <v/>
      </c>
      <c r="GN15" s="18"/>
      <c r="GO15" s="19"/>
      <c r="GP15" s="33" t="str" cm="1">
        <f t="array" ref="GP15">_xlfn.IFS($D15="","",AND(GN15=$C15,GO15=$D15),3,($C15-$D15)/MAX(ABS($C15-$D15),1)=(GN15-GO15)/MAX(ABS(GN15-GO15),1),1,TRUE,0)</f>
        <v/>
      </c>
      <c r="GQ15" s="18"/>
      <c r="GR15" s="19"/>
      <c r="GS15" s="33" t="str" cm="1">
        <f t="array" ref="GS15">_xlfn.IFS($D15="","",AND(GQ15=$C15,GR15=$D15),3,($C15-$D15)/MAX(ABS($C15-$D15),1)=(GQ15-GR15)/MAX(ABS(GQ15-GR15),1),1,TRUE,0)</f>
        <v/>
      </c>
      <c r="GT15" s="18"/>
      <c r="GU15" s="19"/>
      <c r="GV15" s="33" t="str" cm="1">
        <f t="array" ref="GV15">_xlfn.IFS($D15="","",AND(GT15=$C15,GU15=$D15),3,($C15-$D15)/MAX(ABS($C15-$D15),1)=(GT15-GU15)/MAX(ABS(GT15-GU15),1),1,TRUE,0)</f>
        <v/>
      </c>
      <c r="GW15" s="18"/>
      <c r="GX15" s="19"/>
      <c r="GY15" s="33" t="str" cm="1">
        <f t="array" ref="GY15">_xlfn.IFS($D15="","",AND(GW15=$C15,GX15=$D15),3,($C15-$D15)/MAX(ABS($C15-$D15),1)=(GW15-GX15)/MAX(ABS(GW15-GX15),1),1,TRUE,0)</f>
        <v/>
      </c>
      <c r="GZ15" s="18"/>
      <c r="HA15" s="19"/>
      <c r="HB15" s="33" t="str" cm="1">
        <f t="array" ref="HB15">_xlfn.IFS($D15="","",AND(GZ15=$C15,HA15=$D15),3,($C15-$D15)/MAX(ABS($C15-$D15),1)=(GZ15-HA15)/MAX(ABS(GZ15-HA15),1),1,TRUE,0)</f>
        <v/>
      </c>
      <c r="HC15" s="18"/>
      <c r="HD15" s="14"/>
      <c r="HE15" s="33" t="str" cm="1">
        <f t="array" ref="HE15">_xlfn.IFS($D15="","",AND(HC15=$C15,HD15=$D15),3,($C15-$D15)/MAX(ABS($C15-$D15),1)=(HC15-HD15)/MAX(ABS(HC15-HD15),1),1,TRUE,0)</f>
        <v/>
      </c>
      <c r="HF15" s="18"/>
      <c r="HG15" s="19"/>
      <c r="HH15" s="33" t="str" cm="1">
        <f t="array" ref="HH15">_xlfn.IFS($D15="","",AND(HF15=$C15,HG15=$D15),3,($C15-$D15)/MAX(ABS($C15-$D15),1)=(HF15-HG15)/MAX(ABS(HF15-HG15),1),1,TRUE,0)</f>
        <v/>
      </c>
      <c r="HI15" s="18"/>
      <c r="HJ15" s="19"/>
      <c r="HK15" s="33" t="str" cm="1">
        <f t="array" ref="HK15">_xlfn.IFS($D15="","",AND(HI15=$C15,HJ15=$D15),3,($C15-$D15)/MAX(ABS($C15-$D15),1)=(HI15-HJ15)/MAX(ABS(HI15-HJ15),1),1,TRUE,0)</f>
        <v/>
      </c>
      <c r="HL15" s="18"/>
      <c r="HM15" s="19"/>
      <c r="HN15" s="33" t="str" cm="1">
        <f t="array" ref="HN15">_xlfn.IFS($D15="","",AND(HL15=$C15,HM15=$D15),3,($C15-$D15)/MAX(ABS($C15-$D15),1)=(HL15-HM15)/MAX(ABS(HL15-HM15),1),1,TRUE,0)</f>
        <v/>
      </c>
      <c r="HO15" s="18"/>
      <c r="HP15" s="19"/>
      <c r="HQ15" s="33" t="str" cm="1">
        <f t="array" ref="HQ15">_xlfn.IFS($D15="","",AND(HO15=$C15,HP15=$D15),3,($C15-$D15)/MAX(ABS($C15-$D15),1)=(HO15-HP15)/MAX(ABS(HO15-HP15),1),1,TRUE,0)</f>
        <v/>
      </c>
      <c r="HR15" s="18"/>
      <c r="HS15" s="19"/>
      <c r="HT15" s="33" t="str" cm="1">
        <f t="array" ref="HT15">_xlfn.IFS($D15="","",AND(HR15=$C15,HS15=$D15),3,($C15-$D15)/MAX(ABS($C15-$D15),1)=(HR15-HS15)/MAX(ABS(HR15-HS15),1),1,TRUE,0)</f>
        <v/>
      </c>
      <c r="HU15" s="18"/>
      <c r="HV15" s="19"/>
      <c r="HW15" s="33" t="str" cm="1">
        <f t="array" ref="HW15">_xlfn.IFS($D15="","",AND(HU15=$C15,HV15=$D15),3,($C15-$D15)/MAX(ABS($C15-$D15),1)=(HU15-HV15)/MAX(ABS(HU15-HV15),1),1,TRUE,0)</f>
        <v/>
      </c>
      <c r="HX15" s="18"/>
      <c r="HY15" s="19"/>
      <c r="HZ15" s="33" t="str" cm="1">
        <f t="array" ref="HZ15">_xlfn.IFS($D15="","",AND(HX15=$C15,HY15=$D15),3,($C15-$D15)/MAX(ABS($C15-$D15),1)=(HX15-HY15)/MAX(ABS(HX15-HY15),1),1,TRUE,0)</f>
        <v/>
      </c>
      <c r="IA15" s="18"/>
      <c r="IB15" s="19"/>
      <c r="IC15" s="33" t="str" cm="1">
        <f t="array" ref="IC15">_xlfn.IFS($D15="","",AND(IA15=$C15,IB15=$D15),3,($C15-$D15)/MAX(ABS($C15-$D15),1)=(IA15-IB15)/MAX(ABS(IA15-IB15),1),1,TRUE,0)</f>
        <v/>
      </c>
      <c r="ID15" s="18"/>
      <c r="IE15" s="19"/>
      <c r="IF15" s="33" t="str" cm="1">
        <f t="array" ref="IF15">_xlfn.IFS($D15="","",AND(ID15=$C15,IE15=$D15),3,($C15-$D15)/MAX(ABS($C15-$D15),1)=(ID15-IE15)/MAX(ABS(ID15-IE15),1),1,TRUE,0)</f>
        <v/>
      </c>
      <c r="IG15" s="18"/>
      <c r="IH15" s="19"/>
      <c r="II15" s="33" t="str" cm="1">
        <f t="array" ref="II15">_xlfn.IFS($D15="","",AND(IG15=$C15,IH15=$D15),3,($C15-$D15)/MAX(ABS($C15-$D15),1)=(IG15-IH15)/MAX(ABS(IG15-IH15),1),1,TRUE,0)</f>
        <v/>
      </c>
      <c r="IJ15" s="18"/>
      <c r="IK15" s="19"/>
      <c r="IL15" s="33" t="str" cm="1">
        <f t="array" ref="IL15">_xlfn.IFS($D15="","",AND(IJ15=$C15,IK15=$D15),3,($C15-$D15)/MAX(ABS($C15-$D15),1)=(IJ15-IK15)/MAX(ABS(IJ15-IK15),1),1,TRUE,0)</f>
        <v/>
      </c>
      <c r="IM15" s="18"/>
      <c r="IN15" s="19"/>
      <c r="IO15" s="33" t="str" cm="1">
        <f t="array" ref="IO15">_xlfn.IFS($D15="","",AND(IM15=$C15,IN15=$D15),3,($C15-$D15)/MAX(ABS($C15-$D15),1)=(IM15-IN15)/MAX(ABS(IM15-IN15),1),1,TRUE,0)</f>
        <v/>
      </c>
      <c r="IP15" s="18"/>
      <c r="IQ15" s="19"/>
      <c r="IR15" s="33" t="str" cm="1">
        <f t="array" ref="IR15">_xlfn.IFS($D15="","",AND(IP15=$C15,IQ15=$D15),3,($C15-$D15)/MAX(ABS($C15-$D15),1)=(IP15-IQ15)/MAX(ABS(IP15-IQ15),1),1,TRUE,0)</f>
        <v/>
      </c>
      <c r="IS15" s="18"/>
      <c r="IT15" s="19"/>
      <c r="IU15" s="33" t="str" cm="1">
        <f t="array" ref="IU15">_xlfn.IFS($D15="","",AND(IS15=$C15,IT15=$D15),3,($C15-$D15)/MAX(ABS($C15-$D15),1)=(IS15-IT15)/MAX(ABS(IS15-IT15),1),1,TRUE,0)</f>
        <v/>
      </c>
      <c r="IV15" s="18"/>
      <c r="IW15" s="19"/>
      <c r="IX15" s="33" t="str" cm="1">
        <f t="array" ref="IX15">_xlfn.IFS($D15="","",AND(IV15=$C15,IW15=$D15),3,($C15-$D15)/MAX(ABS($C15-$D15),1)=(IV15-IW15)/MAX(ABS(IV15-IW15),1),1,TRUE,0)</f>
        <v/>
      </c>
      <c r="IY15" s="18"/>
      <c r="IZ15" s="19"/>
      <c r="JA15" s="33" t="str" cm="1">
        <f t="array" ref="JA15">_xlfn.IFS($D15="","",AND(IY15=$C15,IZ15=$D15),3,($C15-$D15)/MAX(ABS($C15-$D15),1)=(IY15-IZ15)/MAX(ABS(IY15-IZ15),1),1,TRUE,0)</f>
        <v/>
      </c>
      <c r="JB15" s="18"/>
      <c r="JC15" s="19"/>
      <c r="JD15" s="33" t="str" cm="1">
        <f t="array" ref="JD15">_xlfn.IFS($D15="","",AND(JB15=$C15,JC15=$D15),3,($C15-$D15)/MAX(ABS($C15-$D15),1)=(JB15-JC15)/MAX(ABS(JB15-JC15),1),1,TRUE,0)</f>
        <v/>
      </c>
    </row>
    <row r="16" spans="1:264" ht="15" thickBot="1" x14ac:dyDescent="0.35">
      <c r="A16" s="22">
        <v>46188</v>
      </c>
      <c r="B16" s="28" t="s">
        <v>15</v>
      </c>
      <c r="C16" s="53" t="str" cm="1">
        <f t="array" ref="C16">_xlfn.LET(
_xlpm.x,_xlfn.XLOOKUP(1,(Scores_Fixtures[Date]=A16)*(Scores_Fixtures[Home.1]=B16),Scores_Fixtures[Score.1],""),
IF(_xlpm.x="","",_xlpm.x)
)</f>
        <v/>
      </c>
      <c r="D16" s="53" t="str" cm="1">
        <f t="array" ref="D16">_xlfn.LET(
_xlpm.x,_xlfn.XLOOKUP(1,(Scores_Fixtures[Date]=A16)*(Scores_Fixtures[Home.1]=B16),Scores_Fixtures[Score.2],""),
IF(_xlpm.x="","",_xlpm.x)
)</f>
        <v/>
      </c>
      <c r="E16" s="12" t="s">
        <v>67</v>
      </c>
      <c r="F16" s="15"/>
      <c r="G16" s="53"/>
      <c r="H16" s="53"/>
      <c r="I16" s="33" t="str" cm="1">
        <f t="array" ref="I16">_xlfn.IFS($D16="","",AND(G16=$C16,H16=$D16),3,($C16-$D16)/MAX(ABS($C16-$D16),1)=(G16-H16)/MAX(ABS(G16-H16),1),1,TRUE,0)</f>
        <v/>
      </c>
      <c r="J16" s="18"/>
      <c r="K16" s="19"/>
      <c r="L16" s="33" t="str" cm="1">
        <f t="array" ref="L16">_xlfn.IFS($D16="","",AND(J16=$C16,K16=$D16),3,($C16-$D16)/MAX(ABS($C16-$D16),1)=(J16-K16)/MAX(ABS(J16-K16),1),1,TRUE,0)</f>
        <v/>
      </c>
      <c r="M16" s="18"/>
      <c r="N16" s="19"/>
      <c r="O16" s="33" t="str" cm="1">
        <f t="array" ref="O16">_xlfn.IFS($D16="","",AND(M16=$C16,N16=$D16),3,($C16-$D16)/MAX(ABS($C16-$D16),1)=(M16-N16)/MAX(ABS(M16-N16),1),1,TRUE,0)</f>
        <v/>
      </c>
      <c r="P16" s="18"/>
      <c r="Q16" s="19"/>
      <c r="R16" s="33" t="str" cm="1">
        <f t="array" ref="R16">_xlfn.IFS($D16="","",AND(P16=$C16,Q16=$D16),3,($C16-$D16)/MAX(ABS($C16-$D16),1)=(P16-Q16)/MAX(ABS(P16-Q16),1),1,TRUE,0)</f>
        <v/>
      </c>
      <c r="S16" s="18"/>
      <c r="T16" s="19"/>
      <c r="U16" s="33" t="str" cm="1">
        <f t="array" ref="U16">_xlfn.IFS($D16="","",AND(S16=$C16,T16=$D16),3,($C16-$D16)/MAX(ABS($C16-$D16),1)=(S16-T16)/MAX(ABS(S16-T16),1),1,TRUE,0)</f>
        <v/>
      </c>
      <c r="V16" s="18"/>
      <c r="W16" s="19"/>
      <c r="X16" s="33" t="str" cm="1">
        <f t="array" ref="X16">_xlfn.IFS($D16="","",AND(V16=$C16,W16=$D16),3,($C16-$D16)/MAX(ABS($C16-$D16),1)=(V16-W16)/MAX(ABS(V16-W16),1),1,TRUE,0)</f>
        <v/>
      </c>
      <c r="Y16" s="18"/>
      <c r="Z16" s="19"/>
      <c r="AA16" s="33" t="str" cm="1">
        <f t="array" ref="AA16">_xlfn.IFS($D16="","",AND(Y16=$C16,Z16=$D16),3,($C16-$D16)/MAX(ABS($C16-$D16),1)=(Y16-Z16)/MAX(ABS(Y16-Z16),1),1,TRUE,0)</f>
        <v/>
      </c>
      <c r="AB16" s="18"/>
      <c r="AC16" s="19"/>
      <c r="AD16" s="33" t="str" cm="1">
        <f t="array" ref="AD16">_xlfn.IFS($D16="","",AND(AB16=$C16,AC16=$D16),3,($C16-$D16)/MAX(ABS($C16-$D16),1)=(AB16-AC16)/MAX(ABS(AB16-AC16),1),1,TRUE,0)</f>
        <v/>
      </c>
      <c r="AE16" s="18"/>
      <c r="AF16" s="19"/>
      <c r="AG16" s="33" t="str" cm="1">
        <f t="array" ref="AG16">_xlfn.IFS($D16="","",AND(AE16=$C16,AF16=$D16),3,($C16-$D16)/MAX(ABS($C16-$D16),1)=(AE16-AF16)/MAX(ABS(AE16-AF16),1),1,TRUE,0)</f>
        <v/>
      </c>
      <c r="AH16" s="18"/>
      <c r="AI16" s="19"/>
      <c r="AJ16" s="33" t="str" cm="1">
        <f t="array" ref="AJ16">_xlfn.IFS($D16="","",AND(AH16=$C16,AI16=$D16),3,($C16-$D16)/MAX(ABS($C16-$D16),1)=(AH16-AI16)/MAX(ABS(AH16-AI16),1),1,TRUE,0)</f>
        <v/>
      </c>
      <c r="AK16" s="18"/>
      <c r="AL16" s="19"/>
      <c r="AM16" s="33" t="str" cm="1">
        <f t="array" ref="AM16">_xlfn.IFS($D16="","",AND(AK16=$C16,AL16=$D16),3,($C16-$D16)/MAX(ABS($C16-$D16),1)=(AK16-AL16)/MAX(ABS(AK16-AL16),1),1,TRUE,0)</f>
        <v/>
      </c>
      <c r="AN16" s="18"/>
      <c r="AO16" s="19"/>
      <c r="AP16" s="33" t="str" cm="1">
        <f t="array" ref="AP16">_xlfn.IFS($D16="","",AND(AN16=$C16,AO16=$D16),3,($C16-$D16)/MAX(ABS($C16-$D16),1)=(AN16-AO16)/MAX(ABS(AN16-AO16),1),1,TRUE,0)</f>
        <v/>
      </c>
      <c r="AQ16" s="18"/>
      <c r="AR16" s="19"/>
      <c r="AS16" s="33" t="str" cm="1">
        <f t="array" ref="AS16">_xlfn.IFS($D16="","",AND(AQ16=$C16,AR16=$D16),3,($C16-$D16)/MAX(ABS($C16-$D16),1)=(AQ16-AR16)/MAX(ABS(AQ16-AR16),1),1,TRUE,0)</f>
        <v/>
      </c>
      <c r="AT16" s="18"/>
      <c r="AU16" s="19"/>
      <c r="AV16" s="33" t="str" cm="1">
        <f t="array" ref="AV16">_xlfn.IFS($D16="","",AND(AT16=$C16,AU16=$D16),3,($C16-$D16)/MAX(ABS($C16-$D16),1)=(AT16-AU16)/MAX(ABS(AT16-AU16),1),1,TRUE,0)</f>
        <v/>
      </c>
      <c r="AW16" s="18"/>
      <c r="AX16" s="19"/>
      <c r="AY16" s="33" t="str" cm="1">
        <f t="array" ref="AY16">_xlfn.IFS($D16="","",AND(AW16=$C16,AX16=$D16),3,($C16-$D16)/MAX(ABS($C16-$D16),1)=(AW16-AX16)/MAX(ABS(AW16-AX16),1),1,TRUE,0)</f>
        <v/>
      </c>
      <c r="AZ16" s="18"/>
      <c r="BA16" s="19"/>
      <c r="BB16" s="33" t="str" cm="1">
        <f t="array" ref="BB16">_xlfn.IFS($D16="","",AND(AZ16=$C16,BA16=$D16),3,($C16-$D16)/MAX(ABS($C16-$D16),1)=(AZ16-BA16)/MAX(ABS(AZ16-BA16),1),1,TRUE,0)</f>
        <v/>
      </c>
      <c r="BC16" s="18"/>
      <c r="BD16" s="19"/>
      <c r="BE16" s="33" t="str" cm="1">
        <f t="array" ref="BE16">_xlfn.IFS($D16="","",AND(BC16=$C16,BD16=$D16),3,($C16-$D16)/MAX(ABS($C16-$D16),1)=(BC16-BD16)/MAX(ABS(BC16-BD16),1),1,TRUE,0)</f>
        <v/>
      </c>
      <c r="BF16" s="18"/>
      <c r="BG16" s="19"/>
      <c r="BH16" s="33" t="str" cm="1">
        <f t="array" ref="BH16">_xlfn.IFS($D16="","",AND(BF16=$C16,BG16=$D16),3,($C16-$D16)/MAX(ABS($C16-$D16),1)=(BF16-BG16)/MAX(ABS(BF16-BG16),1),1,TRUE,0)</f>
        <v/>
      </c>
      <c r="BI16" s="18"/>
      <c r="BJ16" s="19"/>
      <c r="BK16" s="33" t="str" cm="1">
        <f t="array" ref="BK16">_xlfn.IFS($D16="","",AND(BI16=$C16,BJ16=$D16),3,($C16-$D16)/MAX(ABS($C16-$D16),1)=(BI16-BJ16)/MAX(ABS(BI16-BJ16),1),1,TRUE,0)</f>
        <v/>
      </c>
      <c r="BL16" s="18"/>
      <c r="BM16" s="19"/>
      <c r="BN16" s="33" t="str" cm="1">
        <f t="array" ref="BN16">_xlfn.IFS($D16="","",AND(BL16=$C16,BM16=$D16),3,($C16-$D16)/MAX(ABS($C16-$D16),1)=(BL16-BM16)/MAX(ABS(BL16-BM16),1),1,TRUE,0)</f>
        <v/>
      </c>
      <c r="BO16" s="18"/>
      <c r="BP16" s="19"/>
      <c r="BQ16" s="33" t="str" cm="1">
        <f t="array" ref="BQ16">_xlfn.IFS($D16="","",AND(BO16=$C16,BP16=$D16),3,($C16-$D16)/MAX(ABS($C16-$D16),1)=(BO16-BP16)/MAX(ABS(BO16-BP16),1),1,TRUE,0)</f>
        <v/>
      </c>
      <c r="BR16" s="18"/>
      <c r="BS16" s="19"/>
      <c r="BT16" s="33" t="str" cm="1">
        <f t="array" ref="BT16">_xlfn.IFS($D16="","",AND(BR16=$C16,BS16=$D16),3,($C16-$D16)/MAX(ABS($C16-$D16),1)=(BR16-BS16)/MAX(ABS(BR16-BS16),1),1,TRUE,0)</f>
        <v/>
      </c>
      <c r="BU16" s="18"/>
      <c r="BV16" s="19"/>
      <c r="BW16" s="33" t="str" cm="1">
        <f t="array" ref="BW16">_xlfn.IFS($D16="","",AND(BU16=$C16,BV16=$D16),3,($C16-$D16)/MAX(ABS($C16-$D16),1)=(BU16-BV16)/MAX(ABS(BU16-BV16),1),1,TRUE,0)</f>
        <v/>
      </c>
      <c r="BX16" s="18"/>
      <c r="BY16" s="19"/>
      <c r="BZ16" s="33" t="str" cm="1">
        <f t="array" ref="BZ16">_xlfn.IFS($D16="","",AND(BX16=$C16,BY16=$D16),3,($C16-$D16)/MAX(ABS($C16-$D16),1)=(BX16-BY16)/MAX(ABS(BX16-BY16),1),1,TRUE,0)</f>
        <v/>
      </c>
      <c r="CA16" s="18"/>
      <c r="CB16" s="19"/>
      <c r="CC16" s="33" t="str" cm="1">
        <f t="array" ref="CC16">_xlfn.IFS($D16="","",AND(CA16=$C16,CB16=$D16),3,($C16-$D16)/MAX(ABS($C16-$D16),1)=(CA16-CB16)/MAX(ABS(CA16-CB16),1),1,TRUE,0)</f>
        <v/>
      </c>
      <c r="CD16" s="18"/>
      <c r="CE16" s="19"/>
      <c r="CF16" s="33" t="str" cm="1">
        <f t="array" ref="CF16">_xlfn.IFS($D16="","",AND(CD16=$C16,CE16=$D16),3,($C16-$D16)/MAX(ABS($C16-$D16),1)=(CD16-CE16)/MAX(ABS(CD16-CE16),1),1,TRUE,0)</f>
        <v/>
      </c>
      <c r="CG16" s="18"/>
      <c r="CH16" s="19"/>
      <c r="CI16" s="33" t="str" cm="1">
        <f t="array" ref="CI16">_xlfn.IFS($D16="","",AND(CG16=$C16,CH16=$D16),3,($C16-$D16)/MAX(ABS($C16-$D16),1)=(CG16-CH16)/MAX(ABS(CG16-CH16),1),1,TRUE,0)</f>
        <v/>
      </c>
      <c r="CJ16" s="18"/>
      <c r="CK16" s="19"/>
      <c r="CL16" s="33" t="str" cm="1">
        <f t="array" ref="CL16">_xlfn.IFS($D16="","",AND(CJ16=$C16,CK16=$D16),3,($C16-$D16)/MAX(ABS($C16-$D16),1)=(CJ16-CK16)/MAX(ABS(CJ16-CK16),1),1,TRUE,0)</f>
        <v/>
      </c>
      <c r="CM16" s="18"/>
      <c r="CN16" s="19"/>
      <c r="CO16" s="33" t="str" cm="1">
        <f t="array" ref="CO16">_xlfn.IFS($D16="","",AND(CM16=$C16,CN16=$D16),3,($C16-$D16)/MAX(ABS($C16-$D16),1)=(CM16-CN16)/MAX(ABS(CM16-CN16),1),1,TRUE,0)</f>
        <v/>
      </c>
      <c r="CP16" s="18"/>
      <c r="CQ16" s="19"/>
      <c r="CR16" s="33" t="str" cm="1">
        <f t="array" ref="CR16">_xlfn.IFS($D16="","",AND(CP16=$C16,CQ16=$D16),3,($C16-$D16)/MAX(ABS($C16-$D16),1)=(CP16-CQ16)/MAX(ABS(CP16-CQ16),1),1,TRUE,0)</f>
        <v/>
      </c>
      <c r="CS16" s="18"/>
      <c r="CT16" s="19"/>
      <c r="CU16" s="33" t="str" cm="1">
        <f t="array" ref="CU16">_xlfn.IFS($D16="","",AND(CS16=$C16,CT16=$D16),3,($C16-$D16)/MAX(ABS($C16-$D16),1)=(CS16-CT16)/MAX(ABS(CS16-CT16),1),1,TRUE,0)</f>
        <v/>
      </c>
      <c r="CV16" s="18"/>
      <c r="CW16" s="19"/>
      <c r="CX16" s="33" t="str" cm="1">
        <f t="array" ref="CX16">_xlfn.IFS($D16="","",AND(CV16=$C16,CW16=$D16),3,($C16-$D16)/MAX(ABS($C16-$D16),1)=(CV16-CW16)/MAX(ABS(CV16-CW16),1),1,TRUE,0)</f>
        <v/>
      </c>
      <c r="CY16" s="18"/>
      <c r="CZ16" s="19"/>
      <c r="DA16" s="33" t="str" cm="1">
        <f t="array" ref="DA16">_xlfn.IFS($D16="","",AND(CY16=$C16,CZ16=$D16),3,($C16-$D16)/MAX(ABS($C16-$D16),1)=(CY16-CZ16)/MAX(ABS(CY16-CZ16),1),1,TRUE,0)</f>
        <v/>
      </c>
      <c r="DB16" s="37"/>
      <c r="DC16" s="38"/>
      <c r="DD16" s="33" t="str" cm="1">
        <f t="array" ref="DD16">_xlfn.IFS($D16="","",AND(DB16=$C16,DC16=$D16),3,($C16-$D16)/MAX(ABS($C16-$D16),1)=(DB16-DC16)/MAX(ABS(DB16-DC16),1),1,TRUE,0)</f>
        <v/>
      </c>
      <c r="DE16" s="18"/>
      <c r="DF16" s="19"/>
      <c r="DG16" s="33" t="str" cm="1">
        <f t="array" ref="DG16">_xlfn.IFS($D16="","",AND(DE16=$C16,DF16=$D16),3,($C16-$D16)/MAX(ABS($C16-$D16),1)=(DE16-DF16)/MAX(ABS(DE16-DF16),1),1,TRUE,0)</f>
        <v/>
      </c>
      <c r="DH16" s="18"/>
      <c r="DI16" s="19"/>
      <c r="DJ16" s="33" t="str" cm="1">
        <f t="array" ref="DJ16">_xlfn.IFS($D16="","",AND(DH16=$C16,DI16=$D16),3,($C16-$D16)/MAX(ABS($C16-$D16),1)=(DH16-DI16)/MAX(ABS(DH16-DI16),1),1,TRUE,0)</f>
        <v/>
      </c>
      <c r="DK16" s="18"/>
      <c r="DL16" s="19"/>
      <c r="DM16" s="33" t="str" cm="1">
        <f t="array" ref="DM16">_xlfn.IFS($D16="","",AND(DK16=$C16,DL16=$D16),3,($C16-$D16)/MAX(ABS($C16-$D16),1)=(DK16-DL16)/MAX(ABS(DK16-DL16),1),1,TRUE,0)</f>
        <v/>
      </c>
      <c r="DN16" s="18"/>
      <c r="DO16" s="19"/>
      <c r="DP16" s="33" t="str" cm="1">
        <f t="array" ref="DP16">_xlfn.IFS($D16="","",AND(DN16=$C16,DO16=$D16),3,($C16-$D16)/MAX(ABS($C16-$D16),1)=(DN16-DO16)/MAX(ABS(DN16-DO16),1),1,TRUE,0)</f>
        <v/>
      </c>
      <c r="DQ16" s="18"/>
      <c r="DR16" s="19"/>
      <c r="DS16" s="33" t="str" cm="1">
        <f t="array" ref="DS16">_xlfn.IFS($D16="","",AND(DQ16=$C16,DR16=$D16),3,($C16-$D16)/MAX(ABS($C16-$D16),1)=(DQ16-DR16)/MAX(ABS(DQ16-DR16),1),1,TRUE,0)</f>
        <v/>
      </c>
      <c r="DT16" s="18"/>
      <c r="DU16" s="19"/>
      <c r="DV16" s="33" t="str" cm="1">
        <f t="array" ref="DV16">_xlfn.IFS($D16="","",AND(DT16=$C16,DU16=$D16),3,($C16-$D16)/MAX(ABS($C16-$D16),1)=(DT16-DU16)/MAX(ABS(DT16-DU16),1),1,TRUE,0)</f>
        <v/>
      </c>
      <c r="DW16" s="18"/>
      <c r="DX16" s="19"/>
      <c r="DY16" s="33" t="str" cm="1">
        <f t="array" ref="DY16">_xlfn.IFS($D16="","",AND(DW16=$C16,DX16=$D16),3,($C16-$D16)/MAX(ABS($C16-$D16),1)=(DW16-DX16)/MAX(ABS(DW16-DX16),1),1,TRUE,0)</f>
        <v/>
      </c>
      <c r="DZ16" s="18"/>
      <c r="EA16" s="19"/>
      <c r="EB16" s="33" t="str" cm="1">
        <f t="array" ref="EB16">_xlfn.IFS($D16="","",AND(DZ16=$C16,EA16=$D16),3,($C16-$D16)/MAX(ABS($C16-$D16),1)=(DZ16-EA16)/MAX(ABS(DZ16-EA16),1),1,TRUE,0)</f>
        <v/>
      </c>
      <c r="EC16" s="18"/>
      <c r="ED16" s="19"/>
      <c r="EE16" s="33" t="str" cm="1">
        <f t="array" ref="EE16">_xlfn.IFS($D16="","",AND(EC16=$C16,ED16=$D16),3,($C16-$D16)/MAX(ABS($C16-$D16),1)=(EC16-ED16)/MAX(ABS(EC16-ED16),1),1,TRUE,0)</f>
        <v/>
      </c>
      <c r="EF16" s="18"/>
      <c r="EG16" s="19"/>
      <c r="EH16" s="33" t="str" cm="1">
        <f t="array" ref="EH16">_xlfn.IFS($D16="","",AND(EF16=$C16,EG16=$D16),3,($C16-$D16)/MAX(ABS($C16-$D16),1)=(EF16-EG16)/MAX(ABS(EF16-EG16),1),1,TRUE,0)</f>
        <v/>
      </c>
      <c r="EI16" s="43"/>
      <c r="EJ16" s="44"/>
      <c r="EK16" s="33" t="str" cm="1">
        <f t="array" ref="EK16">_xlfn.IFS($D16="","",AND(EI16=$C16,EJ16=$D16),3,($C16-$D16)/MAX(ABS($C16-$D16),1)=(EI16-EJ16)/MAX(ABS(EI16-EJ16),1),1,TRUE,0)</f>
        <v/>
      </c>
      <c r="EL16" s="18"/>
      <c r="EM16" s="19"/>
      <c r="EN16" s="33" t="str" cm="1">
        <f t="array" ref="EN16">_xlfn.IFS($D16="","",AND(EL16=$C16,EM16=$D16),3,($C16-$D16)/MAX(ABS($C16-$D16),1)=(EL16-EM16)/MAX(ABS(EL16-EM16),1),1,TRUE,0)</f>
        <v/>
      </c>
      <c r="EO16" s="18"/>
      <c r="EP16" s="19"/>
      <c r="EQ16" s="33" t="str" cm="1">
        <f t="array" ref="EQ16">_xlfn.IFS($D16="","",AND(EO16=$C16,EP16=$D16),3,($C16-$D16)/MAX(ABS($C16-$D16),1)=(EO16-EP16)/MAX(ABS(EO16-EP16),1),1,TRUE,0)</f>
        <v/>
      </c>
      <c r="ER16" s="18"/>
      <c r="ES16" s="19"/>
      <c r="ET16" s="33" t="str" cm="1">
        <f t="array" ref="ET16">_xlfn.IFS($D16="","",AND(ER16=$C16,ES16=$D16),3,($C16-$D16)/MAX(ABS($C16-$D16),1)=(ER16-ES16)/MAX(ABS(ER16-ES16),1),1,TRUE,0)</f>
        <v/>
      </c>
      <c r="EU16" s="18"/>
      <c r="EV16" s="19"/>
      <c r="EW16" s="33" t="str" cm="1">
        <f t="array" ref="EW16">_xlfn.IFS($D16="","",AND(EU16=$C16,EV16=$D16),3,($C16-$D16)/MAX(ABS($C16-$D16),1)=(EU16-EV16)/MAX(ABS(EU16-EV16),1),1,TRUE,0)</f>
        <v/>
      </c>
      <c r="EX16" s="18"/>
      <c r="EY16" s="19"/>
      <c r="EZ16" s="33" t="str" cm="1">
        <f t="array" ref="EZ16">_xlfn.IFS($D16="","",AND(EX16=$C16,EY16=$D16),3,($C16-$D16)/MAX(ABS($C16-$D16),1)=(EX16-EY16)/MAX(ABS(EX16-EY16),1),1,TRUE,0)</f>
        <v/>
      </c>
      <c r="FA16" s="18"/>
      <c r="FB16" s="19"/>
      <c r="FC16" s="33" t="str" cm="1">
        <f t="array" ref="FC16">_xlfn.IFS($D16="","",AND(FA16=$C16,FB16=$D16),3,($C16-$D16)/MAX(ABS($C16-$D16),1)=(FA16-FB16)/MAX(ABS(FA16-FB16),1),1,TRUE,0)</f>
        <v/>
      </c>
      <c r="FD16" s="18"/>
      <c r="FE16" s="19"/>
      <c r="FF16" s="33" t="str" cm="1">
        <f t="array" ref="FF16">_xlfn.IFS($D16="","",AND(FD16=$C16,FE16=$D16),3,($C16-$D16)/MAX(ABS($C16-$D16),1)=(FD16-FE16)/MAX(ABS(FD16-FE16),1),1,TRUE,0)</f>
        <v/>
      </c>
      <c r="FG16" s="18"/>
      <c r="FH16" s="19"/>
      <c r="FI16" s="33" t="str" cm="1">
        <f t="array" ref="FI16">_xlfn.IFS($D16="","",AND(FG16=$C16,FH16=$D16),3,($C16-$D16)/MAX(ABS($C16-$D16),1)=(FG16-FH16)/MAX(ABS(FG16-FH16),1),1,TRUE,0)</f>
        <v/>
      </c>
      <c r="FJ16" s="18"/>
      <c r="FK16" s="19"/>
      <c r="FL16" s="33" t="str" cm="1">
        <f t="array" ref="FL16">_xlfn.IFS($D16="","",AND(FJ16=$C16,FK16=$D16),3,($C16-$D16)/MAX(ABS($C16-$D16),1)=(FJ16-FK16)/MAX(ABS(FJ16-FK16),1),1,TRUE,0)</f>
        <v/>
      </c>
      <c r="FM16" s="18"/>
      <c r="FN16" s="19"/>
      <c r="FO16" s="33" t="str" cm="1">
        <f t="array" ref="FO16">_xlfn.IFS($D16="","",AND(FM16=$C16,FN16=$D16),3,($C16-$D16)/MAX(ABS($C16-$D16),1)=(FM16-FN16)/MAX(ABS(FM16-FN16),1),1,TRUE,0)</f>
        <v/>
      </c>
      <c r="FP16" s="18"/>
      <c r="FQ16" s="19"/>
      <c r="FR16" s="33" t="str" cm="1">
        <f t="array" ref="FR16">_xlfn.IFS($D16="","",AND(FP16=$C16,FQ16=$D16),3,($C16-$D16)/MAX(ABS($C16-$D16),1)=(FP16-FQ16)/MAX(ABS(FP16-FQ16),1),1,TRUE,0)</f>
        <v/>
      </c>
      <c r="FS16" s="18"/>
      <c r="FT16" s="19"/>
      <c r="FU16" s="33" t="str" cm="1">
        <f t="array" ref="FU16">_xlfn.IFS($D16="","",AND(FS16=$C16,FT16=$D16),3,($C16-$D16)/MAX(ABS($C16-$D16),1)=(FS16-FT16)/MAX(ABS(FS16-FT16),1),1,TRUE,0)</f>
        <v/>
      </c>
      <c r="FV16" s="18"/>
      <c r="FW16" s="19"/>
      <c r="FX16" s="33" t="str" cm="1">
        <f t="array" ref="FX16">_xlfn.IFS($D16="","",AND(FV16=$C16,FW16=$D16),3,($C16-$D16)/MAX(ABS($C16-$D16),1)=(FV16-FW16)/MAX(ABS(FV16-FW16),1),1,TRUE,0)</f>
        <v/>
      </c>
      <c r="FY16" s="18"/>
      <c r="FZ16" s="19"/>
      <c r="GA16" s="33" t="str" cm="1">
        <f t="array" ref="GA16">_xlfn.IFS($D16="","",AND(FY16=$C16,FZ16=$D16),3,($C16-$D16)/MAX(ABS($C16-$D16),1)=(FY16-FZ16)/MAX(ABS(FY16-FZ16),1),1,TRUE,0)</f>
        <v/>
      </c>
      <c r="GB16" s="18"/>
      <c r="GC16" s="19"/>
      <c r="GD16" s="33" t="str" cm="1">
        <f t="array" ref="GD16">_xlfn.IFS($D16="","",AND(GB16=$C16,GC16=$D16),3,($C16-$D16)/MAX(ABS($C16-$D16),1)=(GB16-GC16)/MAX(ABS(GB16-GC16),1),1,TRUE,0)</f>
        <v/>
      </c>
      <c r="GE16" s="47"/>
      <c r="GF16" s="45"/>
      <c r="GG16" s="33" t="str" cm="1">
        <f t="array" ref="GG16">_xlfn.IFS($D16="","",AND(GE16=$C16,GF16=$D16),3,($C16-$D16)/MAX(ABS($C16-$D16),1)=(GE16-GF16)/MAX(ABS(GE16-GF16),1),1,TRUE,0)</f>
        <v/>
      </c>
      <c r="GH16" s="18"/>
      <c r="GI16" s="19"/>
      <c r="GJ16" s="33" t="str" cm="1">
        <f t="array" ref="GJ16">_xlfn.IFS($D16="","",AND(GH16=$C16,GI16=$D16),3,($C16-$D16)/MAX(ABS($C16-$D16),1)=(GH16-GI16)/MAX(ABS(GH16-GI16),1),1,TRUE,0)</f>
        <v/>
      </c>
      <c r="GK16" s="18"/>
      <c r="GL16" s="19"/>
      <c r="GM16" s="33" t="str" cm="1">
        <f t="array" ref="GM16">_xlfn.IFS($D16="","",AND(GK16=$C16,GL16=$D16),3,($C16-$D16)/MAX(ABS($C16-$D16),1)=(GK16-GL16)/MAX(ABS(GK16-GL16),1),1,TRUE,0)</f>
        <v/>
      </c>
      <c r="GN16" s="18"/>
      <c r="GO16" s="19"/>
      <c r="GP16" s="33" t="str" cm="1">
        <f t="array" ref="GP16">_xlfn.IFS($D16="","",AND(GN16=$C16,GO16=$D16),3,($C16-$D16)/MAX(ABS($C16-$D16),1)=(GN16-GO16)/MAX(ABS(GN16-GO16),1),1,TRUE,0)</f>
        <v/>
      </c>
      <c r="GQ16" s="18"/>
      <c r="GR16" s="19"/>
      <c r="GS16" s="33" t="str" cm="1">
        <f t="array" ref="GS16">_xlfn.IFS($D16="","",AND(GQ16=$C16,GR16=$D16),3,($C16-$D16)/MAX(ABS($C16-$D16),1)=(GQ16-GR16)/MAX(ABS(GQ16-GR16),1),1,TRUE,0)</f>
        <v/>
      </c>
      <c r="GT16" s="18"/>
      <c r="GU16" s="19"/>
      <c r="GV16" s="33" t="str" cm="1">
        <f t="array" ref="GV16">_xlfn.IFS($D16="","",AND(GT16=$C16,GU16=$D16),3,($C16-$D16)/MAX(ABS($C16-$D16),1)=(GT16-GU16)/MAX(ABS(GT16-GU16),1),1,TRUE,0)</f>
        <v/>
      </c>
      <c r="GW16" s="18"/>
      <c r="GX16" s="19"/>
      <c r="GY16" s="33" t="str" cm="1">
        <f t="array" ref="GY16">_xlfn.IFS($D16="","",AND(GW16=$C16,GX16=$D16),3,($C16-$D16)/MAX(ABS($C16-$D16),1)=(GW16-GX16)/MAX(ABS(GW16-GX16),1),1,TRUE,0)</f>
        <v/>
      </c>
      <c r="GZ16" s="18"/>
      <c r="HA16" s="19"/>
      <c r="HB16" s="33" t="str" cm="1">
        <f t="array" ref="HB16">_xlfn.IFS($D16="","",AND(GZ16=$C16,HA16=$D16),3,($C16-$D16)/MAX(ABS($C16-$D16),1)=(GZ16-HA16)/MAX(ABS(GZ16-HA16),1),1,TRUE,0)</f>
        <v/>
      </c>
      <c r="HC16" s="18"/>
      <c r="HD16" s="19"/>
      <c r="HE16" s="33" t="str" cm="1">
        <f t="array" ref="HE16">_xlfn.IFS($D16="","",AND(HC16=$C16,HD16=$D16),3,($C16-$D16)/MAX(ABS($C16-$D16),1)=(HC16-HD16)/MAX(ABS(HC16-HD16),1),1,TRUE,0)</f>
        <v/>
      </c>
      <c r="HF16" s="18"/>
      <c r="HG16" s="19"/>
      <c r="HH16" s="33" t="str" cm="1">
        <f t="array" ref="HH16">_xlfn.IFS($D16="","",AND(HF16=$C16,HG16=$D16),3,($C16-$D16)/MAX(ABS($C16-$D16),1)=(HF16-HG16)/MAX(ABS(HF16-HG16),1),1,TRUE,0)</f>
        <v/>
      </c>
      <c r="HI16" s="18"/>
      <c r="HJ16" s="19"/>
      <c r="HK16" s="33" t="str" cm="1">
        <f t="array" ref="HK16">_xlfn.IFS($D16="","",AND(HI16=$C16,HJ16=$D16),3,($C16-$D16)/MAX(ABS($C16-$D16),1)=(HI16-HJ16)/MAX(ABS(HI16-HJ16),1),1,TRUE,0)</f>
        <v/>
      </c>
      <c r="HL16" s="18"/>
      <c r="HM16" s="19"/>
      <c r="HN16" s="33" t="str" cm="1">
        <f t="array" ref="HN16">_xlfn.IFS($D16="","",AND(HL16=$C16,HM16=$D16),3,($C16-$D16)/MAX(ABS($C16-$D16),1)=(HL16-HM16)/MAX(ABS(HL16-HM16),1),1,TRUE,0)</f>
        <v/>
      </c>
      <c r="HO16" s="18"/>
      <c r="HP16" s="19"/>
      <c r="HQ16" s="33" t="str" cm="1">
        <f t="array" ref="HQ16">_xlfn.IFS($D16="","",AND(HO16=$C16,HP16=$D16),3,($C16-$D16)/MAX(ABS($C16-$D16),1)=(HO16-HP16)/MAX(ABS(HO16-HP16),1),1,TRUE,0)</f>
        <v/>
      </c>
      <c r="HR16" s="18"/>
      <c r="HS16" s="19"/>
      <c r="HT16" s="33" t="str" cm="1">
        <f t="array" ref="HT16">_xlfn.IFS($D16="","",AND(HR16=$C16,HS16=$D16),3,($C16-$D16)/MAX(ABS($C16-$D16),1)=(HR16-HS16)/MAX(ABS(HR16-HS16),1),1,TRUE,0)</f>
        <v/>
      </c>
      <c r="HU16" s="18"/>
      <c r="HV16" s="19"/>
      <c r="HW16" s="33" t="str" cm="1">
        <f t="array" ref="HW16">_xlfn.IFS($D16="","",AND(HU16=$C16,HV16=$D16),3,($C16-$D16)/MAX(ABS($C16-$D16),1)=(HU16-HV16)/MAX(ABS(HU16-HV16),1),1,TRUE,0)</f>
        <v/>
      </c>
      <c r="HX16" s="18"/>
      <c r="HY16" s="19"/>
      <c r="HZ16" s="33" t="str" cm="1">
        <f t="array" ref="HZ16">_xlfn.IFS($D16="","",AND(HX16=$C16,HY16=$D16),3,($C16-$D16)/MAX(ABS($C16-$D16),1)=(HX16-HY16)/MAX(ABS(HX16-HY16),1),1,TRUE,0)</f>
        <v/>
      </c>
      <c r="IA16" s="18"/>
      <c r="IB16" s="19"/>
      <c r="IC16" s="33" t="str" cm="1">
        <f t="array" ref="IC16">_xlfn.IFS($D16="","",AND(IA16=$C16,IB16=$D16),3,($C16-$D16)/MAX(ABS($C16-$D16),1)=(IA16-IB16)/MAX(ABS(IA16-IB16),1),1,TRUE,0)</f>
        <v/>
      </c>
      <c r="ID16" s="18"/>
      <c r="IE16" s="19"/>
      <c r="IF16" s="33" t="str" cm="1">
        <f t="array" ref="IF16">_xlfn.IFS($D16="","",AND(ID16=$C16,IE16=$D16),3,($C16-$D16)/MAX(ABS($C16-$D16),1)=(ID16-IE16)/MAX(ABS(ID16-IE16),1),1,TRUE,0)</f>
        <v/>
      </c>
      <c r="IG16" s="18"/>
      <c r="IH16" s="19"/>
      <c r="II16" s="33" t="str" cm="1">
        <f t="array" ref="II16">_xlfn.IFS($D16="","",AND(IG16=$C16,IH16=$D16),3,($C16-$D16)/MAX(ABS($C16-$D16),1)=(IG16-IH16)/MAX(ABS(IG16-IH16),1),1,TRUE,0)</f>
        <v/>
      </c>
      <c r="IJ16" s="18"/>
      <c r="IK16" s="19"/>
      <c r="IL16" s="33" t="str" cm="1">
        <f t="array" ref="IL16">_xlfn.IFS($D16="","",AND(IJ16=$C16,IK16=$D16),3,($C16-$D16)/MAX(ABS($C16-$D16),1)=(IJ16-IK16)/MAX(ABS(IJ16-IK16),1),1,TRUE,0)</f>
        <v/>
      </c>
      <c r="IM16" s="18"/>
      <c r="IN16" s="19"/>
      <c r="IO16" s="33" t="str" cm="1">
        <f t="array" ref="IO16">_xlfn.IFS($D16="","",AND(IM16=$C16,IN16=$D16),3,($C16-$D16)/MAX(ABS($C16-$D16),1)=(IM16-IN16)/MAX(ABS(IM16-IN16),1),1,TRUE,0)</f>
        <v/>
      </c>
      <c r="IP16" s="18"/>
      <c r="IQ16" s="19"/>
      <c r="IR16" s="33" t="str" cm="1">
        <f t="array" ref="IR16">_xlfn.IFS($D16="","",AND(IP16=$C16,IQ16=$D16),3,($C16-$D16)/MAX(ABS($C16-$D16),1)=(IP16-IQ16)/MAX(ABS(IP16-IQ16),1),1,TRUE,0)</f>
        <v/>
      </c>
      <c r="IS16" s="18"/>
      <c r="IT16" s="19"/>
      <c r="IU16" s="33" t="str" cm="1">
        <f t="array" ref="IU16">_xlfn.IFS($D16="","",AND(IS16=$C16,IT16=$D16),3,($C16-$D16)/MAX(ABS($C16-$D16),1)=(IS16-IT16)/MAX(ABS(IS16-IT16),1),1,TRUE,0)</f>
        <v/>
      </c>
      <c r="IV16" s="18"/>
      <c r="IW16" s="19"/>
      <c r="IX16" s="33" t="str" cm="1">
        <f t="array" ref="IX16">_xlfn.IFS($D16="","",AND(IV16=$C16,IW16=$D16),3,($C16-$D16)/MAX(ABS($C16-$D16),1)=(IV16-IW16)/MAX(ABS(IV16-IW16),1),1,TRUE,0)</f>
        <v/>
      </c>
      <c r="IY16" s="18"/>
      <c r="IZ16" s="19"/>
      <c r="JA16" s="33" t="str" cm="1">
        <f t="array" ref="JA16">_xlfn.IFS($D16="","",AND(IY16=$C16,IZ16=$D16),3,($C16-$D16)/MAX(ABS($C16-$D16),1)=(IY16-IZ16)/MAX(ABS(IY16-IZ16),1),1,TRUE,0)</f>
        <v/>
      </c>
      <c r="JB16" s="18"/>
      <c r="JC16" s="19"/>
      <c r="JD16" s="33" t="str" cm="1">
        <f t="array" ref="JD16">_xlfn.IFS($D16="","",AND(JB16=$C16,JC16=$D16),3,($C16-$D16)/MAX(ABS($C16-$D16),1)=(JB16-JC16)/MAX(ABS(JB16-JC16),1),1,TRUE,0)</f>
        <v/>
      </c>
    </row>
    <row r="17" spans="1:264" ht="15" thickBot="1" x14ac:dyDescent="0.35">
      <c r="A17" s="22">
        <v>46189</v>
      </c>
      <c r="B17" s="28" t="s">
        <v>44</v>
      </c>
      <c r="C17" s="53" t="str" cm="1">
        <f t="array" ref="C17">_xlfn.LET(
_xlpm.x,_xlfn.XLOOKUP(1,(Scores_Fixtures[Date]=A17)*(Scores_Fixtures[Home.1]=B17),Scores_Fixtures[Score.1],""),
IF(_xlpm.x="","",_xlpm.x)
)</f>
        <v/>
      </c>
      <c r="D17" s="53" t="str" cm="1">
        <f t="array" ref="D17">_xlfn.LET(
_xlpm.x,_xlfn.XLOOKUP(1,(Scores_Fixtures[Date]=A17)*(Scores_Fixtures[Home.1]=B17),Scores_Fixtures[Score.2],""),
IF(_xlpm.x="","",_xlpm.x)
)</f>
        <v/>
      </c>
      <c r="E17" s="12" t="s">
        <v>53</v>
      </c>
      <c r="F17" s="15"/>
      <c r="G17" s="53"/>
      <c r="H17" s="53"/>
      <c r="I17" s="33" t="str" cm="1">
        <f t="array" ref="I17">_xlfn.IFS($D17="","",AND(G17=$C17,H17=$D17),3,($C17-$D17)/MAX(ABS($C17-$D17),1)=(G17-H17)/MAX(ABS(G17-H17),1),1,TRUE,0)</f>
        <v/>
      </c>
      <c r="J17" s="18"/>
      <c r="K17" s="19"/>
      <c r="L17" s="33" t="str" cm="1">
        <f t="array" ref="L17">_xlfn.IFS($D17="","",AND(J17=$C17,K17=$D17),3,($C17-$D17)/MAX(ABS($C17-$D17),1)=(J17-K17)/MAX(ABS(J17-K17),1),1,TRUE,0)</f>
        <v/>
      </c>
      <c r="M17" s="18"/>
      <c r="N17" s="19"/>
      <c r="O17" s="33" t="str" cm="1">
        <f t="array" ref="O17">_xlfn.IFS($D17="","",AND(M17=$C17,N17=$D17),3,($C17-$D17)/MAX(ABS($C17-$D17),1)=(M17-N17)/MAX(ABS(M17-N17),1),1,TRUE,0)</f>
        <v/>
      </c>
      <c r="P17" s="18"/>
      <c r="Q17" s="19"/>
      <c r="R17" s="33" t="str" cm="1">
        <f t="array" ref="R17">_xlfn.IFS($D17="","",AND(P17=$C17,Q17=$D17),3,($C17-$D17)/MAX(ABS($C17-$D17),1)=(P17-Q17)/MAX(ABS(P17-Q17),1),1,TRUE,0)</f>
        <v/>
      </c>
      <c r="S17" s="18"/>
      <c r="T17" s="19"/>
      <c r="U17" s="33" t="str" cm="1">
        <f t="array" ref="U17">_xlfn.IFS($D17="","",AND(S17=$C17,T17=$D17),3,($C17-$D17)/MAX(ABS($C17-$D17),1)=(S17-T17)/MAX(ABS(S17-T17),1),1,TRUE,0)</f>
        <v/>
      </c>
      <c r="V17" s="18"/>
      <c r="W17" s="19"/>
      <c r="X17" s="33" t="str" cm="1">
        <f t="array" ref="X17">_xlfn.IFS($D17="","",AND(V17=$C17,W17=$D17),3,($C17-$D17)/MAX(ABS($C17-$D17),1)=(V17-W17)/MAX(ABS(V17-W17),1),1,TRUE,0)</f>
        <v/>
      </c>
      <c r="Y17" s="18"/>
      <c r="Z17" s="19"/>
      <c r="AA17" s="33" t="str" cm="1">
        <f t="array" ref="AA17">_xlfn.IFS($D17="","",AND(Y17=$C17,Z17=$D17),3,($C17-$D17)/MAX(ABS($C17-$D17),1)=(Y17-Z17)/MAX(ABS(Y17-Z17),1),1,TRUE,0)</f>
        <v/>
      </c>
      <c r="AB17" s="18"/>
      <c r="AC17" s="19"/>
      <c r="AD17" s="33" t="str" cm="1">
        <f t="array" ref="AD17">_xlfn.IFS($D17="","",AND(AB17=$C17,AC17=$D17),3,($C17-$D17)/MAX(ABS($C17-$D17),1)=(AB17-AC17)/MAX(ABS(AB17-AC17),1),1,TRUE,0)</f>
        <v/>
      </c>
      <c r="AE17" s="18"/>
      <c r="AF17" s="19"/>
      <c r="AG17" s="33" t="str" cm="1">
        <f t="array" ref="AG17">_xlfn.IFS($D17="","",AND(AE17=$C17,AF17=$D17),3,($C17-$D17)/MAX(ABS($C17-$D17),1)=(AE17-AF17)/MAX(ABS(AE17-AF17),1),1,TRUE,0)</f>
        <v/>
      </c>
      <c r="AH17" s="18"/>
      <c r="AI17" s="19"/>
      <c r="AJ17" s="33" t="str" cm="1">
        <f t="array" ref="AJ17">_xlfn.IFS($D17="","",AND(AH17=$C17,AI17=$D17),3,($C17-$D17)/MAX(ABS($C17-$D17),1)=(AH17-AI17)/MAX(ABS(AH17-AI17),1),1,TRUE,0)</f>
        <v/>
      </c>
      <c r="AK17" s="18"/>
      <c r="AL17" s="19"/>
      <c r="AM17" s="33" t="str" cm="1">
        <f t="array" ref="AM17">_xlfn.IFS($D17="","",AND(AK17=$C17,AL17=$D17),3,($C17-$D17)/MAX(ABS($C17-$D17),1)=(AK17-AL17)/MAX(ABS(AK17-AL17),1),1,TRUE,0)</f>
        <v/>
      </c>
      <c r="AN17" s="18"/>
      <c r="AO17" s="19"/>
      <c r="AP17" s="33" t="str" cm="1">
        <f t="array" ref="AP17">_xlfn.IFS($D17="","",AND(AN17=$C17,AO17=$D17),3,($C17-$D17)/MAX(ABS($C17-$D17),1)=(AN17-AO17)/MAX(ABS(AN17-AO17),1),1,TRUE,0)</f>
        <v/>
      </c>
      <c r="AQ17" s="18"/>
      <c r="AR17" s="19"/>
      <c r="AS17" s="33" t="str" cm="1">
        <f t="array" ref="AS17">_xlfn.IFS($D17="","",AND(AQ17=$C17,AR17=$D17),3,($C17-$D17)/MAX(ABS($C17-$D17),1)=(AQ17-AR17)/MAX(ABS(AQ17-AR17),1),1,TRUE,0)</f>
        <v/>
      </c>
      <c r="AT17" s="18"/>
      <c r="AU17" s="19"/>
      <c r="AV17" s="33" t="str" cm="1">
        <f t="array" ref="AV17">_xlfn.IFS($D17="","",AND(AT17=$C17,AU17=$D17),3,($C17-$D17)/MAX(ABS($C17-$D17),1)=(AT17-AU17)/MAX(ABS(AT17-AU17),1),1,TRUE,0)</f>
        <v/>
      </c>
      <c r="AW17" s="18"/>
      <c r="AX17" s="19"/>
      <c r="AY17" s="33" t="str" cm="1">
        <f t="array" ref="AY17">_xlfn.IFS($D17="","",AND(AW17=$C17,AX17=$D17),3,($C17-$D17)/MAX(ABS($C17-$D17),1)=(AW17-AX17)/MAX(ABS(AW17-AX17),1),1,TRUE,0)</f>
        <v/>
      </c>
      <c r="AZ17" s="18"/>
      <c r="BA17" s="19"/>
      <c r="BB17" s="33" t="str" cm="1">
        <f t="array" ref="BB17">_xlfn.IFS($D17="","",AND(AZ17=$C17,BA17=$D17),3,($C17-$D17)/MAX(ABS($C17-$D17),1)=(AZ17-BA17)/MAX(ABS(AZ17-BA17),1),1,TRUE,0)</f>
        <v/>
      </c>
      <c r="BC17" s="18"/>
      <c r="BD17" s="19"/>
      <c r="BE17" s="33" t="str" cm="1">
        <f t="array" ref="BE17">_xlfn.IFS($D17="","",AND(BC17=$C17,BD17=$D17),3,($C17-$D17)/MAX(ABS($C17-$D17),1)=(BC17-BD17)/MAX(ABS(BC17-BD17),1),1,TRUE,0)</f>
        <v/>
      </c>
      <c r="BF17" s="18"/>
      <c r="BG17" s="19"/>
      <c r="BH17" s="33" t="str" cm="1">
        <f t="array" ref="BH17">_xlfn.IFS($D17="","",AND(BF17=$C17,BG17=$D17),3,($C17-$D17)/MAX(ABS($C17-$D17),1)=(BF17-BG17)/MAX(ABS(BF17-BG17),1),1,TRUE,0)</f>
        <v/>
      </c>
      <c r="BI17" s="18"/>
      <c r="BJ17" s="19"/>
      <c r="BK17" s="33" t="str" cm="1">
        <f t="array" ref="BK17">_xlfn.IFS($D17="","",AND(BI17=$C17,BJ17=$D17),3,($C17-$D17)/MAX(ABS($C17-$D17),1)=(BI17-BJ17)/MAX(ABS(BI17-BJ17),1),1,TRUE,0)</f>
        <v/>
      </c>
      <c r="BL17" s="18"/>
      <c r="BM17" s="19"/>
      <c r="BN17" s="33" t="str" cm="1">
        <f t="array" ref="BN17">_xlfn.IFS($D17="","",AND(BL17=$C17,BM17=$D17),3,($C17-$D17)/MAX(ABS($C17-$D17),1)=(BL17-BM17)/MAX(ABS(BL17-BM17),1),1,TRUE,0)</f>
        <v/>
      </c>
      <c r="BO17" s="18"/>
      <c r="BP17" s="19"/>
      <c r="BQ17" s="33" t="str" cm="1">
        <f t="array" ref="BQ17">_xlfn.IFS($D17="","",AND(BO17=$C17,BP17=$D17),3,($C17-$D17)/MAX(ABS($C17-$D17),1)=(BO17-BP17)/MAX(ABS(BO17-BP17),1),1,TRUE,0)</f>
        <v/>
      </c>
      <c r="BR17" s="18"/>
      <c r="BS17" s="19"/>
      <c r="BT17" s="33" t="str" cm="1">
        <f t="array" ref="BT17">_xlfn.IFS($D17="","",AND(BR17=$C17,BS17=$D17),3,($C17-$D17)/MAX(ABS($C17-$D17),1)=(BR17-BS17)/MAX(ABS(BR17-BS17),1),1,TRUE,0)</f>
        <v/>
      </c>
      <c r="BU17" s="18"/>
      <c r="BV17" s="19"/>
      <c r="BW17" s="33" t="str" cm="1">
        <f t="array" ref="BW17">_xlfn.IFS($D17="","",AND(BU17=$C17,BV17=$D17),3,($C17-$D17)/MAX(ABS($C17-$D17),1)=(BU17-BV17)/MAX(ABS(BU17-BV17),1),1,TRUE,0)</f>
        <v/>
      </c>
      <c r="BX17" s="18"/>
      <c r="BY17" s="19"/>
      <c r="BZ17" s="33" t="str" cm="1">
        <f t="array" ref="BZ17">_xlfn.IFS($D17="","",AND(BX17=$C17,BY17=$D17),3,($C17-$D17)/MAX(ABS($C17-$D17),1)=(BX17-BY17)/MAX(ABS(BX17-BY17),1),1,TRUE,0)</f>
        <v/>
      </c>
      <c r="CA17" s="18"/>
      <c r="CB17" s="19"/>
      <c r="CC17" s="33" t="str" cm="1">
        <f t="array" ref="CC17">_xlfn.IFS($D17="","",AND(CA17=$C17,CB17=$D17),3,($C17-$D17)/MAX(ABS($C17-$D17),1)=(CA17-CB17)/MAX(ABS(CA17-CB17),1),1,TRUE,0)</f>
        <v/>
      </c>
      <c r="CD17" s="18"/>
      <c r="CE17" s="19"/>
      <c r="CF17" s="33" t="str" cm="1">
        <f t="array" ref="CF17">_xlfn.IFS($D17="","",AND(CD17=$C17,CE17=$D17),3,($C17-$D17)/MAX(ABS($C17-$D17),1)=(CD17-CE17)/MAX(ABS(CD17-CE17),1),1,TRUE,0)</f>
        <v/>
      </c>
      <c r="CG17" s="18"/>
      <c r="CH17" s="19"/>
      <c r="CI17" s="33" t="str" cm="1">
        <f t="array" ref="CI17">_xlfn.IFS($D17="","",AND(CG17=$C17,CH17=$D17),3,($C17-$D17)/MAX(ABS($C17-$D17),1)=(CG17-CH17)/MAX(ABS(CG17-CH17),1),1,TRUE,0)</f>
        <v/>
      </c>
      <c r="CJ17" s="18"/>
      <c r="CK17" s="19"/>
      <c r="CL17" s="33" t="str" cm="1">
        <f t="array" ref="CL17">_xlfn.IFS($D17="","",AND(CJ17=$C17,CK17=$D17),3,($C17-$D17)/MAX(ABS($C17-$D17),1)=(CJ17-CK17)/MAX(ABS(CJ17-CK17),1),1,TRUE,0)</f>
        <v/>
      </c>
      <c r="CM17" s="18"/>
      <c r="CN17" s="19"/>
      <c r="CO17" s="33" t="str" cm="1">
        <f t="array" ref="CO17">_xlfn.IFS($D17="","",AND(CM17=$C17,CN17=$D17),3,($C17-$D17)/MAX(ABS($C17-$D17),1)=(CM17-CN17)/MAX(ABS(CM17-CN17),1),1,TRUE,0)</f>
        <v/>
      </c>
      <c r="CP17" s="18"/>
      <c r="CQ17" s="19"/>
      <c r="CR17" s="33" t="str" cm="1">
        <f t="array" ref="CR17">_xlfn.IFS($D17="","",AND(CP17=$C17,CQ17=$D17),3,($C17-$D17)/MAX(ABS($C17-$D17),1)=(CP17-CQ17)/MAX(ABS(CP17-CQ17),1),1,TRUE,0)</f>
        <v/>
      </c>
      <c r="CS17" s="18"/>
      <c r="CT17" s="19"/>
      <c r="CU17" s="33" t="str" cm="1">
        <f t="array" ref="CU17">_xlfn.IFS($D17="","",AND(CS17=$C17,CT17=$D17),3,($C17-$D17)/MAX(ABS($C17-$D17),1)=(CS17-CT17)/MAX(ABS(CS17-CT17),1),1,TRUE,0)</f>
        <v/>
      </c>
      <c r="CV17" s="18"/>
      <c r="CW17" s="19"/>
      <c r="CX17" s="33" t="str" cm="1">
        <f t="array" ref="CX17">_xlfn.IFS($D17="","",AND(CV17=$C17,CW17=$D17),3,($C17-$D17)/MAX(ABS($C17-$D17),1)=(CV17-CW17)/MAX(ABS(CV17-CW17),1),1,TRUE,0)</f>
        <v/>
      </c>
      <c r="CY17" s="18"/>
      <c r="CZ17" s="19"/>
      <c r="DA17" s="33" t="str" cm="1">
        <f t="array" ref="DA17">_xlfn.IFS($D17="","",AND(CY17=$C17,CZ17=$D17),3,($C17-$D17)/MAX(ABS($C17-$D17),1)=(CY17-CZ17)/MAX(ABS(CY17-CZ17),1),1,TRUE,0)</f>
        <v/>
      </c>
      <c r="DB17" s="37"/>
      <c r="DC17" s="38"/>
      <c r="DD17" s="33" t="str" cm="1">
        <f t="array" ref="DD17">_xlfn.IFS($D17="","",AND(DB17=$C17,DC17=$D17),3,($C17-$D17)/MAX(ABS($C17-$D17),1)=(DB17-DC17)/MAX(ABS(DB17-DC17),1),1,TRUE,0)</f>
        <v/>
      </c>
      <c r="DE17" s="18"/>
      <c r="DF17" s="19"/>
      <c r="DG17" s="33" t="str" cm="1">
        <f t="array" ref="DG17">_xlfn.IFS($D17="","",AND(DE17=$C17,DF17=$D17),3,($C17-$D17)/MAX(ABS($C17-$D17),1)=(DE17-DF17)/MAX(ABS(DE17-DF17),1),1,TRUE,0)</f>
        <v/>
      </c>
      <c r="DH17" s="18"/>
      <c r="DI17" s="19"/>
      <c r="DJ17" s="33" t="str" cm="1">
        <f t="array" ref="DJ17">_xlfn.IFS($D17="","",AND(DH17=$C17,DI17=$D17),3,($C17-$D17)/MAX(ABS($C17-$D17),1)=(DH17-DI17)/MAX(ABS(DH17-DI17),1),1,TRUE,0)</f>
        <v/>
      </c>
      <c r="DK17" s="18"/>
      <c r="DL17" s="19"/>
      <c r="DM17" s="33" t="str" cm="1">
        <f t="array" ref="DM17">_xlfn.IFS($D17="","",AND(DK17=$C17,DL17=$D17),3,($C17-$D17)/MAX(ABS($C17-$D17),1)=(DK17-DL17)/MAX(ABS(DK17-DL17),1),1,TRUE,0)</f>
        <v/>
      </c>
      <c r="DN17" s="18"/>
      <c r="DO17" s="19"/>
      <c r="DP17" s="33" t="str" cm="1">
        <f t="array" ref="DP17">_xlfn.IFS($D17="","",AND(DN17=$C17,DO17=$D17),3,($C17-$D17)/MAX(ABS($C17-$D17),1)=(DN17-DO17)/MAX(ABS(DN17-DO17),1),1,TRUE,0)</f>
        <v/>
      </c>
      <c r="DQ17" s="18"/>
      <c r="DR17" s="19"/>
      <c r="DS17" s="33" t="str" cm="1">
        <f t="array" ref="DS17">_xlfn.IFS($D17="","",AND(DQ17=$C17,DR17=$D17),3,($C17-$D17)/MAX(ABS($C17-$D17),1)=(DQ17-DR17)/MAX(ABS(DQ17-DR17),1),1,TRUE,0)</f>
        <v/>
      </c>
      <c r="DT17" s="18"/>
      <c r="DU17" s="19"/>
      <c r="DV17" s="33" t="str" cm="1">
        <f t="array" ref="DV17">_xlfn.IFS($D17="","",AND(DT17=$C17,DU17=$D17),3,($C17-$D17)/MAX(ABS($C17-$D17),1)=(DT17-DU17)/MAX(ABS(DT17-DU17),1),1,TRUE,0)</f>
        <v/>
      </c>
      <c r="DW17" s="18"/>
      <c r="DX17" s="19"/>
      <c r="DY17" s="33" t="str" cm="1">
        <f t="array" ref="DY17">_xlfn.IFS($D17="","",AND(DW17=$C17,DX17=$D17),3,($C17-$D17)/MAX(ABS($C17-$D17),1)=(DW17-DX17)/MAX(ABS(DW17-DX17),1),1,TRUE,0)</f>
        <v/>
      </c>
      <c r="DZ17" s="18"/>
      <c r="EA17" s="19"/>
      <c r="EB17" s="33" t="str" cm="1">
        <f t="array" ref="EB17">_xlfn.IFS($D17="","",AND(DZ17=$C17,EA17=$D17),3,($C17-$D17)/MAX(ABS($C17-$D17),1)=(DZ17-EA17)/MAX(ABS(DZ17-EA17),1),1,TRUE,0)</f>
        <v/>
      </c>
      <c r="EC17" s="18"/>
      <c r="ED17" s="19"/>
      <c r="EE17" s="33" t="str" cm="1">
        <f t="array" ref="EE17">_xlfn.IFS($D17="","",AND(EC17=$C17,ED17=$D17),3,($C17-$D17)/MAX(ABS($C17-$D17),1)=(EC17-ED17)/MAX(ABS(EC17-ED17),1),1,TRUE,0)</f>
        <v/>
      </c>
      <c r="EF17" s="18"/>
      <c r="EG17" s="19"/>
      <c r="EH17" s="33" t="str" cm="1">
        <f t="array" ref="EH17">_xlfn.IFS($D17="","",AND(EF17=$C17,EG17=$D17),3,($C17-$D17)/MAX(ABS($C17-$D17),1)=(EF17-EG17)/MAX(ABS(EF17-EG17),1),1,TRUE,0)</f>
        <v/>
      </c>
      <c r="EI17" s="43"/>
      <c r="EJ17" s="44"/>
      <c r="EK17" s="33" t="str" cm="1">
        <f t="array" ref="EK17">_xlfn.IFS($D17="","",AND(EI17=$C17,EJ17=$D17),3,($C17-$D17)/MAX(ABS($C17-$D17),1)=(EI17-EJ17)/MAX(ABS(EI17-EJ17),1),1,TRUE,0)</f>
        <v/>
      </c>
      <c r="EL17" s="18"/>
      <c r="EM17" s="19"/>
      <c r="EN17" s="33" t="str" cm="1">
        <f t="array" ref="EN17">_xlfn.IFS($D17="","",AND(EL17=$C17,EM17=$D17),3,($C17-$D17)/MAX(ABS($C17-$D17),1)=(EL17-EM17)/MAX(ABS(EL17-EM17),1),1,TRUE,0)</f>
        <v/>
      </c>
      <c r="EO17" s="18"/>
      <c r="EP17" s="19"/>
      <c r="EQ17" s="33" t="str" cm="1">
        <f t="array" ref="EQ17">_xlfn.IFS($D17="","",AND(EO17=$C17,EP17=$D17),3,($C17-$D17)/MAX(ABS($C17-$D17),1)=(EO17-EP17)/MAX(ABS(EO17-EP17),1),1,TRUE,0)</f>
        <v/>
      </c>
      <c r="ER17" s="18"/>
      <c r="ES17" s="19"/>
      <c r="ET17" s="33" t="str" cm="1">
        <f t="array" ref="ET17">_xlfn.IFS($D17="","",AND(ER17=$C17,ES17=$D17),3,($C17-$D17)/MAX(ABS($C17-$D17),1)=(ER17-ES17)/MAX(ABS(ER17-ES17),1),1,TRUE,0)</f>
        <v/>
      </c>
      <c r="EU17" s="18"/>
      <c r="EV17" s="19"/>
      <c r="EW17" s="33" t="str" cm="1">
        <f t="array" ref="EW17">_xlfn.IFS($D17="","",AND(EU17=$C17,EV17=$D17),3,($C17-$D17)/MAX(ABS($C17-$D17),1)=(EU17-EV17)/MAX(ABS(EU17-EV17),1),1,TRUE,0)</f>
        <v/>
      </c>
      <c r="EX17" s="18"/>
      <c r="EY17" s="19"/>
      <c r="EZ17" s="33" t="str" cm="1">
        <f t="array" ref="EZ17">_xlfn.IFS($D17="","",AND(EX17=$C17,EY17=$D17),3,($C17-$D17)/MAX(ABS($C17-$D17),1)=(EX17-EY17)/MAX(ABS(EX17-EY17),1),1,TRUE,0)</f>
        <v/>
      </c>
      <c r="FA17" s="18"/>
      <c r="FB17" s="19"/>
      <c r="FC17" s="33" t="str" cm="1">
        <f t="array" ref="FC17">_xlfn.IFS($D17="","",AND(FA17=$C17,FB17=$D17),3,($C17-$D17)/MAX(ABS($C17-$D17),1)=(FA17-FB17)/MAX(ABS(FA17-FB17),1),1,TRUE,0)</f>
        <v/>
      </c>
      <c r="FD17" s="18"/>
      <c r="FE17" s="19"/>
      <c r="FF17" s="33" t="str" cm="1">
        <f t="array" ref="FF17">_xlfn.IFS($D17="","",AND(FD17=$C17,FE17=$D17),3,($C17-$D17)/MAX(ABS($C17-$D17),1)=(FD17-FE17)/MAX(ABS(FD17-FE17),1),1,TRUE,0)</f>
        <v/>
      </c>
      <c r="FG17" s="18"/>
      <c r="FH17" s="19"/>
      <c r="FI17" s="33" t="str" cm="1">
        <f t="array" ref="FI17">_xlfn.IFS($D17="","",AND(FG17=$C17,FH17=$D17),3,($C17-$D17)/MAX(ABS($C17-$D17),1)=(FG17-FH17)/MAX(ABS(FG17-FH17),1),1,TRUE,0)</f>
        <v/>
      </c>
      <c r="FJ17" s="18"/>
      <c r="FK17" s="19"/>
      <c r="FL17" s="33" t="str" cm="1">
        <f t="array" ref="FL17">_xlfn.IFS($D17="","",AND(FJ17=$C17,FK17=$D17),3,($C17-$D17)/MAX(ABS($C17-$D17),1)=(FJ17-FK17)/MAX(ABS(FJ17-FK17),1),1,TRUE,0)</f>
        <v/>
      </c>
      <c r="FM17" s="18"/>
      <c r="FN17" s="19"/>
      <c r="FO17" s="33" t="str" cm="1">
        <f t="array" ref="FO17">_xlfn.IFS($D17="","",AND(FM17=$C17,FN17=$D17),3,($C17-$D17)/MAX(ABS($C17-$D17),1)=(FM17-FN17)/MAX(ABS(FM17-FN17),1),1,TRUE,0)</f>
        <v/>
      </c>
      <c r="FP17" s="18"/>
      <c r="FQ17" s="19"/>
      <c r="FR17" s="33" t="str" cm="1">
        <f t="array" ref="FR17">_xlfn.IFS($D17="","",AND(FP17=$C17,FQ17=$D17),3,($C17-$D17)/MAX(ABS($C17-$D17),1)=(FP17-FQ17)/MAX(ABS(FP17-FQ17),1),1,TRUE,0)</f>
        <v/>
      </c>
      <c r="FS17" s="18"/>
      <c r="FT17" s="19"/>
      <c r="FU17" s="33" t="str" cm="1">
        <f t="array" ref="FU17">_xlfn.IFS($D17="","",AND(FS17=$C17,FT17=$D17),3,($C17-$D17)/MAX(ABS($C17-$D17),1)=(FS17-FT17)/MAX(ABS(FS17-FT17),1),1,TRUE,0)</f>
        <v/>
      </c>
      <c r="FV17" s="18"/>
      <c r="FW17" s="19"/>
      <c r="FX17" s="33" t="str" cm="1">
        <f t="array" ref="FX17">_xlfn.IFS($D17="","",AND(FV17=$C17,FW17=$D17),3,($C17-$D17)/MAX(ABS($C17-$D17),1)=(FV17-FW17)/MAX(ABS(FV17-FW17),1),1,TRUE,0)</f>
        <v/>
      </c>
      <c r="FY17" s="18"/>
      <c r="FZ17" s="19"/>
      <c r="GA17" s="33" t="str" cm="1">
        <f t="array" ref="GA17">_xlfn.IFS($D17="","",AND(FY17=$C17,FZ17=$D17),3,($C17-$D17)/MAX(ABS($C17-$D17),1)=(FY17-FZ17)/MAX(ABS(FY17-FZ17),1),1,TRUE,0)</f>
        <v/>
      </c>
      <c r="GB17" s="18"/>
      <c r="GC17" s="19"/>
      <c r="GD17" s="33" t="str" cm="1">
        <f t="array" ref="GD17">_xlfn.IFS($D17="","",AND(GB17=$C17,GC17=$D17),3,($C17-$D17)/MAX(ABS($C17-$D17),1)=(GB17-GC17)/MAX(ABS(GB17-GC17),1),1,TRUE,0)</f>
        <v/>
      </c>
      <c r="GE17" s="47"/>
      <c r="GF17" s="45"/>
      <c r="GG17" s="33" t="str" cm="1">
        <f t="array" ref="GG17">_xlfn.IFS($D17="","",AND(GE17=$C17,GF17=$D17),3,($C17-$D17)/MAX(ABS($C17-$D17),1)=(GE17-GF17)/MAX(ABS(GE17-GF17),1),1,TRUE,0)</f>
        <v/>
      </c>
      <c r="GH17" s="18"/>
      <c r="GI17" s="19"/>
      <c r="GJ17" s="33" t="str" cm="1">
        <f t="array" ref="GJ17">_xlfn.IFS($D17="","",AND(GH17=$C17,GI17=$D17),3,($C17-$D17)/MAX(ABS($C17-$D17),1)=(GH17-GI17)/MAX(ABS(GH17-GI17),1),1,TRUE,0)</f>
        <v/>
      </c>
      <c r="GK17" s="18"/>
      <c r="GL17" s="19"/>
      <c r="GM17" s="33" t="str" cm="1">
        <f t="array" ref="GM17">_xlfn.IFS($D17="","",AND(GK17=$C17,GL17=$D17),3,($C17-$D17)/MAX(ABS($C17-$D17),1)=(GK17-GL17)/MAX(ABS(GK17-GL17),1),1,TRUE,0)</f>
        <v/>
      </c>
      <c r="GN17" s="18"/>
      <c r="GO17" s="19"/>
      <c r="GP17" s="33" t="str" cm="1">
        <f t="array" ref="GP17">_xlfn.IFS($D17="","",AND(GN17=$C17,GO17=$D17),3,($C17-$D17)/MAX(ABS($C17-$D17),1)=(GN17-GO17)/MAX(ABS(GN17-GO17),1),1,TRUE,0)</f>
        <v/>
      </c>
      <c r="GQ17" s="18"/>
      <c r="GR17" s="19"/>
      <c r="GS17" s="33" t="str" cm="1">
        <f t="array" ref="GS17">_xlfn.IFS($D17="","",AND(GQ17=$C17,GR17=$D17),3,($C17-$D17)/MAX(ABS($C17-$D17),1)=(GQ17-GR17)/MAX(ABS(GQ17-GR17),1),1,TRUE,0)</f>
        <v/>
      </c>
      <c r="GT17" s="18"/>
      <c r="GU17" s="19"/>
      <c r="GV17" s="33" t="str" cm="1">
        <f t="array" ref="GV17">_xlfn.IFS($D17="","",AND(GT17=$C17,GU17=$D17),3,($C17-$D17)/MAX(ABS($C17-$D17),1)=(GT17-GU17)/MAX(ABS(GT17-GU17),1),1,TRUE,0)</f>
        <v/>
      </c>
      <c r="GW17" s="18"/>
      <c r="GX17" s="19"/>
      <c r="GY17" s="33" t="str" cm="1">
        <f t="array" ref="GY17">_xlfn.IFS($D17="","",AND(GW17=$C17,GX17=$D17),3,($C17-$D17)/MAX(ABS($C17-$D17),1)=(GW17-GX17)/MAX(ABS(GW17-GX17),1),1,TRUE,0)</f>
        <v/>
      </c>
      <c r="GZ17" s="18"/>
      <c r="HA17" s="19"/>
      <c r="HB17" s="33" t="str" cm="1">
        <f t="array" ref="HB17">_xlfn.IFS($D17="","",AND(GZ17=$C17,HA17=$D17),3,($C17-$D17)/MAX(ABS($C17-$D17),1)=(GZ17-HA17)/MAX(ABS(GZ17-HA17),1),1,TRUE,0)</f>
        <v/>
      </c>
      <c r="HC17" s="18"/>
      <c r="HD17" s="19"/>
      <c r="HE17" s="33" t="str" cm="1">
        <f t="array" ref="HE17">_xlfn.IFS($D17="","",AND(HC17=$C17,HD17=$D17),3,($C17-$D17)/MAX(ABS($C17-$D17),1)=(HC17-HD17)/MAX(ABS(HC17-HD17),1),1,TRUE,0)</f>
        <v/>
      </c>
      <c r="HF17" s="18"/>
      <c r="HG17" s="19"/>
      <c r="HH17" s="33" t="str" cm="1">
        <f t="array" ref="HH17">_xlfn.IFS($D17="","",AND(HF17=$C17,HG17=$D17),3,($C17-$D17)/MAX(ABS($C17-$D17),1)=(HF17-HG17)/MAX(ABS(HF17-HG17),1),1,TRUE,0)</f>
        <v/>
      </c>
      <c r="HI17" s="18"/>
      <c r="HJ17" s="19"/>
      <c r="HK17" s="33" t="str" cm="1">
        <f t="array" ref="HK17">_xlfn.IFS($D17="","",AND(HI17=$C17,HJ17=$D17),3,($C17-$D17)/MAX(ABS($C17-$D17),1)=(HI17-HJ17)/MAX(ABS(HI17-HJ17),1),1,TRUE,0)</f>
        <v/>
      </c>
      <c r="HL17" s="18"/>
      <c r="HM17" s="19"/>
      <c r="HN17" s="33" t="str" cm="1">
        <f t="array" ref="HN17">_xlfn.IFS($D17="","",AND(HL17=$C17,HM17=$D17),3,($C17-$D17)/MAX(ABS($C17-$D17),1)=(HL17-HM17)/MAX(ABS(HL17-HM17),1),1,TRUE,0)</f>
        <v/>
      </c>
      <c r="HO17" s="18"/>
      <c r="HP17" s="19"/>
      <c r="HQ17" s="33" t="str" cm="1">
        <f t="array" ref="HQ17">_xlfn.IFS($D17="","",AND(HO17=$C17,HP17=$D17),3,($C17-$D17)/MAX(ABS($C17-$D17),1)=(HO17-HP17)/MAX(ABS(HO17-HP17),1),1,TRUE,0)</f>
        <v/>
      </c>
      <c r="HR17" s="18"/>
      <c r="HS17" s="19"/>
      <c r="HT17" s="33" t="str" cm="1">
        <f t="array" ref="HT17">_xlfn.IFS($D17="","",AND(HR17=$C17,HS17=$D17),3,($C17-$D17)/MAX(ABS($C17-$D17),1)=(HR17-HS17)/MAX(ABS(HR17-HS17),1),1,TRUE,0)</f>
        <v/>
      </c>
      <c r="HU17" s="18"/>
      <c r="HV17" s="19"/>
      <c r="HW17" s="33" t="str" cm="1">
        <f t="array" ref="HW17">_xlfn.IFS($D17="","",AND(HU17=$C17,HV17=$D17),3,($C17-$D17)/MAX(ABS($C17-$D17),1)=(HU17-HV17)/MAX(ABS(HU17-HV17),1),1,TRUE,0)</f>
        <v/>
      </c>
      <c r="HX17" s="18"/>
      <c r="HY17" s="19"/>
      <c r="HZ17" s="33" t="str" cm="1">
        <f t="array" ref="HZ17">_xlfn.IFS($D17="","",AND(HX17=$C17,HY17=$D17),3,($C17-$D17)/MAX(ABS($C17-$D17),1)=(HX17-HY17)/MAX(ABS(HX17-HY17),1),1,TRUE,0)</f>
        <v/>
      </c>
      <c r="IA17" s="18"/>
      <c r="IB17" s="19"/>
      <c r="IC17" s="33" t="str" cm="1">
        <f t="array" ref="IC17">_xlfn.IFS($D17="","",AND(IA17=$C17,IB17=$D17),3,($C17-$D17)/MAX(ABS($C17-$D17),1)=(IA17-IB17)/MAX(ABS(IA17-IB17),1),1,TRUE,0)</f>
        <v/>
      </c>
      <c r="ID17" s="18"/>
      <c r="IE17" s="19"/>
      <c r="IF17" s="33" t="str" cm="1">
        <f t="array" ref="IF17">_xlfn.IFS($D17="","",AND(ID17=$C17,IE17=$D17),3,($C17-$D17)/MAX(ABS($C17-$D17),1)=(ID17-IE17)/MAX(ABS(ID17-IE17),1),1,TRUE,0)</f>
        <v/>
      </c>
      <c r="IG17" s="18"/>
      <c r="IH17" s="19"/>
      <c r="II17" s="33" t="str" cm="1">
        <f t="array" ref="II17">_xlfn.IFS($D17="","",AND(IG17=$C17,IH17=$D17),3,($C17-$D17)/MAX(ABS($C17-$D17),1)=(IG17-IH17)/MAX(ABS(IG17-IH17),1),1,TRUE,0)</f>
        <v/>
      </c>
      <c r="IJ17" s="18"/>
      <c r="IK17" s="19"/>
      <c r="IL17" s="33" t="str" cm="1">
        <f t="array" ref="IL17">_xlfn.IFS($D17="","",AND(IJ17=$C17,IK17=$D17),3,($C17-$D17)/MAX(ABS($C17-$D17),1)=(IJ17-IK17)/MAX(ABS(IJ17-IK17),1),1,TRUE,0)</f>
        <v/>
      </c>
      <c r="IM17" s="18"/>
      <c r="IN17" s="19"/>
      <c r="IO17" s="33" t="str" cm="1">
        <f t="array" ref="IO17">_xlfn.IFS($D17="","",AND(IM17=$C17,IN17=$D17),3,($C17-$D17)/MAX(ABS($C17-$D17),1)=(IM17-IN17)/MAX(ABS(IM17-IN17),1),1,TRUE,0)</f>
        <v/>
      </c>
      <c r="IP17" s="18"/>
      <c r="IQ17" s="19"/>
      <c r="IR17" s="33" t="str" cm="1">
        <f t="array" ref="IR17">_xlfn.IFS($D17="","",AND(IP17=$C17,IQ17=$D17),3,($C17-$D17)/MAX(ABS($C17-$D17),1)=(IP17-IQ17)/MAX(ABS(IP17-IQ17),1),1,TRUE,0)</f>
        <v/>
      </c>
      <c r="IS17" s="18"/>
      <c r="IT17" s="19"/>
      <c r="IU17" s="33" t="str" cm="1">
        <f t="array" ref="IU17">_xlfn.IFS($D17="","",AND(IS17=$C17,IT17=$D17),3,($C17-$D17)/MAX(ABS($C17-$D17),1)=(IS17-IT17)/MAX(ABS(IS17-IT17),1),1,TRUE,0)</f>
        <v/>
      </c>
      <c r="IV17" s="18"/>
      <c r="IW17" s="19"/>
      <c r="IX17" s="33" t="str" cm="1">
        <f t="array" ref="IX17">_xlfn.IFS($D17="","",AND(IV17=$C17,IW17=$D17),3,($C17-$D17)/MAX(ABS($C17-$D17),1)=(IV17-IW17)/MAX(ABS(IV17-IW17),1),1,TRUE,0)</f>
        <v/>
      </c>
      <c r="IY17" s="18"/>
      <c r="IZ17" s="19"/>
      <c r="JA17" s="33" t="str" cm="1">
        <f t="array" ref="JA17">_xlfn.IFS($D17="","",AND(IY17=$C17,IZ17=$D17),3,($C17-$D17)/MAX(ABS($C17-$D17),1)=(IY17-IZ17)/MAX(ABS(IY17-IZ17),1),1,TRUE,0)</f>
        <v/>
      </c>
      <c r="JB17" s="18"/>
      <c r="JC17" s="19"/>
      <c r="JD17" s="33" t="str" cm="1">
        <f t="array" ref="JD17">_xlfn.IFS($D17="","",AND(JB17=$C17,JC17=$D17),3,($C17-$D17)/MAX(ABS($C17-$D17),1)=(JB17-JC17)/MAX(ABS(JB17-JC17),1),1,TRUE,0)</f>
        <v/>
      </c>
    </row>
    <row r="18" spans="1:264" ht="15" thickBot="1" x14ac:dyDescent="0.35">
      <c r="A18" s="22">
        <v>46189</v>
      </c>
      <c r="B18" s="28" t="s">
        <v>45</v>
      </c>
      <c r="C18" s="53" t="str" cm="1">
        <f t="array" ref="C18">_xlfn.LET(
_xlpm.x,_xlfn.XLOOKUP(1,(Scores_Fixtures[Date]=A18)*(Scores_Fixtures[Home.1]=B18),Scores_Fixtures[Score.1],""),
IF(_xlpm.x="","",_xlpm.x)
)</f>
        <v/>
      </c>
      <c r="D18" s="53" t="str" cm="1">
        <f t="array" ref="D18">_xlfn.LET(
_xlpm.x,_xlfn.XLOOKUP(1,(Scores_Fixtures[Date]=A18)*(Scores_Fixtures[Home.1]=B18),Scores_Fixtures[Score.2],""),
IF(_xlpm.x="","",_xlpm.x)
)</f>
        <v/>
      </c>
      <c r="E18" s="12" t="s">
        <v>54</v>
      </c>
      <c r="F18" s="15"/>
      <c r="G18" s="53"/>
      <c r="H18" s="53"/>
      <c r="I18" s="33" t="str" cm="1">
        <f t="array" ref="I18">_xlfn.IFS($D18="","",AND(G18=$C18,H18=$D18),3,($C18-$D18)/MAX(ABS($C18-$D18),1)=(G18-H18)/MAX(ABS(G18-H18),1),1,TRUE,0)</f>
        <v/>
      </c>
      <c r="J18" s="18"/>
      <c r="K18" s="19"/>
      <c r="L18" s="33" t="str" cm="1">
        <f t="array" ref="L18">_xlfn.IFS($D18="","",AND(J18=$C18,K18=$D18),3,($C18-$D18)/MAX(ABS($C18-$D18),1)=(J18-K18)/MAX(ABS(J18-K18),1),1,TRUE,0)</f>
        <v/>
      </c>
      <c r="M18" s="18"/>
      <c r="N18" s="19"/>
      <c r="O18" s="33" t="str" cm="1">
        <f t="array" ref="O18">_xlfn.IFS($D18="","",AND(M18=$C18,N18=$D18),3,($C18-$D18)/MAX(ABS($C18-$D18),1)=(M18-N18)/MAX(ABS(M18-N18),1),1,TRUE,0)</f>
        <v/>
      </c>
      <c r="P18" s="18"/>
      <c r="Q18" s="19"/>
      <c r="R18" s="33" t="str" cm="1">
        <f t="array" ref="R18">_xlfn.IFS($D18="","",AND(P18=$C18,Q18=$D18),3,($C18-$D18)/MAX(ABS($C18-$D18),1)=(P18-Q18)/MAX(ABS(P18-Q18),1),1,TRUE,0)</f>
        <v/>
      </c>
      <c r="S18" s="18"/>
      <c r="T18" s="19"/>
      <c r="U18" s="33" t="str" cm="1">
        <f t="array" ref="U18">_xlfn.IFS($D18="","",AND(S18=$C18,T18=$D18),3,($C18-$D18)/MAX(ABS($C18-$D18),1)=(S18-T18)/MAX(ABS(S18-T18),1),1,TRUE,0)</f>
        <v/>
      </c>
      <c r="V18" s="18"/>
      <c r="W18" s="19"/>
      <c r="X18" s="33" t="str" cm="1">
        <f t="array" ref="X18">_xlfn.IFS($D18="","",AND(V18=$C18,W18=$D18),3,($C18-$D18)/MAX(ABS($C18-$D18),1)=(V18-W18)/MAX(ABS(V18-W18),1),1,TRUE,0)</f>
        <v/>
      </c>
      <c r="Y18" s="18"/>
      <c r="Z18" s="19"/>
      <c r="AA18" s="33" t="str" cm="1">
        <f t="array" ref="AA18">_xlfn.IFS($D18="","",AND(Y18=$C18,Z18=$D18),3,($C18-$D18)/MAX(ABS($C18-$D18),1)=(Y18-Z18)/MAX(ABS(Y18-Z18),1),1,TRUE,0)</f>
        <v/>
      </c>
      <c r="AB18" s="18"/>
      <c r="AC18" s="19"/>
      <c r="AD18" s="33" t="str" cm="1">
        <f t="array" ref="AD18">_xlfn.IFS($D18="","",AND(AB18=$C18,AC18=$D18),3,($C18-$D18)/MAX(ABS($C18-$D18),1)=(AB18-AC18)/MAX(ABS(AB18-AC18),1),1,TRUE,0)</f>
        <v/>
      </c>
      <c r="AE18" s="18"/>
      <c r="AF18" s="19"/>
      <c r="AG18" s="33" t="str" cm="1">
        <f t="array" ref="AG18">_xlfn.IFS($D18="","",AND(AE18=$C18,AF18=$D18),3,($C18-$D18)/MAX(ABS($C18-$D18),1)=(AE18-AF18)/MAX(ABS(AE18-AF18),1),1,TRUE,0)</f>
        <v/>
      </c>
      <c r="AH18" s="18"/>
      <c r="AI18" s="19"/>
      <c r="AJ18" s="33" t="str" cm="1">
        <f t="array" ref="AJ18">_xlfn.IFS($D18="","",AND(AH18=$C18,AI18=$D18),3,($C18-$D18)/MAX(ABS($C18-$D18),1)=(AH18-AI18)/MAX(ABS(AH18-AI18),1),1,TRUE,0)</f>
        <v/>
      </c>
      <c r="AK18" s="18"/>
      <c r="AL18" s="19"/>
      <c r="AM18" s="33" t="str" cm="1">
        <f t="array" ref="AM18">_xlfn.IFS($D18="","",AND(AK18=$C18,AL18=$D18),3,($C18-$D18)/MAX(ABS($C18-$D18),1)=(AK18-AL18)/MAX(ABS(AK18-AL18),1),1,TRUE,0)</f>
        <v/>
      </c>
      <c r="AN18" s="18"/>
      <c r="AO18" s="19"/>
      <c r="AP18" s="33" t="str" cm="1">
        <f t="array" ref="AP18">_xlfn.IFS($D18="","",AND(AN18=$C18,AO18=$D18),3,($C18-$D18)/MAX(ABS($C18-$D18),1)=(AN18-AO18)/MAX(ABS(AN18-AO18),1),1,TRUE,0)</f>
        <v/>
      </c>
      <c r="AQ18" s="18"/>
      <c r="AR18" s="19"/>
      <c r="AS18" s="33" t="str" cm="1">
        <f t="array" ref="AS18">_xlfn.IFS($D18="","",AND(AQ18=$C18,AR18=$D18),3,($C18-$D18)/MAX(ABS($C18-$D18),1)=(AQ18-AR18)/MAX(ABS(AQ18-AR18),1),1,TRUE,0)</f>
        <v/>
      </c>
      <c r="AT18" s="18"/>
      <c r="AU18" s="19"/>
      <c r="AV18" s="33" t="str" cm="1">
        <f t="array" ref="AV18">_xlfn.IFS($D18="","",AND(AT18=$C18,AU18=$D18),3,($C18-$D18)/MAX(ABS($C18-$D18),1)=(AT18-AU18)/MAX(ABS(AT18-AU18),1),1,TRUE,0)</f>
        <v/>
      </c>
      <c r="AW18" s="18"/>
      <c r="AX18" s="19"/>
      <c r="AY18" s="33" t="str" cm="1">
        <f t="array" ref="AY18">_xlfn.IFS($D18="","",AND(AW18=$C18,AX18=$D18),3,($C18-$D18)/MAX(ABS($C18-$D18),1)=(AW18-AX18)/MAX(ABS(AW18-AX18),1),1,TRUE,0)</f>
        <v/>
      </c>
      <c r="AZ18" s="18"/>
      <c r="BA18" s="19"/>
      <c r="BB18" s="33" t="str" cm="1">
        <f t="array" ref="BB18">_xlfn.IFS($D18="","",AND(AZ18=$C18,BA18=$D18),3,($C18-$D18)/MAX(ABS($C18-$D18),1)=(AZ18-BA18)/MAX(ABS(AZ18-BA18),1),1,TRUE,0)</f>
        <v/>
      </c>
      <c r="BC18" s="18"/>
      <c r="BD18" s="19"/>
      <c r="BE18" s="33" t="str" cm="1">
        <f t="array" ref="BE18">_xlfn.IFS($D18="","",AND(BC18=$C18,BD18=$D18),3,($C18-$D18)/MAX(ABS($C18-$D18),1)=(BC18-BD18)/MAX(ABS(BC18-BD18),1),1,TRUE,0)</f>
        <v/>
      </c>
      <c r="BF18" s="18"/>
      <c r="BG18" s="19"/>
      <c r="BH18" s="33" t="str" cm="1">
        <f t="array" ref="BH18">_xlfn.IFS($D18="","",AND(BF18=$C18,BG18=$D18),3,($C18-$D18)/MAX(ABS($C18-$D18),1)=(BF18-BG18)/MAX(ABS(BF18-BG18),1),1,TRUE,0)</f>
        <v/>
      </c>
      <c r="BI18" s="18"/>
      <c r="BJ18" s="19"/>
      <c r="BK18" s="33" t="str" cm="1">
        <f t="array" ref="BK18">_xlfn.IFS($D18="","",AND(BI18=$C18,BJ18=$D18),3,($C18-$D18)/MAX(ABS($C18-$D18),1)=(BI18-BJ18)/MAX(ABS(BI18-BJ18),1),1,TRUE,0)</f>
        <v/>
      </c>
      <c r="BL18" s="18"/>
      <c r="BM18" s="19"/>
      <c r="BN18" s="33" t="str" cm="1">
        <f t="array" ref="BN18">_xlfn.IFS($D18="","",AND(BL18=$C18,BM18=$D18),3,($C18-$D18)/MAX(ABS($C18-$D18),1)=(BL18-BM18)/MAX(ABS(BL18-BM18),1),1,TRUE,0)</f>
        <v/>
      </c>
      <c r="BO18" s="18"/>
      <c r="BP18" s="19"/>
      <c r="BQ18" s="33" t="str" cm="1">
        <f t="array" ref="BQ18">_xlfn.IFS($D18="","",AND(BO18=$C18,BP18=$D18),3,($C18-$D18)/MAX(ABS($C18-$D18),1)=(BO18-BP18)/MAX(ABS(BO18-BP18),1),1,TRUE,0)</f>
        <v/>
      </c>
      <c r="BR18" s="18"/>
      <c r="BS18" s="19"/>
      <c r="BT18" s="33" t="str" cm="1">
        <f t="array" ref="BT18">_xlfn.IFS($D18="","",AND(BR18=$C18,BS18=$D18),3,($C18-$D18)/MAX(ABS($C18-$D18),1)=(BR18-BS18)/MAX(ABS(BR18-BS18),1),1,TRUE,0)</f>
        <v/>
      </c>
      <c r="BU18" s="18"/>
      <c r="BV18" s="19"/>
      <c r="BW18" s="33" t="str" cm="1">
        <f t="array" ref="BW18">_xlfn.IFS($D18="","",AND(BU18=$C18,BV18=$D18),3,($C18-$D18)/MAX(ABS($C18-$D18),1)=(BU18-BV18)/MAX(ABS(BU18-BV18),1),1,TRUE,0)</f>
        <v/>
      </c>
      <c r="BX18" s="18"/>
      <c r="BY18" s="19"/>
      <c r="BZ18" s="33" t="str" cm="1">
        <f t="array" ref="BZ18">_xlfn.IFS($D18="","",AND(BX18=$C18,BY18=$D18),3,($C18-$D18)/MAX(ABS($C18-$D18),1)=(BX18-BY18)/MAX(ABS(BX18-BY18),1),1,TRUE,0)</f>
        <v/>
      </c>
      <c r="CA18" s="18"/>
      <c r="CB18" s="19"/>
      <c r="CC18" s="33" t="str" cm="1">
        <f t="array" ref="CC18">_xlfn.IFS($D18="","",AND(CA18=$C18,CB18=$D18),3,($C18-$D18)/MAX(ABS($C18-$D18),1)=(CA18-CB18)/MAX(ABS(CA18-CB18),1),1,TRUE,0)</f>
        <v/>
      </c>
      <c r="CD18" s="18"/>
      <c r="CE18" s="19"/>
      <c r="CF18" s="33" t="str" cm="1">
        <f t="array" ref="CF18">_xlfn.IFS($D18="","",AND(CD18=$C18,CE18=$D18),3,($C18-$D18)/MAX(ABS($C18-$D18),1)=(CD18-CE18)/MAX(ABS(CD18-CE18),1),1,TRUE,0)</f>
        <v/>
      </c>
      <c r="CG18" s="18"/>
      <c r="CH18" s="19"/>
      <c r="CI18" s="33" t="str" cm="1">
        <f t="array" ref="CI18">_xlfn.IFS($D18="","",AND(CG18=$C18,CH18=$D18),3,($C18-$D18)/MAX(ABS($C18-$D18),1)=(CG18-CH18)/MAX(ABS(CG18-CH18),1),1,TRUE,0)</f>
        <v/>
      </c>
      <c r="CJ18" s="18"/>
      <c r="CK18" s="19"/>
      <c r="CL18" s="33" t="str" cm="1">
        <f t="array" ref="CL18">_xlfn.IFS($D18="","",AND(CJ18=$C18,CK18=$D18),3,($C18-$D18)/MAX(ABS($C18-$D18),1)=(CJ18-CK18)/MAX(ABS(CJ18-CK18),1),1,TRUE,0)</f>
        <v/>
      </c>
      <c r="CM18" s="18"/>
      <c r="CN18" s="19"/>
      <c r="CO18" s="33" t="str" cm="1">
        <f t="array" ref="CO18">_xlfn.IFS($D18="","",AND(CM18=$C18,CN18=$D18),3,($C18-$D18)/MAX(ABS($C18-$D18),1)=(CM18-CN18)/MAX(ABS(CM18-CN18),1),1,TRUE,0)</f>
        <v/>
      </c>
      <c r="CP18" s="18"/>
      <c r="CQ18" s="19"/>
      <c r="CR18" s="33" t="str" cm="1">
        <f t="array" ref="CR18">_xlfn.IFS($D18="","",AND(CP18=$C18,CQ18=$D18),3,($C18-$D18)/MAX(ABS($C18-$D18),1)=(CP18-CQ18)/MAX(ABS(CP18-CQ18),1),1,TRUE,0)</f>
        <v/>
      </c>
      <c r="CS18" s="18"/>
      <c r="CT18" s="19"/>
      <c r="CU18" s="33" t="str" cm="1">
        <f t="array" ref="CU18">_xlfn.IFS($D18="","",AND(CS18=$C18,CT18=$D18),3,($C18-$D18)/MAX(ABS($C18-$D18),1)=(CS18-CT18)/MAX(ABS(CS18-CT18),1),1,TRUE,0)</f>
        <v/>
      </c>
      <c r="CV18" s="18"/>
      <c r="CW18" s="19"/>
      <c r="CX18" s="33" t="str" cm="1">
        <f t="array" ref="CX18">_xlfn.IFS($D18="","",AND(CV18=$C18,CW18=$D18),3,($C18-$D18)/MAX(ABS($C18-$D18),1)=(CV18-CW18)/MAX(ABS(CV18-CW18),1),1,TRUE,0)</f>
        <v/>
      </c>
      <c r="CY18" s="18"/>
      <c r="CZ18" s="19"/>
      <c r="DA18" s="33" t="str" cm="1">
        <f t="array" ref="DA18">_xlfn.IFS($D18="","",AND(CY18=$C18,CZ18=$D18),3,($C18-$D18)/MAX(ABS($C18-$D18),1)=(CY18-CZ18)/MAX(ABS(CY18-CZ18),1),1,TRUE,0)</f>
        <v/>
      </c>
      <c r="DB18" s="37"/>
      <c r="DC18" s="38"/>
      <c r="DD18" s="33" t="str" cm="1">
        <f t="array" ref="DD18">_xlfn.IFS($D18="","",AND(DB18=$C18,DC18=$D18),3,($C18-$D18)/MAX(ABS($C18-$D18),1)=(DB18-DC18)/MAX(ABS(DB18-DC18),1),1,TRUE,0)</f>
        <v/>
      </c>
      <c r="DE18" s="18"/>
      <c r="DF18" s="19"/>
      <c r="DG18" s="33" t="str" cm="1">
        <f t="array" ref="DG18">_xlfn.IFS($D18="","",AND(DE18=$C18,DF18=$D18),3,($C18-$D18)/MAX(ABS($C18-$D18),1)=(DE18-DF18)/MAX(ABS(DE18-DF18),1),1,TRUE,0)</f>
        <v/>
      </c>
      <c r="DH18" s="18"/>
      <c r="DI18" s="19"/>
      <c r="DJ18" s="33" t="str" cm="1">
        <f t="array" ref="DJ18">_xlfn.IFS($D18="","",AND(DH18=$C18,DI18=$D18),3,($C18-$D18)/MAX(ABS($C18-$D18),1)=(DH18-DI18)/MAX(ABS(DH18-DI18),1),1,TRUE,0)</f>
        <v/>
      </c>
      <c r="DK18" s="18"/>
      <c r="DL18" s="19"/>
      <c r="DM18" s="33" t="str" cm="1">
        <f t="array" ref="DM18">_xlfn.IFS($D18="","",AND(DK18=$C18,DL18=$D18),3,($C18-$D18)/MAX(ABS($C18-$D18),1)=(DK18-DL18)/MAX(ABS(DK18-DL18),1),1,TRUE,0)</f>
        <v/>
      </c>
      <c r="DN18" s="18"/>
      <c r="DO18" s="19"/>
      <c r="DP18" s="33" t="str" cm="1">
        <f t="array" ref="DP18">_xlfn.IFS($D18="","",AND(DN18=$C18,DO18=$D18),3,($C18-$D18)/MAX(ABS($C18-$D18),1)=(DN18-DO18)/MAX(ABS(DN18-DO18),1),1,TRUE,0)</f>
        <v/>
      </c>
      <c r="DQ18" s="18"/>
      <c r="DR18" s="19"/>
      <c r="DS18" s="33" t="str" cm="1">
        <f t="array" ref="DS18">_xlfn.IFS($D18="","",AND(DQ18=$C18,DR18=$D18),3,($C18-$D18)/MAX(ABS($C18-$D18),1)=(DQ18-DR18)/MAX(ABS(DQ18-DR18),1),1,TRUE,0)</f>
        <v/>
      </c>
      <c r="DT18" s="18"/>
      <c r="DU18" s="19"/>
      <c r="DV18" s="33" t="str" cm="1">
        <f t="array" ref="DV18">_xlfn.IFS($D18="","",AND(DT18=$C18,DU18=$D18),3,($C18-$D18)/MAX(ABS($C18-$D18),1)=(DT18-DU18)/MAX(ABS(DT18-DU18),1),1,TRUE,0)</f>
        <v/>
      </c>
      <c r="DW18" s="18"/>
      <c r="DX18" s="19"/>
      <c r="DY18" s="33" t="str" cm="1">
        <f t="array" ref="DY18">_xlfn.IFS($D18="","",AND(DW18=$C18,DX18=$D18),3,($C18-$D18)/MAX(ABS($C18-$D18),1)=(DW18-DX18)/MAX(ABS(DW18-DX18),1),1,TRUE,0)</f>
        <v/>
      </c>
      <c r="DZ18" s="18"/>
      <c r="EA18" s="19"/>
      <c r="EB18" s="33" t="str" cm="1">
        <f t="array" ref="EB18">_xlfn.IFS($D18="","",AND(DZ18=$C18,EA18=$D18),3,($C18-$D18)/MAX(ABS($C18-$D18),1)=(DZ18-EA18)/MAX(ABS(DZ18-EA18),1),1,TRUE,0)</f>
        <v/>
      </c>
      <c r="EC18" s="18"/>
      <c r="ED18" s="19"/>
      <c r="EE18" s="33" t="str" cm="1">
        <f t="array" ref="EE18">_xlfn.IFS($D18="","",AND(EC18=$C18,ED18=$D18),3,($C18-$D18)/MAX(ABS($C18-$D18),1)=(EC18-ED18)/MAX(ABS(EC18-ED18),1),1,TRUE,0)</f>
        <v/>
      </c>
      <c r="EF18" s="18"/>
      <c r="EG18" s="19"/>
      <c r="EH18" s="33" t="str" cm="1">
        <f t="array" ref="EH18">_xlfn.IFS($D18="","",AND(EF18=$C18,EG18=$D18),3,($C18-$D18)/MAX(ABS($C18-$D18),1)=(EF18-EG18)/MAX(ABS(EF18-EG18),1),1,TRUE,0)</f>
        <v/>
      </c>
      <c r="EI18" s="43"/>
      <c r="EJ18" s="44"/>
      <c r="EK18" s="33" t="str" cm="1">
        <f t="array" ref="EK18">_xlfn.IFS($D18="","",AND(EI18=$C18,EJ18=$D18),3,($C18-$D18)/MAX(ABS($C18-$D18),1)=(EI18-EJ18)/MAX(ABS(EI18-EJ18),1),1,TRUE,0)</f>
        <v/>
      </c>
      <c r="EL18" s="18"/>
      <c r="EM18" s="19"/>
      <c r="EN18" s="33" t="str" cm="1">
        <f t="array" ref="EN18">_xlfn.IFS($D18="","",AND(EL18=$C18,EM18=$D18),3,($C18-$D18)/MAX(ABS($C18-$D18),1)=(EL18-EM18)/MAX(ABS(EL18-EM18),1),1,TRUE,0)</f>
        <v/>
      </c>
      <c r="EO18" s="18"/>
      <c r="EP18" s="19"/>
      <c r="EQ18" s="33" t="str" cm="1">
        <f t="array" ref="EQ18">_xlfn.IFS($D18="","",AND(EO18=$C18,EP18=$D18),3,($C18-$D18)/MAX(ABS($C18-$D18),1)=(EO18-EP18)/MAX(ABS(EO18-EP18),1),1,TRUE,0)</f>
        <v/>
      </c>
      <c r="ER18" s="18"/>
      <c r="ES18" s="19"/>
      <c r="ET18" s="33" t="str" cm="1">
        <f t="array" ref="ET18">_xlfn.IFS($D18="","",AND(ER18=$C18,ES18=$D18),3,($C18-$D18)/MAX(ABS($C18-$D18),1)=(ER18-ES18)/MAX(ABS(ER18-ES18),1),1,TRUE,0)</f>
        <v/>
      </c>
      <c r="EU18" s="18"/>
      <c r="EV18" s="19"/>
      <c r="EW18" s="33" t="str" cm="1">
        <f t="array" ref="EW18">_xlfn.IFS($D18="","",AND(EU18=$C18,EV18=$D18),3,($C18-$D18)/MAX(ABS($C18-$D18),1)=(EU18-EV18)/MAX(ABS(EU18-EV18),1),1,TRUE,0)</f>
        <v/>
      </c>
      <c r="EX18" s="18"/>
      <c r="EY18" s="19"/>
      <c r="EZ18" s="33" t="str" cm="1">
        <f t="array" ref="EZ18">_xlfn.IFS($D18="","",AND(EX18=$C18,EY18=$D18),3,($C18-$D18)/MAX(ABS($C18-$D18),1)=(EX18-EY18)/MAX(ABS(EX18-EY18),1),1,TRUE,0)</f>
        <v/>
      </c>
      <c r="FA18" s="18"/>
      <c r="FB18" s="19"/>
      <c r="FC18" s="33" t="str" cm="1">
        <f t="array" ref="FC18">_xlfn.IFS($D18="","",AND(FA18=$C18,FB18=$D18),3,($C18-$D18)/MAX(ABS($C18-$D18),1)=(FA18-FB18)/MAX(ABS(FA18-FB18),1),1,TRUE,0)</f>
        <v/>
      </c>
      <c r="FD18" s="18"/>
      <c r="FE18" s="19"/>
      <c r="FF18" s="33" t="str" cm="1">
        <f t="array" ref="FF18">_xlfn.IFS($D18="","",AND(FD18=$C18,FE18=$D18),3,($C18-$D18)/MAX(ABS($C18-$D18),1)=(FD18-FE18)/MAX(ABS(FD18-FE18),1),1,TRUE,0)</f>
        <v/>
      </c>
      <c r="FG18" s="18"/>
      <c r="FH18" s="19"/>
      <c r="FI18" s="33" t="str" cm="1">
        <f t="array" ref="FI18">_xlfn.IFS($D18="","",AND(FG18=$C18,FH18=$D18),3,($C18-$D18)/MAX(ABS($C18-$D18),1)=(FG18-FH18)/MAX(ABS(FG18-FH18),1),1,TRUE,0)</f>
        <v/>
      </c>
      <c r="FJ18" s="18"/>
      <c r="FK18" s="19"/>
      <c r="FL18" s="33" t="str" cm="1">
        <f t="array" ref="FL18">_xlfn.IFS($D18="","",AND(FJ18=$C18,FK18=$D18),3,($C18-$D18)/MAX(ABS($C18-$D18),1)=(FJ18-FK18)/MAX(ABS(FJ18-FK18),1),1,TRUE,0)</f>
        <v/>
      </c>
      <c r="FM18" s="18"/>
      <c r="FN18" s="19"/>
      <c r="FO18" s="33" t="str" cm="1">
        <f t="array" ref="FO18">_xlfn.IFS($D18="","",AND(FM18=$C18,FN18=$D18),3,($C18-$D18)/MAX(ABS($C18-$D18),1)=(FM18-FN18)/MAX(ABS(FM18-FN18),1),1,TRUE,0)</f>
        <v/>
      </c>
      <c r="FP18" s="18"/>
      <c r="FQ18" s="19"/>
      <c r="FR18" s="33" t="str" cm="1">
        <f t="array" ref="FR18">_xlfn.IFS($D18="","",AND(FP18=$C18,FQ18=$D18),3,($C18-$D18)/MAX(ABS($C18-$D18),1)=(FP18-FQ18)/MAX(ABS(FP18-FQ18),1),1,TRUE,0)</f>
        <v/>
      </c>
      <c r="FS18" s="18"/>
      <c r="FT18" s="19"/>
      <c r="FU18" s="33" t="str" cm="1">
        <f t="array" ref="FU18">_xlfn.IFS($D18="","",AND(FS18=$C18,FT18=$D18),3,($C18-$D18)/MAX(ABS($C18-$D18),1)=(FS18-FT18)/MAX(ABS(FS18-FT18),1),1,TRUE,0)</f>
        <v/>
      </c>
      <c r="FV18" s="18"/>
      <c r="FW18" s="19"/>
      <c r="FX18" s="33" t="str" cm="1">
        <f t="array" ref="FX18">_xlfn.IFS($D18="","",AND(FV18=$C18,FW18=$D18),3,($C18-$D18)/MAX(ABS($C18-$D18),1)=(FV18-FW18)/MAX(ABS(FV18-FW18),1),1,TRUE,0)</f>
        <v/>
      </c>
      <c r="FY18" s="18"/>
      <c r="FZ18" s="19"/>
      <c r="GA18" s="33" t="str" cm="1">
        <f t="array" ref="GA18">_xlfn.IFS($D18="","",AND(FY18=$C18,FZ18=$D18),3,($C18-$D18)/MAX(ABS($C18-$D18),1)=(FY18-FZ18)/MAX(ABS(FY18-FZ18),1),1,TRUE,0)</f>
        <v/>
      </c>
      <c r="GB18" s="18"/>
      <c r="GC18" s="19"/>
      <c r="GD18" s="33" t="str" cm="1">
        <f t="array" ref="GD18">_xlfn.IFS($D18="","",AND(GB18=$C18,GC18=$D18),3,($C18-$D18)/MAX(ABS($C18-$D18),1)=(GB18-GC18)/MAX(ABS(GB18-GC18),1),1,TRUE,0)</f>
        <v/>
      </c>
      <c r="GE18" s="47"/>
      <c r="GF18" s="45"/>
      <c r="GG18" s="33" t="str" cm="1">
        <f t="array" ref="GG18">_xlfn.IFS($D18="","",AND(GE18=$C18,GF18=$D18),3,($C18-$D18)/MAX(ABS($C18-$D18),1)=(GE18-GF18)/MAX(ABS(GE18-GF18),1),1,TRUE,0)</f>
        <v/>
      </c>
      <c r="GH18" s="18"/>
      <c r="GI18" s="19"/>
      <c r="GJ18" s="33" t="str" cm="1">
        <f t="array" ref="GJ18">_xlfn.IFS($D18="","",AND(GH18=$C18,GI18=$D18),3,($C18-$D18)/MAX(ABS($C18-$D18),1)=(GH18-GI18)/MAX(ABS(GH18-GI18),1),1,TRUE,0)</f>
        <v/>
      </c>
      <c r="GK18" s="18"/>
      <c r="GL18" s="19"/>
      <c r="GM18" s="33" t="str" cm="1">
        <f t="array" ref="GM18">_xlfn.IFS($D18="","",AND(GK18=$C18,GL18=$D18),3,($C18-$D18)/MAX(ABS($C18-$D18),1)=(GK18-GL18)/MAX(ABS(GK18-GL18),1),1,TRUE,0)</f>
        <v/>
      </c>
      <c r="GN18" s="18"/>
      <c r="GO18" s="19"/>
      <c r="GP18" s="33" t="str" cm="1">
        <f t="array" ref="GP18">_xlfn.IFS($D18="","",AND(GN18=$C18,GO18=$D18),3,($C18-$D18)/MAX(ABS($C18-$D18),1)=(GN18-GO18)/MAX(ABS(GN18-GO18),1),1,TRUE,0)</f>
        <v/>
      </c>
      <c r="GQ18" s="18"/>
      <c r="GR18" s="19"/>
      <c r="GS18" s="33" t="str" cm="1">
        <f t="array" ref="GS18">_xlfn.IFS($D18="","",AND(GQ18=$C18,GR18=$D18),3,($C18-$D18)/MAX(ABS($C18-$D18),1)=(GQ18-GR18)/MAX(ABS(GQ18-GR18),1),1,TRUE,0)</f>
        <v/>
      </c>
      <c r="GT18" s="18"/>
      <c r="GU18" s="19"/>
      <c r="GV18" s="33" t="str" cm="1">
        <f t="array" ref="GV18">_xlfn.IFS($D18="","",AND(GT18=$C18,GU18=$D18),3,($C18-$D18)/MAX(ABS($C18-$D18),1)=(GT18-GU18)/MAX(ABS(GT18-GU18),1),1,TRUE,0)</f>
        <v/>
      </c>
      <c r="GW18" s="18"/>
      <c r="GX18" s="19"/>
      <c r="GY18" s="33" t="str" cm="1">
        <f t="array" ref="GY18">_xlfn.IFS($D18="","",AND(GW18=$C18,GX18=$D18),3,($C18-$D18)/MAX(ABS($C18-$D18),1)=(GW18-GX18)/MAX(ABS(GW18-GX18),1),1,TRUE,0)</f>
        <v/>
      </c>
      <c r="GZ18" s="18"/>
      <c r="HA18" s="19"/>
      <c r="HB18" s="33" t="str" cm="1">
        <f t="array" ref="HB18">_xlfn.IFS($D18="","",AND(GZ18=$C18,HA18=$D18),3,($C18-$D18)/MAX(ABS($C18-$D18),1)=(GZ18-HA18)/MAX(ABS(GZ18-HA18),1),1,TRUE,0)</f>
        <v/>
      </c>
      <c r="HC18" s="18"/>
      <c r="HD18" s="19"/>
      <c r="HE18" s="33" t="str" cm="1">
        <f t="array" ref="HE18">_xlfn.IFS($D18="","",AND(HC18=$C18,HD18=$D18),3,($C18-$D18)/MAX(ABS($C18-$D18),1)=(HC18-HD18)/MAX(ABS(HC18-HD18),1),1,TRUE,0)</f>
        <v/>
      </c>
      <c r="HF18" s="18"/>
      <c r="HG18" s="19"/>
      <c r="HH18" s="33" t="str" cm="1">
        <f t="array" ref="HH18">_xlfn.IFS($D18="","",AND(HF18=$C18,HG18=$D18),3,($C18-$D18)/MAX(ABS($C18-$D18),1)=(HF18-HG18)/MAX(ABS(HF18-HG18),1),1,TRUE,0)</f>
        <v/>
      </c>
      <c r="HI18" s="18"/>
      <c r="HJ18" s="19"/>
      <c r="HK18" s="33" t="str" cm="1">
        <f t="array" ref="HK18">_xlfn.IFS($D18="","",AND(HI18=$C18,HJ18=$D18),3,($C18-$D18)/MAX(ABS($C18-$D18),1)=(HI18-HJ18)/MAX(ABS(HI18-HJ18),1),1,TRUE,0)</f>
        <v/>
      </c>
      <c r="HL18" s="18"/>
      <c r="HM18" s="19"/>
      <c r="HN18" s="33" t="str" cm="1">
        <f t="array" ref="HN18">_xlfn.IFS($D18="","",AND(HL18=$C18,HM18=$D18),3,($C18-$D18)/MAX(ABS($C18-$D18),1)=(HL18-HM18)/MAX(ABS(HL18-HM18),1),1,TRUE,0)</f>
        <v/>
      </c>
      <c r="HO18" s="18"/>
      <c r="HP18" s="19"/>
      <c r="HQ18" s="33" t="str" cm="1">
        <f t="array" ref="HQ18">_xlfn.IFS($D18="","",AND(HO18=$C18,HP18=$D18),3,($C18-$D18)/MAX(ABS($C18-$D18),1)=(HO18-HP18)/MAX(ABS(HO18-HP18),1),1,TRUE,0)</f>
        <v/>
      </c>
      <c r="HR18" s="18"/>
      <c r="HS18" s="19"/>
      <c r="HT18" s="33" t="str" cm="1">
        <f t="array" ref="HT18">_xlfn.IFS($D18="","",AND(HR18=$C18,HS18=$D18),3,($C18-$D18)/MAX(ABS($C18-$D18),1)=(HR18-HS18)/MAX(ABS(HR18-HS18),1),1,TRUE,0)</f>
        <v/>
      </c>
      <c r="HU18" s="18"/>
      <c r="HV18" s="19"/>
      <c r="HW18" s="33" t="str" cm="1">
        <f t="array" ref="HW18">_xlfn.IFS($D18="","",AND(HU18=$C18,HV18=$D18),3,($C18-$D18)/MAX(ABS($C18-$D18),1)=(HU18-HV18)/MAX(ABS(HU18-HV18),1),1,TRUE,0)</f>
        <v/>
      </c>
      <c r="HX18" s="18"/>
      <c r="HY18" s="19"/>
      <c r="HZ18" s="33" t="str" cm="1">
        <f t="array" ref="HZ18">_xlfn.IFS($D18="","",AND(HX18=$C18,HY18=$D18),3,($C18-$D18)/MAX(ABS($C18-$D18),1)=(HX18-HY18)/MAX(ABS(HX18-HY18),1),1,TRUE,0)</f>
        <v/>
      </c>
      <c r="IA18" s="18"/>
      <c r="IB18" s="19"/>
      <c r="IC18" s="33" t="str" cm="1">
        <f t="array" ref="IC18">_xlfn.IFS($D18="","",AND(IA18=$C18,IB18=$D18),3,($C18-$D18)/MAX(ABS($C18-$D18),1)=(IA18-IB18)/MAX(ABS(IA18-IB18),1),1,TRUE,0)</f>
        <v/>
      </c>
      <c r="ID18" s="18"/>
      <c r="IE18" s="19"/>
      <c r="IF18" s="33" t="str" cm="1">
        <f t="array" ref="IF18">_xlfn.IFS($D18="","",AND(ID18=$C18,IE18=$D18),3,($C18-$D18)/MAX(ABS($C18-$D18),1)=(ID18-IE18)/MAX(ABS(ID18-IE18),1),1,TRUE,0)</f>
        <v/>
      </c>
      <c r="IG18" s="18"/>
      <c r="IH18" s="19"/>
      <c r="II18" s="33" t="str" cm="1">
        <f t="array" ref="II18">_xlfn.IFS($D18="","",AND(IG18=$C18,IH18=$D18),3,($C18-$D18)/MAX(ABS($C18-$D18),1)=(IG18-IH18)/MAX(ABS(IG18-IH18),1),1,TRUE,0)</f>
        <v/>
      </c>
      <c r="IJ18" s="18"/>
      <c r="IK18" s="19"/>
      <c r="IL18" s="33" t="str" cm="1">
        <f t="array" ref="IL18">_xlfn.IFS($D18="","",AND(IJ18=$C18,IK18=$D18),3,($C18-$D18)/MAX(ABS($C18-$D18),1)=(IJ18-IK18)/MAX(ABS(IJ18-IK18),1),1,TRUE,0)</f>
        <v/>
      </c>
      <c r="IM18" s="18"/>
      <c r="IN18" s="19"/>
      <c r="IO18" s="33" t="str" cm="1">
        <f t="array" ref="IO18">_xlfn.IFS($D18="","",AND(IM18=$C18,IN18=$D18),3,($C18-$D18)/MAX(ABS($C18-$D18),1)=(IM18-IN18)/MAX(ABS(IM18-IN18),1),1,TRUE,0)</f>
        <v/>
      </c>
      <c r="IP18" s="18"/>
      <c r="IQ18" s="19"/>
      <c r="IR18" s="33" t="str" cm="1">
        <f t="array" ref="IR18">_xlfn.IFS($D18="","",AND(IP18=$C18,IQ18=$D18),3,($C18-$D18)/MAX(ABS($C18-$D18),1)=(IP18-IQ18)/MAX(ABS(IP18-IQ18),1),1,TRUE,0)</f>
        <v/>
      </c>
      <c r="IS18" s="18"/>
      <c r="IT18" s="19"/>
      <c r="IU18" s="33" t="str" cm="1">
        <f t="array" ref="IU18">_xlfn.IFS($D18="","",AND(IS18=$C18,IT18=$D18),3,($C18-$D18)/MAX(ABS($C18-$D18),1)=(IS18-IT18)/MAX(ABS(IS18-IT18),1),1,TRUE,0)</f>
        <v/>
      </c>
      <c r="IV18" s="18"/>
      <c r="IW18" s="19"/>
      <c r="IX18" s="33" t="str" cm="1">
        <f t="array" ref="IX18">_xlfn.IFS($D18="","",AND(IV18=$C18,IW18=$D18),3,($C18-$D18)/MAX(ABS($C18-$D18),1)=(IV18-IW18)/MAX(ABS(IV18-IW18),1),1,TRUE,0)</f>
        <v/>
      </c>
      <c r="IY18" s="18"/>
      <c r="IZ18" s="19"/>
      <c r="JA18" s="33" t="str" cm="1">
        <f t="array" ref="JA18">_xlfn.IFS($D18="","",AND(IY18=$C18,IZ18=$D18),3,($C18-$D18)/MAX(ABS($C18-$D18),1)=(IY18-IZ18)/MAX(ABS(IY18-IZ18),1),1,TRUE,0)</f>
        <v/>
      </c>
      <c r="JB18" s="18"/>
      <c r="JC18" s="19"/>
      <c r="JD18" s="33" t="str" cm="1">
        <f t="array" ref="JD18">_xlfn.IFS($D18="","",AND(JB18=$C18,JC18=$D18),3,($C18-$D18)/MAX(ABS($C18-$D18),1)=(JB18-JC18)/MAX(ABS(JB18-JC18),1),1,TRUE,0)</f>
        <v/>
      </c>
    </row>
    <row r="19" spans="1:264" ht="15" thickBot="1" x14ac:dyDescent="0.35">
      <c r="A19" s="22">
        <v>46189</v>
      </c>
      <c r="B19" s="28" t="s">
        <v>11</v>
      </c>
      <c r="C19" s="53" t="str" cm="1">
        <f t="array" ref="C19">_xlfn.LET(
_xlpm.x,_xlfn.XLOOKUP(1,(Scores_Fixtures[Date]=A19)*(Scores_Fixtures[Home.1]=B19),Scores_Fixtures[Score.1],""),
IF(_xlpm.x="","",_xlpm.x)
)</f>
        <v/>
      </c>
      <c r="D19" s="53" t="str" cm="1">
        <f t="array" ref="D19">_xlfn.LET(
_xlpm.x,_xlfn.XLOOKUP(1,(Scores_Fixtures[Date]=A19)*(Scores_Fixtures[Home.1]=B19),Scores_Fixtures[Score.2],""),
IF(_xlpm.x="","",_xlpm.x)
)</f>
        <v/>
      </c>
      <c r="E19" s="12" t="s">
        <v>65</v>
      </c>
      <c r="F19" s="15"/>
      <c r="G19" s="53"/>
      <c r="H19" s="53"/>
      <c r="I19" s="33" t="str" cm="1">
        <f t="array" ref="I19">_xlfn.IFS($D19="","",AND(G19=$C19,H19=$D19),3,($C19-$D19)/MAX(ABS($C19-$D19),1)=(G19-H19)/MAX(ABS(G19-H19),1),1,TRUE,0)</f>
        <v/>
      </c>
      <c r="J19" s="18"/>
      <c r="K19" s="19"/>
      <c r="L19" s="33" t="str" cm="1">
        <f t="array" ref="L19">_xlfn.IFS($D19="","",AND(J19=$C19,K19=$D19),3,($C19-$D19)/MAX(ABS($C19-$D19),1)=(J19-K19)/MAX(ABS(J19-K19),1),1,TRUE,0)</f>
        <v/>
      </c>
      <c r="M19" s="18"/>
      <c r="N19" s="19"/>
      <c r="O19" s="33" t="str" cm="1">
        <f t="array" ref="O19">_xlfn.IFS($D19="","",AND(M19=$C19,N19=$D19),3,($C19-$D19)/MAX(ABS($C19-$D19),1)=(M19-N19)/MAX(ABS(M19-N19),1),1,TRUE,0)</f>
        <v/>
      </c>
      <c r="P19" s="18"/>
      <c r="Q19" s="19"/>
      <c r="R19" s="33" t="str" cm="1">
        <f t="array" ref="R19">_xlfn.IFS($D19="","",AND(P19=$C19,Q19=$D19),3,($C19-$D19)/MAX(ABS($C19-$D19),1)=(P19-Q19)/MAX(ABS(P19-Q19),1),1,TRUE,0)</f>
        <v/>
      </c>
      <c r="S19" s="18"/>
      <c r="T19" s="19"/>
      <c r="U19" s="33" t="str" cm="1">
        <f t="array" ref="U19">_xlfn.IFS($D19="","",AND(S19=$C19,T19=$D19),3,($C19-$D19)/MAX(ABS($C19-$D19),1)=(S19-T19)/MAX(ABS(S19-T19),1),1,TRUE,0)</f>
        <v/>
      </c>
      <c r="V19" s="18"/>
      <c r="W19" s="19"/>
      <c r="X19" s="33" t="str" cm="1">
        <f t="array" ref="X19">_xlfn.IFS($D19="","",AND(V19=$C19,W19=$D19),3,($C19-$D19)/MAX(ABS($C19-$D19),1)=(V19-W19)/MAX(ABS(V19-W19),1),1,TRUE,0)</f>
        <v/>
      </c>
      <c r="Y19" s="18"/>
      <c r="Z19" s="19"/>
      <c r="AA19" s="33" t="str" cm="1">
        <f t="array" ref="AA19">_xlfn.IFS($D19="","",AND(Y19=$C19,Z19=$D19),3,($C19-$D19)/MAX(ABS($C19-$D19),1)=(Y19-Z19)/MAX(ABS(Y19-Z19),1),1,TRUE,0)</f>
        <v/>
      </c>
      <c r="AB19" s="18"/>
      <c r="AC19" s="19"/>
      <c r="AD19" s="33" t="str" cm="1">
        <f t="array" ref="AD19">_xlfn.IFS($D19="","",AND(AB19=$C19,AC19=$D19),3,($C19-$D19)/MAX(ABS($C19-$D19),1)=(AB19-AC19)/MAX(ABS(AB19-AC19),1),1,TRUE,0)</f>
        <v/>
      </c>
      <c r="AE19" s="18"/>
      <c r="AF19" s="19"/>
      <c r="AG19" s="33" t="str" cm="1">
        <f t="array" ref="AG19">_xlfn.IFS($D19="","",AND(AE19=$C19,AF19=$D19),3,($C19-$D19)/MAX(ABS($C19-$D19),1)=(AE19-AF19)/MAX(ABS(AE19-AF19),1),1,TRUE,0)</f>
        <v/>
      </c>
      <c r="AH19" s="18"/>
      <c r="AI19" s="19"/>
      <c r="AJ19" s="33" t="str" cm="1">
        <f t="array" ref="AJ19">_xlfn.IFS($D19="","",AND(AH19=$C19,AI19=$D19),3,($C19-$D19)/MAX(ABS($C19-$D19),1)=(AH19-AI19)/MAX(ABS(AH19-AI19),1),1,TRUE,0)</f>
        <v/>
      </c>
      <c r="AK19" s="18"/>
      <c r="AL19" s="19"/>
      <c r="AM19" s="33" t="str" cm="1">
        <f t="array" ref="AM19">_xlfn.IFS($D19="","",AND(AK19=$C19,AL19=$D19),3,($C19-$D19)/MAX(ABS($C19-$D19),1)=(AK19-AL19)/MAX(ABS(AK19-AL19),1),1,TRUE,0)</f>
        <v/>
      </c>
      <c r="AN19" s="18"/>
      <c r="AO19" s="19"/>
      <c r="AP19" s="33" t="str" cm="1">
        <f t="array" ref="AP19">_xlfn.IFS($D19="","",AND(AN19=$C19,AO19=$D19),3,($C19-$D19)/MAX(ABS($C19-$D19),1)=(AN19-AO19)/MAX(ABS(AN19-AO19),1),1,TRUE,0)</f>
        <v/>
      </c>
      <c r="AQ19" s="18"/>
      <c r="AR19" s="19"/>
      <c r="AS19" s="33" t="str" cm="1">
        <f t="array" ref="AS19">_xlfn.IFS($D19="","",AND(AQ19=$C19,AR19=$D19),3,($C19-$D19)/MAX(ABS($C19-$D19),1)=(AQ19-AR19)/MAX(ABS(AQ19-AR19),1),1,TRUE,0)</f>
        <v/>
      </c>
      <c r="AT19" s="18"/>
      <c r="AU19" s="19"/>
      <c r="AV19" s="33" t="str" cm="1">
        <f t="array" ref="AV19">_xlfn.IFS($D19="","",AND(AT19=$C19,AU19=$D19),3,($C19-$D19)/MAX(ABS($C19-$D19),1)=(AT19-AU19)/MAX(ABS(AT19-AU19),1),1,TRUE,0)</f>
        <v/>
      </c>
      <c r="AW19" s="18"/>
      <c r="AX19" s="19"/>
      <c r="AY19" s="33" t="str" cm="1">
        <f t="array" ref="AY19">_xlfn.IFS($D19="","",AND(AW19=$C19,AX19=$D19),3,($C19-$D19)/MAX(ABS($C19-$D19),1)=(AW19-AX19)/MAX(ABS(AW19-AX19),1),1,TRUE,0)</f>
        <v/>
      </c>
      <c r="AZ19" s="18"/>
      <c r="BA19" s="19"/>
      <c r="BB19" s="33" t="str" cm="1">
        <f t="array" ref="BB19">_xlfn.IFS($D19="","",AND(AZ19=$C19,BA19=$D19),3,($C19-$D19)/MAX(ABS($C19-$D19),1)=(AZ19-BA19)/MAX(ABS(AZ19-BA19),1),1,TRUE,0)</f>
        <v/>
      </c>
      <c r="BC19" s="18"/>
      <c r="BD19" s="19"/>
      <c r="BE19" s="33" t="str" cm="1">
        <f t="array" ref="BE19">_xlfn.IFS($D19="","",AND(BC19=$C19,BD19=$D19),3,($C19-$D19)/MAX(ABS($C19-$D19),1)=(BC19-BD19)/MAX(ABS(BC19-BD19),1),1,TRUE,0)</f>
        <v/>
      </c>
      <c r="BF19" s="18"/>
      <c r="BG19" s="19"/>
      <c r="BH19" s="33" t="str" cm="1">
        <f t="array" ref="BH19">_xlfn.IFS($D19="","",AND(BF19=$C19,BG19=$D19),3,($C19-$D19)/MAX(ABS($C19-$D19),1)=(BF19-BG19)/MAX(ABS(BF19-BG19),1),1,TRUE,0)</f>
        <v/>
      </c>
      <c r="BI19" s="18"/>
      <c r="BJ19" s="19"/>
      <c r="BK19" s="33" t="str" cm="1">
        <f t="array" ref="BK19">_xlfn.IFS($D19="","",AND(BI19=$C19,BJ19=$D19),3,($C19-$D19)/MAX(ABS($C19-$D19),1)=(BI19-BJ19)/MAX(ABS(BI19-BJ19),1),1,TRUE,0)</f>
        <v/>
      </c>
      <c r="BL19" s="18"/>
      <c r="BM19" s="19"/>
      <c r="BN19" s="33" t="str" cm="1">
        <f t="array" ref="BN19">_xlfn.IFS($D19="","",AND(BL19=$C19,BM19=$D19),3,($C19-$D19)/MAX(ABS($C19-$D19),1)=(BL19-BM19)/MAX(ABS(BL19-BM19),1),1,TRUE,0)</f>
        <v/>
      </c>
      <c r="BO19" s="18"/>
      <c r="BP19" s="19"/>
      <c r="BQ19" s="33" t="str" cm="1">
        <f t="array" ref="BQ19">_xlfn.IFS($D19="","",AND(BO19=$C19,BP19=$D19),3,($C19-$D19)/MAX(ABS($C19-$D19),1)=(BO19-BP19)/MAX(ABS(BO19-BP19),1),1,TRUE,0)</f>
        <v/>
      </c>
      <c r="BR19" s="18"/>
      <c r="BS19" s="19"/>
      <c r="BT19" s="33" t="str" cm="1">
        <f t="array" ref="BT19">_xlfn.IFS($D19="","",AND(BR19=$C19,BS19=$D19),3,($C19-$D19)/MAX(ABS($C19-$D19),1)=(BR19-BS19)/MAX(ABS(BR19-BS19),1),1,TRUE,0)</f>
        <v/>
      </c>
      <c r="BU19" s="18"/>
      <c r="BV19" s="19"/>
      <c r="BW19" s="33" t="str" cm="1">
        <f t="array" ref="BW19">_xlfn.IFS($D19="","",AND(BU19=$C19,BV19=$D19),3,($C19-$D19)/MAX(ABS($C19-$D19),1)=(BU19-BV19)/MAX(ABS(BU19-BV19),1),1,TRUE,0)</f>
        <v/>
      </c>
      <c r="BX19" s="18"/>
      <c r="BY19" s="19"/>
      <c r="BZ19" s="33" t="str" cm="1">
        <f t="array" ref="BZ19">_xlfn.IFS($D19="","",AND(BX19=$C19,BY19=$D19),3,($C19-$D19)/MAX(ABS($C19-$D19),1)=(BX19-BY19)/MAX(ABS(BX19-BY19),1),1,TRUE,0)</f>
        <v/>
      </c>
      <c r="CA19" s="18"/>
      <c r="CB19" s="19"/>
      <c r="CC19" s="33" t="str" cm="1">
        <f t="array" ref="CC19">_xlfn.IFS($D19="","",AND(CA19=$C19,CB19=$D19),3,($C19-$D19)/MAX(ABS($C19-$D19),1)=(CA19-CB19)/MAX(ABS(CA19-CB19),1),1,TRUE,0)</f>
        <v/>
      </c>
      <c r="CD19" s="18"/>
      <c r="CE19" s="19"/>
      <c r="CF19" s="33" t="str" cm="1">
        <f t="array" ref="CF19">_xlfn.IFS($D19="","",AND(CD19=$C19,CE19=$D19),3,($C19-$D19)/MAX(ABS($C19-$D19),1)=(CD19-CE19)/MAX(ABS(CD19-CE19),1),1,TRUE,0)</f>
        <v/>
      </c>
      <c r="CG19" s="18"/>
      <c r="CH19" s="19"/>
      <c r="CI19" s="33" t="str" cm="1">
        <f t="array" ref="CI19">_xlfn.IFS($D19="","",AND(CG19=$C19,CH19=$D19),3,($C19-$D19)/MAX(ABS($C19-$D19),1)=(CG19-CH19)/MAX(ABS(CG19-CH19),1),1,TRUE,0)</f>
        <v/>
      </c>
      <c r="CJ19" s="18"/>
      <c r="CK19" s="19"/>
      <c r="CL19" s="33" t="str" cm="1">
        <f t="array" ref="CL19">_xlfn.IFS($D19="","",AND(CJ19=$C19,CK19=$D19),3,($C19-$D19)/MAX(ABS($C19-$D19),1)=(CJ19-CK19)/MAX(ABS(CJ19-CK19),1),1,TRUE,0)</f>
        <v/>
      </c>
      <c r="CM19" s="18"/>
      <c r="CN19" s="19"/>
      <c r="CO19" s="33" t="str" cm="1">
        <f t="array" ref="CO19">_xlfn.IFS($D19="","",AND(CM19=$C19,CN19=$D19),3,($C19-$D19)/MAX(ABS($C19-$D19),1)=(CM19-CN19)/MAX(ABS(CM19-CN19),1),1,TRUE,0)</f>
        <v/>
      </c>
      <c r="CP19" s="18"/>
      <c r="CQ19" s="19"/>
      <c r="CR19" s="33" t="str" cm="1">
        <f t="array" ref="CR19">_xlfn.IFS($D19="","",AND(CP19=$C19,CQ19=$D19),3,($C19-$D19)/MAX(ABS($C19-$D19),1)=(CP19-CQ19)/MAX(ABS(CP19-CQ19),1),1,TRUE,0)</f>
        <v/>
      </c>
      <c r="CS19" s="18"/>
      <c r="CT19" s="19"/>
      <c r="CU19" s="33" t="str" cm="1">
        <f t="array" ref="CU19">_xlfn.IFS($D19="","",AND(CS19=$C19,CT19=$D19),3,($C19-$D19)/MAX(ABS($C19-$D19),1)=(CS19-CT19)/MAX(ABS(CS19-CT19),1),1,TRUE,0)</f>
        <v/>
      </c>
      <c r="CV19" s="18"/>
      <c r="CW19" s="19"/>
      <c r="CX19" s="33" t="str" cm="1">
        <f t="array" ref="CX19">_xlfn.IFS($D19="","",AND(CV19=$C19,CW19=$D19),3,($C19-$D19)/MAX(ABS($C19-$D19),1)=(CV19-CW19)/MAX(ABS(CV19-CW19),1),1,TRUE,0)</f>
        <v/>
      </c>
      <c r="CY19" s="18"/>
      <c r="CZ19" s="19"/>
      <c r="DA19" s="33" t="str" cm="1">
        <f t="array" ref="DA19">_xlfn.IFS($D19="","",AND(CY19=$C19,CZ19=$D19),3,($C19-$D19)/MAX(ABS($C19-$D19),1)=(CY19-CZ19)/MAX(ABS(CY19-CZ19),1),1,TRUE,0)</f>
        <v/>
      </c>
      <c r="DB19" s="37"/>
      <c r="DC19" s="38"/>
      <c r="DD19" s="33" t="str" cm="1">
        <f t="array" ref="DD19">_xlfn.IFS($D19="","",AND(DB19=$C19,DC19=$D19),3,($C19-$D19)/MAX(ABS($C19-$D19),1)=(DB19-DC19)/MAX(ABS(DB19-DC19),1),1,TRUE,0)</f>
        <v/>
      </c>
      <c r="DE19" s="18"/>
      <c r="DF19" s="19"/>
      <c r="DG19" s="33" t="str" cm="1">
        <f t="array" ref="DG19">_xlfn.IFS($D19="","",AND(DE19=$C19,DF19=$D19),3,($C19-$D19)/MAX(ABS($C19-$D19),1)=(DE19-DF19)/MAX(ABS(DE19-DF19),1),1,TRUE,0)</f>
        <v/>
      </c>
      <c r="DH19" s="18"/>
      <c r="DI19" s="19"/>
      <c r="DJ19" s="33" t="str" cm="1">
        <f t="array" ref="DJ19">_xlfn.IFS($D19="","",AND(DH19=$C19,DI19=$D19),3,($C19-$D19)/MAX(ABS($C19-$D19),1)=(DH19-DI19)/MAX(ABS(DH19-DI19),1),1,TRUE,0)</f>
        <v/>
      </c>
      <c r="DK19" s="18"/>
      <c r="DL19" s="19"/>
      <c r="DM19" s="33" t="str" cm="1">
        <f t="array" ref="DM19">_xlfn.IFS($D19="","",AND(DK19=$C19,DL19=$D19),3,($C19-$D19)/MAX(ABS($C19-$D19),1)=(DK19-DL19)/MAX(ABS(DK19-DL19),1),1,TRUE,0)</f>
        <v/>
      </c>
      <c r="DN19" s="18"/>
      <c r="DO19" s="19"/>
      <c r="DP19" s="33" t="str" cm="1">
        <f t="array" ref="DP19">_xlfn.IFS($D19="","",AND(DN19=$C19,DO19=$D19),3,($C19-$D19)/MAX(ABS($C19-$D19),1)=(DN19-DO19)/MAX(ABS(DN19-DO19),1),1,TRUE,0)</f>
        <v/>
      </c>
      <c r="DQ19" s="18"/>
      <c r="DR19" s="19"/>
      <c r="DS19" s="33" t="str" cm="1">
        <f t="array" ref="DS19">_xlfn.IFS($D19="","",AND(DQ19=$C19,DR19=$D19),3,($C19-$D19)/MAX(ABS($C19-$D19),1)=(DQ19-DR19)/MAX(ABS(DQ19-DR19),1),1,TRUE,0)</f>
        <v/>
      </c>
      <c r="DT19" s="18"/>
      <c r="DU19" s="19"/>
      <c r="DV19" s="33" t="str" cm="1">
        <f t="array" ref="DV19">_xlfn.IFS($D19="","",AND(DT19=$C19,DU19=$D19),3,($C19-$D19)/MAX(ABS($C19-$D19),1)=(DT19-DU19)/MAX(ABS(DT19-DU19),1),1,TRUE,0)</f>
        <v/>
      </c>
      <c r="DW19" s="18"/>
      <c r="DX19" s="19"/>
      <c r="DY19" s="33" t="str" cm="1">
        <f t="array" ref="DY19">_xlfn.IFS($D19="","",AND(DW19=$C19,DX19=$D19),3,($C19-$D19)/MAX(ABS($C19-$D19),1)=(DW19-DX19)/MAX(ABS(DW19-DX19),1),1,TRUE,0)</f>
        <v/>
      </c>
      <c r="DZ19" s="18"/>
      <c r="EA19" s="19"/>
      <c r="EB19" s="33" t="str" cm="1">
        <f t="array" ref="EB19">_xlfn.IFS($D19="","",AND(DZ19=$C19,EA19=$D19),3,($C19-$D19)/MAX(ABS($C19-$D19),1)=(DZ19-EA19)/MAX(ABS(DZ19-EA19),1),1,TRUE,0)</f>
        <v/>
      </c>
      <c r="EC19" s="18"/>
      <c r="ED19" s="19"/>
      <c r="EE19" s="33" t="str" cm="1">
        <f t="array" ref="EE19">_xlfn.IFS($D19="","",AND(EC19=$C19,ED19=$D19),3,($C19-$D19)/MAX(ABS($C19-$D19),1)=(EC19-ED19)/MAX(ABS(EC19-ED19),1),1,TRUE,0)</f>
        <v/>
      </c>
      <c r="EF19" s="18"/>
      <c r="EG19" s="19"/>
      <c r="EH19" s="33" t="str" cm="1">
        <f t="array" ref="EH19">_xlfn.IFS($D19="","",AND(EF19=$C19,EG19=$D19),3,($C19-$D19)/MAX(ABS($C19-$D19),1)=(EF19-EG19)/MAX(ABS(EF19-EG19),1),1,TRUE,0)</f>
        <v/>
      </c>
      <c r="EI19" s="43"/>
      <c r="EJ19" s="44"/>
      <c r="EK19" s="33" t="str" cm="1">
        <f t="array" ref="EK19">_xlfn.IFS($D19="","",AND(EI19=$C19,EJ19=$D19),3,($C19-$D19)/MAX(ABS($C19-$D19),1)=(EI19-EJ19)/MAX(ABS(EI19-EJ19),1),1,TRUE,0)</f>
        <v/>
      </c>
      <c r="EL19" s="18"/>
      <c r="EM19" s="19"/>
      <c r="EN19" s="33" t="str" cm="1">
        <f t="array" ref="EN19">_xlfn.IFS($D19="","",AND(EL19=$C19,EM19=$D19),3,($C19-$D19)/MAX(ABS($C19-$D19),1)=(EL19-EM19)/MAX(ABS(EL19-EM19),1),1,TRUE,0)</f>
        <v/>
      </c>
      <c r="EO19" s="18"/>
      <c r="EP19" s="19"/>
      <c r="EQ19" s="33" t="str" cm="1">
        <f t="array" ref="EQ19">_xlfn.IFS($D19="","",AND(EO19=$C19,EP19=$D19),3,($C19-$D19)/MAX(ABS($C19-$D19),1)=(EO19-EP19)/MAX(ABS(EO19-EP19),1),1,TRUE,0)</f>
        <v/>
      </c>
      <c r="ER19" s="18"/>
      <c r="ES19" s="19"/>
      <c r="ET19" s="33" t="str" cm="1">
        <f t="array" ref="ET19">_xlfn.IFS($D19="","",AND(ER19=$C19,ES19=$D19),3,($C19-$D19)/MAX(ABS($C19-$D19),1)=(ER19-ES19)/MAX(ABS(ER19-ES19),1),1,TRUE,0)</f>
        <v/>
      </c>
      <c r="EU19" s="18"/>
      <c r="EV19" s="19"/>
      <c r="EW19" s="33" t="str" cm="1">
        <f t="array" ref="EW19">_xlfn.IFS($D19="","",AND(EU19=$C19,EV19=$D19),3,($C19-$D19)/MAX(ABS($C19-$D19),1)=(EU19-EV19)/MAX(ABS(EU19-EV19),1),1,TRUE,0)</f>
        <v/>
      </c>
      <c r="EX19" s="18"/>
      <c r="EY19" s="19"/>
      <c r="EZ19" s="33" t="str" cm="1">
        <f t="array" ref="EZ19">_xlfn.IFS($D19="","",AND(EX19=$C19,EY19=$D19),3,($C19-$D19)/MAX(ABS($C19-$D19),1)=(EX19-EY19)/MAX(ABS(EX19-EY19),1),1,TRUE,0)</f>
        <v/>
      </c>
      <c r="FA19" s="18"/>
      <c r="FB19" s="19"/>
      <c r="FC19" s="33" t="str" cm="1">
        <f t="array" ref="FC19">_xlfn.IFS($D19="","",AND(FA19=$C19,FB19=$D19),3,($C19-$D19)/MAX(ABS($C19-$D19),1)=(FA19-FB19)/MAX(ABS(FA19-FB19),1),1,TRUE,0)</f>
        <v/>
      </c>
      <c r="FD19" s="18"/>
      <c r="FE19" s="19"/>
      <c r="FF19" s="33" t="str" cm="1">
        <f t="array" ref="FF19">_xlfn.IFS($D19="","",AND(FD19=$C19,FE19=$D19),3,($C19-$D19)/MAX(ABS($C19-$D19),1)=(FD19-FE19)/MAX(ABS(FD19-FE19),1),1,TRUE,0)</f>
        <v/>
      </c>
      <c r="FG19" s="18"/>
      <c r="FH19" s="19"/>
      <c r="FI19" s="33" t="str" cm="1">
        <f t="array" ref="FI19">_xlfn.IFS($D19="","",AND(FG19=$C19,FH19=$D19),3,($C19-$D19)/MAX(ABS($C19-$D19),1)=(FG19-FH19)/MAX(ABS(FG19-FH19),1),1,TRUE,0)</f>
        <v/>
      </c>
      <c r="FJ19" s="18"/>
      <c r="FK19" s="19"/>
      <c r="FL19" s="33" t="str" cm="1">
        <f t="array" ref="FL19">_xlfn.IFS($D19="","",AND(FJ19=$C19,FK19=$D19),3,($C19-$D19)/MAX(ABS($C19-$D19),1)=(FJ19-FK19)/MAX(ABS(FJ19-FK19),1),1,TRUE,0)</f>
        <v/>
      </c>
      <c r="FM19" s="18"/>
      <c r="FN19" s="19"/>
      <c r="FO19" s="33" t="str" cm="1">
        <f t="array" ref="FO19">_xlfn.IFS($D19="","",AND(FM19=$C19,FN19=$D19),3,($C19-$D19)/MAX(ABS($C19-$D19),1)=(FM19-FN19)/MAX(ABS(FM19-FN19),1),1,TRUE,0)</f>
        <v/>
      </c>
      <c r="FP19" s="18"/>
      <c r="FQ19" s="19"/>
      <c r="FR19" s="33" t="str" cm="1">
        <f t="array" ref="FR19">_xlfn.IFS($D19="","",AND(FP19=$C19,FQ19=$D19),3,($C19-$D19)/MAX(ABS($C19-$D19),1)=(FP19-FQ19)/MAX(ABS(FP19-FQ19),1),1,TRUE,0)</f>
        <v/>
      </c>
      <c r="FS19" s="18"/>
      <c r="FT19" s="19"/>
      <c r="FU19" s="33" t="str" cm="1">
        <f t="array" ref="FU19">_xlfn.IFS($D19="","",AND(FS19=$C19,FT19=$D19),3,($C19-$D19)/MAX(ABS($C19-$D19),1)=(FS19-FT19)/MAX(ABS(FS19-FT19),1),1,TRUE,0)</f>
        <v/>
      </c>
      <c r="FV19" s="18"/>
      <c r="FW19" s="19"/>
      <c r="FX19" s="33" t="str" cm="1">
        <f t="array" ref="FX19">_xlfn.IFS($D19="","",AND(FV19=$C19,FW19=$D19),3,($C19-$D19)/MAX(ABS($C19-$D19),1)=(FV19-FW19)/MAX(ABS(FV19-FW19),1),1,TRUE,0)</f>
        <v/>
      </c>
      <c r="FY19" s="18"/>
      <c r="FZ19" s="19"/>
      <c r="GA19" s="33" t="str" cm="1">
        <f t="array" ref="GA19">_xlfn.IFS($D19="","",AND(FY19=$C19,FZ19=$D19),3,($C19-$D19)/MAX(ABS($C19-$D19),1)=(FY19-FZ19)/MAX(ABS(FY19-FZ19),1),1,TRUE,0)</f>
        <v/>
      </c>
      <c r="GB19" s="18"/>
      <c r="GC19" s="19"/>
      <c r="GD19" s="33" t="str" cm="1">
        <f t="array" ref="GD19">_xlfn.IFS($D19="","",AND(GB19=$C19,GC19=$D19),3,($C19-$D19)/MAX(ABS($C19-$D19),1)=(GB19-GC19)/MAX(ABS(GB19-GC19),1),1,TRUE,0)</f>
        <v/>
      </c>
      <c r="GE19" s="47"/>
      <c r="GF19" s="45"/>
      <c r="GG19" s="33" t="str" cm="1">
        <f t="array" ref="GG19">_xlfn.IFS($D19="","",AND(GE19=$C19,GF19=$D19),3,($C19-$D19)/MAX(ABS($C19-$D19),1)=(GE19-GF19)/MAX(ABS(GE19-GF19),1),1,TRUE,0)</f>
        <v/>
      </c>
      <c r="GH19" s="18"/>
      <c r="GI19" s="19"/>
      <c r="GJ19" s="33" t="str" cm="1">
        <f t="array" ref="GJ19">_xlfn.IFS($D19="","",AND(GH19=$C19,GI19=$D19),3,($C19-$D19)/MAX(ABS($C19-$D19),1)=(GH19-GI19)/MAX(ABS(GH19-GI19),1),1,TRUE,0)</f>
        <v/>
      </c>
      <c r="GK19" s="18"/>
      <c r="GL19" s="19"/>
      <c r="GM19" s="33" t="str" cm="1">
        <f t="array" ref="GM19">_xlfn.IFS($D19="","",AND(GK19=$C19,GL19=$D19),3,($C19-$D19)/MAX(ABS($C19-$D19),1)=(GK19-GL19)/MAX(ABS(GK19-GL19),1),1,TRUE,0)</f>
        <v/>
      </c>
      <c r="GN19" s="18"/>
      <c r="GO19" s="19"/>
      <c r="GP19" s="33" t="str" cm="1">
        <f t="array" ref="GP19">_xlfn.IFS($D19="","",AND(GN19=$C19,GO19=$D19),3,($C19-$D19)/MAX(ABS($C19-$D19),1)=(GN19-GO19)/MAX(ABS(GN19-GO19),1),1,TRUE,0)</f>
        <v/>
      </c>
      <c r="GQ19" s="18"/>
      <c r="GR19" s="19"/>
      <c r="GS19" s="33" t="str" cm="1">
        <f t="array" ref="GS19">_xlfn.IFS($D19="","",AND(GQ19=$C19,GR19=$D19),3,($C19-$D19)/MAX(ABS($C19-$D19),1)=(GQ19-GR19)/MAX(ABS(GQ19-GR19),1),1,TRUE,0)</f>
        <v/>
      </c>
      <c r="GT19" s="18"/>
      <c r="GU19" s="17"/>
      <c r="GV19" s="33" t="str" cm="1">
        <f t="array" ref="GV19">_xlfn.IFS($D19="","",AND(GT19=$C19,GU19=$D19),3,($C19-$D19)/MAX(ABS($C19-$D19),1)=(GT19-GU19)/MAX(ABS(GT19-GU19),1),1,TRUE,0)</f>
        <v/>
      </c>
      <c r="GW19" s="18"/>
      <c r="GX19" s="19"/>
      <c r="GY19" s="33" t="str" cm="1">
        <f t="array" ref="GY19">_xlfn.IFS($D19="","",AND(GW19=$C19,GX19=$D19),3,($C19-$D19)/MAX(ABS($C19-$D19),1)=(GW19-GX19)/MAX(ABS(GW19-GX19),1),1,TRUE,0)</f>
        <v/>
      </c>
      <c r="GZ19" s="18"/>
      <c r="HA19" s="19"/>
      <c r="HB19" s="33" t="str" cm="1">
        <f t="array" ref="HB19">_xlfn.IFS($D19="","",AND(GZ19=$C19,HA19=$D19),3,($C19-$D19)/MAX(ABS($C19-$D19),1)=(GZ19-HA19)/MAX(ABS(GZ19-HA19),1),1,TRUE,0)</f>
        <v/>
      </c>
      <c r="HC19" s="18"/>
      <c r="HD19" s="14"/>
      <c r="HE19" s="33" t="str" cm="1">
        <f t="array" ref="HE19">_xlfn.IFS($D19="","",AND(HC19=$C19,HD19=$D19),3,($C19-$D19)/MAX(ABS($C19-$D19),1)=(HC19-HD19)/MAX(ABS(HC19-HD19),1),1,TRUE,0)</f>
        <v/>
      </c>
      <c r="HF19" s="18"/>
      <c r="HG19" s="19"/>
      <c r="HH19" s="33" t="str" cm="1">
        <f t="array" ref="HH19">_xlfn.IFS($D19="","",AND(HF19=$C19,HG19=$D19),3,($C19-$D19)/MAX(ABS($C19-$D19),1)=(HF19-HG19)/MAX(ABS(HF19-HG19),1),1,TRUE,0)</f>
        <v/>
      </c>
      <c r="HI19" s="18"/>
      <c r="HJ19" s="19"/>
      <c r="HK19" s="33" t="str" cm="1">
        <f t="array" ref="HK19">_xlfn.IFS($D19="","",AND(HI19=$C19,HJ19=$D19),3,($C19-$D19)/MAX(ABS($C19-$D19),1)=(HI19-HJ19)/MAX(ABS(HI19-HJ19),1),1,TRUE,0)</f>
        <v/>
      </c>
      <c r="HL19" s="18"/>
      <c r="HM19" s="19"/>
      <c r="HN19" s="33" t="str" cm="1">
        <f t="array" ref="HN19">_xlfn.IFS($D19="","",AND(HL19=$C19,HM19=$D19),3,($C19-$D19)/MAX(ABS($C19-$D19),1)=(HL19-HM19)/MAX(ABS(HL19-HM19),1),1,TRUE,0)</f>
        <v/>
      </c>
      <c r="HO19" s="18"/>
      <c r="HP19" s="19"/>
      <c r="HQ19" s="33" t="str" cm="1">
        <f t="array" ref="HQ19">_xlfn.IFS($D19="","",AND(HO19=$C19,HP19=$D19),3,($C19-$D19)/MAX(ABS($C19-$D19),1)=(HO19-HP19)/MAX(ABS(HO19-HP19),1),1,TRUE,0)</f>
        <v/>
      </c>
      <c r="HR19" s="18"/>
      <c r="HS19" s="19"/>
      <c r="HT19" s="33" t="str" cm="1">
        <f t="array" ref="HT19">_xlfn.IFS($D19="","",AND(HR19=$C19,HS19=$D19),3,($C19-$D19)/MAX(ABS($C19-$D19),1)=(HR19-HS19)/MAX(ABS(HR19-HS19),1),1,TRUE,0)</f>
        <v/>
      </c>
      <c r="HU19" s="18"/>
      <c r="HV19" s="19"/>
      <c r="HW19" s="33" t="str" cm="1">
        <f t="array" ref="HW19">_xlfn.IFS($D19="","",AND(HU19=$C19,HV19=$D19),3,($C19-$D19)/MAX(ABS($C19-$D19),1)=(HU19-HV19)/MAX(ABS(HU19-HV19),1),1,TRUE,0)</f>
        <v/>
      </c>
      <c r="HX19" s="18"/>
      <c r="HY19" s="19"/>
      <c r="HZ19" s="33" t="str" cm="1">
        <f t="array" ref="HZ19">_xlfn.IFS($D19="","",AND(HX19=$C19,HY19=$D19),3,($C19-$D19)/MAX(ABS($C19-$D19),1)=(HX19-HY19)/MAX(ABS(HX19-HY19),1),1,TRUE,0)</f>
        <v/>
      </c>
      <c r="IA19" s="18"/>
      <c r="IB19" s="19"/>
      <c r="IC19" s="33" t="str" cm="1">
        <f t="array" ref="IC19">_xlfn.IFS($D19="","",AND(IA19=$C19,IB19=$D19),3,($C19-$D19)/MAX(ABS($C19-$D19),1)=(IA19-IB19)/MAX(ABS(IA19-IB19),1),1,TRUE,0)</f>
        <v/>
      </c>
      <c r="ID19" s="18"/>
      <c r="IE19" s="19"/>
      <c r="IF19" s="33" t="str" cm="1">
        <f t="array" ref="IF19">_xlfn.IFS($D19="","",AND(ID19=$C19,IE19=$D19),3,($C19-$D19)/MAX(ABS($C19-$D19),1)=(ID19-IE19)/MAX(ABS(ID19-IE19),1),1,TRUE,0)</f>
        <v/>
      </c>
      <c r="IG19" s="18"/>
      <c r="IH19" s="19"/>
      <c r="II19" s="33" t="str" cm="1">
        <f t="array" ref="II19">_xlfn.IFS($D19="","",AND(IG19=$C19,IH19=$D19),3,($C19-$D19)/MAX(ABS($C19-$D19),1)=(IG19-IH19)/MAX(ABS(IG19-IH19),1),1,TRUE,0)</f>
        <v/>
      </c>
      <c r="IJ19" s="18"/>
      <c r="IK19" s="19"/>
      <c r="IL19" s="33" t="str" cm="1">
        <f t="array" ref="IL19">_xlfn.IFS($D19="","",AND(IJ19=$C19,IK19=$D19),3,($C19-$D19)/MAX(ABS($C19-$D19),1)=(IJ19-IK19)/MAX(ABS(IJ19-IK19),1),1,TRUE,0)</f>
        <v/>
      </c>
      <c r="IM19" s="18"/>
      <c r="IN19" s="19"/>
      <c r="IO19" s="33" t="str" cm="1">
        <f t="array" ref="IO19">_xlfn.IFS($D19="","",AND(IM19=$C19,IN19=$D19),3,($C19-$D19)/MAX(ABS($C19-$D19),1)=(IM19-IN19)/MAX(ABS(IM19-IN19),1),1,TRUE,0)</f>
        <v/>
      </c>
      <c r="IP19" s="18"/>
      <c r="IQ19" s="19"/>
      <c r="IR19" s="33" t="str" cm="1">
        <f t="array" ref="IR19">_xlfn.IFS($D19="","",AND(IP19=$C19,IQ19=$D19),3,($C19-$D19)/MAX(ABS($C19-$D19),1)=(IP19-IQ19)/MAX(ABS(IP19-IQ19),1),1,TRUE,0)</f>
        <v/>
      </c>
      <c r="IS19" s="18"/>
      <c r="IT19" s="19"/>
      <c r="IU19" s="33" t="str" cm="1">
        <f t="array" ref="IU19">_xlfn.IFS($D19="","",AND(IS19=$C19,IT19=$D19),3,($C19-$D19)/MAX(ABS($C19-$D19),1)=(IS19-IT19)/MAX(ABS(IS19-IT19),1),1,TRUE,0)</f>
        <v/>
      </c>
      <c r="IV19" s="18"/>
      <c r="IW19" s="19"/>
      <c r="IX19" s="33" t="str" cm="1">
        <f t="array" ref="IX19">_xlfn.IFS($D19="","",AND(IV19=$C19,IW19=$D19),3,($C19-$D19)/MAX(ABS($C19-$D19),1)=(IV19-IW19)/MAX(ABS(IV19-IW19),1),1,TRUE,0)</f>
        <v/>
      </c>
      <c r="IY19" s="18"/>
      <c r="IZ19" s="19"/>
      <c r="JA19" s="33" t="str" cm="1">
        <f t="array" ref="JA19">_xlfn.IFS($D19="","",AND(IY19=$C19,IZ19=$D19),3,($C19-$D19)/MAX(ABS($C19-$D19),1)=(IY19-IZ19)/MAX(ABS(IY19-IZ19),1),1,TRUE,0)</f>
        <v/>
      </c>
      <c r="JB19" s="18"/>
      <c r="JC19" s="19"/>
      <c r="JD19" s="33" t="str" cm="1">
        <f t="array" ref="JD19">_xlfn.IFS($D19="","",AND(JB19=$C19,JC19=$D19),3,($C19-$D19)/MAX(ABS($C19-$D19),1)=(JB19-JC19)/MAX(ABS(JB19-JC19),1),1,TRUE,0)</f>
        <v/>
      </c>
    </row>
    <row r="20" spans="1:264" ht="15" thickBot="1" x14ac:dyDescent="0.35">
      <c r="A20" s="22">
        <v>46190</v>
      </c>
      <c r="B20" s="28" t="s">
        <v>46</v>
      </c>
      <c r="C20" s="53" t="str" cm="1">
        <f t="array" ref="C20">_xlfn.LET(
_xlpm.x,_xlfn.XLOOKUP(1,(Scores_Fixtures[Date]=A20)*(Scores_Fixtures[Home.1]=B20),Scores_Fixtures[Score.1],""),
IF(_xlpm.x="","",_xlpm.x)
)</f>
        <v/>
      </c>
      <c r="D20" s="53" t="str" cm="1">
        <f t="array" ref="D20">_xlfn.LET(
_xlpm.x,_xlfn.XLOOKUP(1,(Scores_Fixtures[Date]=A20)*(Scores_Fixtures[Home.1]=B20),Scores_Fixtures[Score.2],""),
IF(_xlpm.x="","",_xlpm.x)
)</f>
        <v/>
      </c>
      <c r="E20" s="12" t="s">
        <v>55</v>
      </c>
      <c r="F20" s="15"/>
      <c r="G20" s="53"/>
      <c r="H20" s="53"/>
      <c r="I20" s="33" t="str" cm="1">
        <f t="array" ref="I20">_xlfn.IFS($D20="","",AND(G20=$C20,H20=$D20),3,($C20-$D20)/MAX(ABS($C20-$D20),1)=(G20-H20)/MAX(ABS(G20-H20),1),1,TRUE,0)</f>
        <v/>
      </c>
      <c r="J20" s="18"/>
      <c r="K20" s="19"/>
      <c r="L20" s="33" t="str" cm="1">
        <f t="array" ref="L20">_xlfn.IFS($D20="","",AND(J20=$C20,K20=$D20),3,($C20-$D20)/MAX(ABS($C20-$D20),1)=(J20-K20)/MAX(ABS(J20-K20),1),1,TRUE,0)</f>
        <v/>
      </c>
      <c r="M20" s="18"/>
      <c r="N20" s="19"/>
      <c r="O20" s="33" t="str" cm="1">
        <f t="array" ref="O20">_xlfn.IFS($D20="","",AND(M20=$C20,N20=$D20),3,($C20-$D20)/MAX(ABS($C20-$D20),1)=(M20-N20)/MAX(ABS(M20-N20),1),1,TRUE,0)</f>
        <v/>
      </c>
      <c r="P20" s="18"/>
      <c r="Q20" s="19"/>
      <c r="R20" s="33" t="str" cm="1">
        <f t="array" ref="R20">_xlfn.IFS($D20="","",AND(P20=$C20,Q20=$D20),3,($C20-$D20)/MAX(ABS($C20-$D20),1)=(P20-Q20)/MAX(ABS(P20-Q20),1),1,TRUE,0)</f>
        <v/>
      </c>
      <c r="S20" s="18"/>
      <c r="T20" s="19"/>
      <c r="U20" s="33" t="str" cm="1">
        <f t="array" ref="U20">_xlfn.IFS($D20="","",AND(S20=$C20,T20=$D20),3,($C20-$D20)/MAX(ABS($C20-$D20),1)=(S20-T20)/MAX(ABS(S20-T20),1),1,TRUE,0)</f>
        <v/>
      </c>
      <c r="V20" s="18"/>
      <c r="W20" s="19"/>
      <c r="X20" s="33" t="str" cm="1">
        <f t="array" ref="X20">_xlfn.IFS($D20="","",AND(V20=$C20,W20=$D20),3,($C20-$D20)/MAX(ABS($C20-$D20),1)=(V20-W20)/MAX(ABS(V20-W20),1),1,TRUE,0)</f>
        <v/>
      </c>
      <c r="Y20" s="18"/>
      <c r="Z20" s="19"/>
      <c r="AA20" s="33" t="str" cm="1">
        <f t="array" ref="AA20">_xlfn.IFS($D20="","",AND(Y20=$C20,Z20=$D20),3,($C20-$D20)/MAX(ABS($C20-$D20),1)=(Y20-Z20)/MAX(ABS(Y20-Z20),1),1,TRUE,0)</f>
        <v/>
      </c>
      <c r="AB20" s="18"/>
      <c r="AC20" s="19"/>
      <c r="AD20" s="33" t="str" cm="1">
        <f t="array" ref="AD20">_xlfn.IFS($D20="","",AND(AB20=$C20,AC20=$D20),3,($C20-$D20)/MAX(ABS($C20-$D20),1)=(AB20-AC20)/MAX(ABS(AB20-AC20),1),1,TRUE,0)</f>
        <v/>
      </c>
      <c r="AE20" s="18"/>
      <c r="AF20" s="19"/>
      <c r="AG20" s="33" t="str" cm="1">
        <f t="array" ref="AG20">_xlfn.IFS($D20="","",AND(AE20=$C20,AF20=$D20),3,($C20-$D20)/MAX(ABS($C20-$D20),1)=(AE20-AF20)/MAX(ABS(AE20-AF20),1),1,TRUE,0)</f>
        <v/>
      </c>
      <c r="AH20" s="18"/>
      <c r="AI20" s="19"/>
      <c r="AJ20" s="33" t="str" cm="1">
        <f t="array" ref="AJ20">_xlfn.IFS($D20="","",AND(AH20=$C20,AI20=$D20),3,($C20-$D20)/MAX(ABS($C20-$D20),1)=(AH20-AI20)/MAX(ABS(AH20-AI20),1),1,TRUE,0)</f>
        <v/>
      </c>
      <c r="AK20" s="18"/>
      <c r="AL20" s="19"/>
      <c r="AM20" s="33" t="str" cm="1">
        <f t="array" ref="AM20">_xlfn.IFS($D20="","",AND(AK20=$C20,AL20=$D20),3,($C20-$D20)/MAX(ABS($C20-$D20),1)=(AK20-AL20)/MAX(ABS(AK20-AL20),1),1,TRUE,0)</f>
        <v/>
      </c>
      <c r="AN20" s="18"/>
      <c r="AO20" s="19"/>
      <c r="AP20" s="33" t="str" cm="1">
        <f t="array" ref="AP20">_xlfn.IFS($D20="","",AND(AN20=$C20,AO20=$D20),3,($C20-$D20)/MAX(ABS($C20-$D20),1)=(AN20-AO20)/MAX(ABS(AN20-AO20),1),1,TRUE,0)</f>
        <v/>
      </c>
      <c r="AQ20" s="18"/>
      <c r="AR20" s="19"/>
      <c r="AS20" s="33" t="str" cm="1">
        <f t="array" ref="AS20">_xlfn.IFS($D20="","",AND(AQ20=$C20,AR20=$D20),3,($C20-$D20)/MAX(ABS($C20-$D20),1)=(AQ20-AR20)/MAX(ABS(AQ20-AR20),1),1,TRUE,0)</f>
        <v/>
      </c>
      <c r="AT20" s="18"/>
      <c r="AU20" s="19"/>
      <c r="AV20" s="33" t="str" cm="1">
        <f t="array" ref="AV20">_xlfn.IFS($D20="","",AND(AT20=$C20,AU20=$D20),3,($C20-$D20)/MAX(ABS($C20-$D20),1)=(AT20-AU20)/MAX(ABS(AT20-AU20),1),1,TRUE,0)</f>
        <v/>
      </c>
      <c r="AW20" s="18"/>
      <c r="AX20" s="19"/>
      <c r="AY20" s="33" t="str" cm="1">
        <f t="array" ref="AY20">_xlfn.IFS($D20="","",AND(AW20=$C20,AX20=$D20),3,($C20-$D20)/MAX(ABS($C20-$D20),1)=(AW20-AX20)/MAX(ABS(AW20-AX20),1),1,TRUE,0)</f>
        <v/>
      </c>
      <c r="AZ20" s="18"/>
      <c r="BA20" s="19"/>
      <c r="BB20" s="33" t="str" cm="1">
        <f t="array" ref="BB20">_xlfn.IFS($D20="","",AND(AZ20=$C20,BA20=$D20),3,($C20-$D20)/MAX(ABS($C20-$D20),1)=(AZ20-BA20)/MAX(ABS(AZ20-BA20),1),1,TRUE,0)</f>
        <v/>
      </c>
      <c r="BC20" s="18"/>
      <c r="BD20" s="19"/>
      <c r="BE20" s="33" t="str" cm="1">
        <f t="array" ref="BE20">_xlfn.IFS($D20="","",AND(BC20=$C20,BD20=$D20),3,($C20-$D20)/MAX(ABS($C20-$D20),1)=(BC20-BD20)/MAX(ABS(BC20-BD20),1),1,TRUE,0)</f>
        <v/>
      </c>
      <c r="BF20" s="18"/>
      <c r="BG20" s="19"/>
      <c r="BH20" s="33" t="str" cm="1">
        <f t="array" ref="BH20">_xlfn.IFS($D20="","",AND(BF20=$C20,BG20=$D20),3,($C20-$D20)/MAX(ABS($C20-$D20),1)=(BF20-BG20)/MAX(ABS(BF20-BG20),1),1,TRUE,0)</f>
        <v/>
      </c>
      <c r="BI20" s="18"/>
      <c r="BJ20" s="19"/>
      <c r="BK20" s="33" t="str" cm="1">
        <f t="array" ref="BK20">_xlfn.IFS($D20="","",AND(BI20=$C20,BJ20=$D20),3,($C20-$D20)/MAX(ABS($C20-$D20),1)=(BI20-BJ20)/MAX(ABS(BI20-BJ20),1),1,TRUE,0)</f>
        <v/>
      </c>
      <c r="BL20" s="18"/>
      <c r="BM20" s="19"/>
      <c r="BN20" s="33" t="str" cm="1">
        <f t="array" ref="BN20">_xlfn.IFS($D20="","",AND(BL20=$C20,BM20=$D20),3,($C20-$D20)/MAX(ABS($C20-$D20),1)=(BL20-BM20)/MAX(ABS(BL20-BM20),1),1,TRUE,0)</f>
        <v/>
      </c>
      <c r="BO20" s="18"/>
      <c r="BP20" s="19"/>
      <c r="BQ20" s="33" t="str" cm="1">
        <f t="array" ref="BQ20">_xlfn.IFS($D20="","",AND(BO20=$C20,BP20=$D20),3,($C20-$D20)/MAX(ABS($C20-$D20),1)=(BO20-BP20)/MAX(ABS(BO20-BP20),1),1,TRUE,0)</f>
        <v/>
      </c>
      <c r="BR20" s="18"/>
      <c r="BS20" s="19"/>
      <c r="BT20" s="33" t="str" cm="1">
        <f t="array" ref="BT20">_xlfn.IFS($D20="","",AND(BR20=$C20,BS20=$D20),3,($C20-$D20)/MAX(ABS($C20-$D20),1)=(BR20-BS20)/MAX(ABS(BR20-BS20),1),1,TRUE,0)</f>
        <v/>
      </c>
      <c r="BU20" s="18"/>
      <c r="BV20" s="19"/>
      <c r="BW20" s="33" t="str" cm="1">
        <f t="array" ref="BW20">_xlfn.IFS($D20="","",AND(BU20=$C20,BV20=$D20),3,($C20-$D20)/MAX(ABS($C20-$D20),1)=(BU20-BV20)/MAX(ABS(BU20-BV20),1),1,TRUE,0)</f>
        <v/>
      </c>
      <c r="BX20" s="18"/>
      <c r="BY20" s="19"/>
      <c r="BZ20" s="33" t="str" cm="1">
        <f t="array" ref="BZ20">_xlfn.IFS($D20="","",AND(BX20=$C20,BY20=$D20),3,($C20-$D20)/MAX(ABS($C20-$D20),1)=(BX20-BY20)/MAX(ABS(BX20-BY20),1),1,TRUE,0)</f>
        <v/>
      </c>
      <c r="CA20" s="18"/>
      <c r="CB20" s="19"/>
      <c r="CC20" s="33" t="str" cm="1">
        <f t="array" ref="CC20">_xlfn.IFS($D20="","",AND(CA20=$C20,CB20=$D20),3,($C20-$D20)/MAX(ABS($C20-$D20),1)=(CA20-CB20)/MAX(ABS(CA20-CB20),1),1,TRUE,0)</f>
        <v/>
      </c>
      <c r="CD20" s="18"/>
      <c r="CE20" s="19"/>
      <c r="CF20" s="33" t="str" cm="1">
        <f t="array" ref="CF20">_xlfn.IFS($D20="","",AND(CD20=$C20,CE20=$D20),3,($C20-$D20)/MAX(ABS($C20-$D20),1)=(CD20-CE20)/MAX(ABS(CD20-CE20),1),1,TRUE,0)</f>
        <v/>
      </c>
      <c r="CG20" s="18"/>
      <c r="CH20" s="19"/>
      <c r="CI20" s="33" t="str" cm="1">
        <f t="array" ref="CI20">_xlfn.IFS($D20="","",AND(CG20=$C20,CH20=$D20),3,($C20-$D20)/MAX(ABS($C20-$D20),1)=(CG20-CH20)/MAX(ABS(CG20-CH20),1),1,TRUE,0)</f>
        <v/>
      </c>
      <c r="CJ20" s="18"/>
      <c r="CK20" s="19"/>
      <c r="CL20" s="33" t="str" cm="1">
        <f t="array" ref="CL20">_xlfn.IFS($D20="","",AND(CJ20=$C20,CK20=$D20),3,($C20-$D20)/MAX(ABS($C20-$D20),1)=(CJ20-CK20)/MAX(ABS(CJ20-CK20),1),1,TRUE,0)</f>
        <v/>
      </c>
      <c r="CM20" s="18"/>
      <c r="CN20" s="19"/>
      <c r="CO20" s="33" t="str" cm="1">
        <f t="array" ref="CO20">_xlfn.IFS($D20="","",AND(CM20=$C20,CN20=$D20),3,($C20-$D20)/MAX(ABS($C20-$D20),1)=(CM20-CN20)/MAX(ABS(CM20-CN20),1),1,TRUE,0)</f>
        <v/>
      </c>
      <c r="CP20" s="18"/>
      <c r="CQ20" s="19"/>
      <c r="CR20" s="33" t="str" cm="1">
        <f t="array" ref="CR20">_xlfn.IFS($D20="","",AND(CP20=$C20,CQ20=$D20),3,($C20-$D20)/MAX(ABS($C20-$D20),1)=(CP20-CQ20)/MAX(ABS(CP20-CQ20),1),1,TRUE,0)</f>
        <v/>
      </c>
      <c r="CS20" s="18"/>
      <c r="CT20" s="19"/>
      <c r="CU20" s="33" t="str" cm="1">
        <f t="array" ref="CU20">_xlfn.IFS($D20="","",AND(CS20=$C20,CT20=$D20),3,($C20-$D20)/MAX(ABS($C20-$D20),1)=(CS20-CT20)/MAX(ABS(CS20-CT20),1),1,TRUE,0)</f>
        <v/>
      </c>
      <c r="CV20" s="18"/>
      <c r="CW20" s="19"/>
      <c r="CX20" s="33" t="str" cm="1">
        <f t="array" ref="CX20">_xlfn.IFS($D20="","",AND(CV20=$C20,CW20=$D20),3,($C20-$D20)/MAX(ABS($C20-$D20),1)=(CV20-CW20)/MAX(ABS(CV20-CW20),1),1,TRUE,0)</f>
        <v/>
      </c>
      <c r="CY20" s="18"/>
      <c r="CZ20" s="19"/>
      <c r="DA20" s="33" t="str" cm="1">
        <f t="array" ref="DA20">_xlfn.IFS($D20="","",AND(CY20=$C20,CZ20=$D20),3,($C20-$D20)/MAX(ABS($C20-$D20),1)=(CY20-CZ20)/MAX(ABS(CY20-CZ20),1),1,TRUE,0)</f>
        <v/>
      </c>
      <c r="DB20" s="37"/>
      <c r="DC20" s="38"/>
      <c r="DD20" s="33" t="str" cm="1">
        <f t="array" ref="DD20">_xlfn.IFS($D20="","",AND(DB20=$C20,DC20=$D20),3,($C20-$D20)/MAX(ABS($C20-$D20),1)=(DB20-DC20)/MAX(ABS(DB20-DC20),1),1,TRUE,0)</f>
        <v/>
      </c>
      <c r="DE20" s="18"/>
      <c r="DF20" s="19"/>
      <c r="DG20" s="33" t="str" cm="1">
        <f t="array" ref="DG20">_xlfn.IFS($D20="","",AND(DE20=$C20,DF20=$D20),3,($C20-$D20)/MAX(ABS($C20-$D20),1)=(DE20-DF20)/MAX(ABS(DE20-DF20),1),1,TRUE,0)</f>
        <v/>
      </c>
      <c r="DH20" s="18"/>
      <c r="DI20" s="19"/>
      <c r="DJ20" s="33" t="str" cm="1">
        <f t="array" ref="DJ20">_xlfn.IFS($D20="","",AND(DH20=$C20,DI20=$D20),3,($C20-$D20)/MAX(ABS($C20-$D20),1)=(DH20-DI20)/MAX(ABS(DH20-DI20),1),1,TRUE,0)</f>
        <v/>
      </c>
      <c r="DK20" s="18"/>
      <c r="DL20" s="19"/>
      <c r="DM20" s="33" t="str" cm="1">
        <f t="array" ref="DM20">_xlfn.IFS($D20="","",AND(DK20=$C20,DL20=$D20),3,($C20-$D20)/MAX(ABS($C20-$D20),1)=(DK20-DL20)/MAX(ABS(DK20-DL20),1),1,TRUE,0)</f>
        <v/>
      </c>
      <c r="DN20" s="18"/>
      <c r="DO20" s="19"/>
      <c r="DP20" s="33" t="str" cm="1">
        <f t="array" ref="DP20">_xlfn.IFS($D20="","",AND(DN20=$C20,DO20=$D20),3,($C20-$D20)/MAX(ABS($C20-$D20),1)=(DN20-DO20)/MAX(ABS(DN20-DO20),1),1,TRUE,0)</f>
        <v/>
      </c>
      <c r="DQ20" s="18"/>
      <c r="DR20" s="19"/>
      <c r="DS20" s="33" t="str" cm="1">
        <f t="array" ref="DS20">_xlfn.IFS($D20="","",AND(DQ20=$C20,DR20=$D20),3,($C20-$D20)/MAX(ABS($C20-$D20),1)=(DQ20-DR20)/MAX(ABS(DQ20-DR20),1),1,TRUE,0)</f>
        <v/>
      </c>
      <c r="DT20" s="18"/>
      <c r="DU20" s="19"/>
      <c r="DV20" s="33" t="str" cm="1">
        <f t="array" ref="DV20">_xlfn.IFS($D20="","",AND(DT20=$C20,DU20=$D20),3,($C20-$D20)/MAX(ABS($C20-$D20),1)=(DT20-DU20)/MAX(ABS(DT20-DU20),1),1,TRUE,0)</f>
        <v/>
      </c>
      <c r="DW20" s="18"/>
      <c r="DX20" s="19"/>
      <c r="DY20" s="33" t="str" cm="1">
        <f t="array" ref="DY20">_xlfn.IFS($D20="","",AND(DW20=$C20,DX20=$D20),3,($C20-$D20)/MAX(ABS($C20-$D20),1)=(DW20-DX20)/MAX(ABS(DW20-DX20),1),1,TRUE,0)</f>
        <v/>
      </c>
      <c r="DZ20" s="18"/>
      <c r="EA20" s="19"/>
      <c r="EB20" s="33" t="str" cm="1">
        <f t="array" ref="EB20">_xlfn.IFS($D20="","",AND(DZ20=$C20,EA20=$D20),3,($C20-$D20)/MAX(ABS($C20-$D20),1)=(DZ20-EA20)/MAX(ABS(DZ20-EA20),1),1,TRUE,0)</f>
        <v/>
      </c>
      <c r="EC20" s="18"/>
      <c r="ED20" s="19"/>
      <c r="EE20" s="33" t="str" cm="1">
        <f t="array" ref="EE20">_xlfn.IFS($D20="","",AND(EC20=$C20,ED20=$D20),3,($C20-$D20)/MAX(ABS($C20-$D20),1)=(EC20-ED20)/MAX(ABS(EC20-ED20),1),1,TRUE,0)</f>
        <v/>
      </c>
      <c r="EF20" s="18"/>
      <c r="EG20" s="19"/>
      <c r="EH20" s="33" t="str" cm="1">
        <f t="array" ref="EH20">_xlfn.IFS($D20="","",AND(EF20=$C20,EG20=$D20),3,($C20-$D20)/MAX(ABS($C20-$D20),1)=(EF20-EG20)/MAX(ABS(EF20-EG20),1),1,TRUE,0)</f>
        <v/>
      </c>
      <c r="EI20" s="43"/>
      <c r="EJ20" s="44"/>
      <c r="EK20" s="33" t="str" cm="1">
        <f t="array" ref="EK20">_xlfn.IFS($D20="","",AND(EI20=$C20,EJ20=$D20),3,($C20-$D20)/MAX(ABS($C20-$D20),1)=(EI20-EJ20)/MAX(ABS(EI20-EJ20),1),1,TRUE,0)</f>
        <v/>
      </c>
      <c r="EL20" s="18"/>
      <c r="EM20" s="19"/>
      <c r="EN20" s="33" t="str" cm="1">
        <f t="array" ref="EN20">_xlfn.IFS($D20="","",AND(EL20=$C20,EM20=$D20),3,($C20-$D20)/MAX(ABS($C20-$D20),1)=(EL20-EM20)/MAX(ABS(EL20-EM20),1),1,TRUE,0)</f>
        <v/>
      </c>
      <c r="EO20" s="18"/>
      <c r="EP20" s="19"/>
      <c r="EQ20" s="33" t="str" cm="1">
        <f t="array" ref="EQ20">_xlfn.IFS($D20="","",AND(EO20=$C20,EP20=$D20),3,($C20-$D20)/MAX(ABS($C20-$D20),1)=(EO20-EP20)/MAX(ABS(EO20-EP20),1),1,TRUE,0)</f>
        <v/>
      </c>
      <c r="ER20" s="18"/>
      <c r="ES20" s="19"/>
      <c r="ET20" s="33" t="str" cm="1">
        <f t="array" ref="ET20">_xlfn.IFS($D20="","",AND(ER20=$C20,ES20=$D20),3,($C20-$D20)/MAX(ABS($C20-$D20),1)=(ER20-ES20)/MAX(ABS(ER20-ES20),1),1,TRUE,0)</f>
        <v/>
      </c>
      <c r="EU20" s="18"/>
      <c r="EV20" s="19"/>
      <c r="EW20" s="33" t="str" cm="1">
        <f t="array" ref="EW20">_xlfn.IFS($D20="","",AND(EU20=$C20,EV20=$D20),3,($C20-$D20)/MAX(ABS($C20-$D20),1)=(EU20-EV20)/MAX(ABS(EU20-EV20),1),1,TRUE,0)</f>
        <v/>
      </c>
      <c r="EX20" s="18"/>
      <c r="EY20" s="19"/>
      <c r="EZ20" s="33" t="str" cm="1">
        <f t="array" ref="EZ20">_xlfn.IFS($D20="","",AND(EX20=$C20,EY20=$D20),3,($C20-$D20)/MAX(ABS($C20-$D20),1)=(EX20-EY20)/MAX(ABS(EX20-EY20),1),1,TRUE,0)</f>
        <v/>
      </c>
      <c r="FA20" s="18"/>
      <c r="FB20" s="19"/>
      <c r="FC20" s="33" t="str" cm="1">
        <f t="array" ref="FC20">_xlfn.IFS($D20="","",AND(FA20=$C20,FB20=$D20),3,($C20-$D20)/MAX(ABS($C20-$D20),1)=(FA20-FB20)/MAX(ABS(FA20-FB20),1),1,TRUE,0)</f>
        <v/>
      </c>
      <c r="FD20" s="18"/>
      <c r="FE20" s="19"/>
      <c r="FF20" s="33" t="str" cm="1">
        <f t="array" ref="FF20">_xlfn.IFS($D20="","",AND(FD20=$C20,FE20=$D20),3,($C20-$D20)/MAX(ABS($C20-$D20),1)=(FD20-FE20)/MAX(ABS(FD20-FE20),1),1,TRUE,0)</f>
        <v/>
      </c>
      <c r="FG20" s="18"/>
      <c r="FH20" s="19"/>
      <c r="FI20" s="33" t="str" cm="1">
        <f t="array" ref="FI20">_xlfn.IFS($D20="","",AND(FG20=$C20,FH20=$D20),3,($C20-$D20)/MAX(ABS($C20-$D20),1)=(FG20-FH20)/MAX(ABS(FG20-FH20),1),1,TRUE,0)</f>
        <v/>
      </c>
      <c r="FJ20" s="18"/>
      <c r="FK20" s="19"/>
      <c r="FL20" s="33" t="str" cm="1">
        <f t="array" ref="FL20">_xlfn.IFS($D20="","",AND(FJ20=$C20,FK20=$D20),3,($C20-$D20)/MAX(ABS($C20-$D20),1)=(FJ20-FK20)/MAX(ABS(FJ20-FK20),1),1,TRUE,0)</f>
        <v/>
      </c>
      <c r="FM20" s="18"/>
      <c r="FN20" s="19"/>
      <c r="FO20" s="33" t="str" cm="1">
        <f t="array" ref="FO20">_xlfn.IFS($D20="","",AND(FM20=$C20,FN20=$D20),3,($C20-$D20)/MAX(ABS($C20-$D20),1)=(FM20-FN20)/MAX(ABS(FM20-FN20),1),1,TRUE,0)</f>
        <v/>
      </c>
      <c r="FP20" s="18"/>
      <c r="FQ20" s="19"/>
      <c r="FR20" s="33" t="str" cm="1">
        <f t="array" ref="FR20">_xlfn.IFS($D20="","",AND(FP20=$C20,FQ20=$D20),3,($C20-$D20)/MAX(ABS($C20-$D20),1)=(FP20-FQ20)/MAX(ABS(FP20-FQ20),1),1,TRUE,0)</f>
        <v/>
      </c>
      <c r="FS20" s="18"/>
      <c r="FT20" s="19"/>
      <c r="FU20" s="33" t="str" cm="1">
        <f t="array" ref="FU20">_xlfn.IFS($D20="","",AND(FS20=$C20,FT20=$D20),3,($C20-$D20)/MAX(ABS($C20-$D20),1)=(FS20-FT20)/MAX(ABS(FS20-FT20),1),1,TRUE,0)</f>
        <v/>
      </c>
      <c r="FV20" s="18"/>
      <c r="FW20" s="19"/>
      <c r="FX20" s="33" t="str" cm="1">
        <f t="array" ref="FX20">_xlfn.IFS($D20="","",AND(FV20=$C20,FW20=$D20),3,($C20-$D20)/MAX(ABS($C20-$D20),1)=(FV20-FW20)/MAX(ABS(FV20-FW20),1),1,TRUE,0)</f>
        <v/>
      </c>
      <c r="FY20" s="18"/>
      <c r="FZ20" s="19"/>
      <c r="GA20" s="33" t="str" cm="1">
        <f t="array" ref="GA20">_xlfn.IFS($D20="","",AND(FY20=$C20,FZ20=$D20),3,($C20-$D20)/MAX(ABS($C20-$D20),1)=(FY20-FZ20)/MAX(ABS(FY20-FZ20),1),1,TRUE,0)</f>
        <v/>
      </c>
      <c r="GB20" s="18"/>
      <c r="GC20" s="19"/>
      <c r="GD20" s="33" t="str" cm="1">
        <f t="array" ref="GD20">_xlfn.IFS($D20="","",AND(GB20=$C20,GC20=$D20),3,($C20-$D20)/MAX(ABS($C20-$D20),1)=(GB20-GC20)/MAX(ABS(GB20-GC20),1),1,TRUE,0)</f>
        <v/>
      </c>
      <c r="GE20" s="47"/>
      <c r="GF20" s="45"/>
      <c r="GG20" s="33" t="str" cm="1">
        <f t="array" ref="GG20">_xlfn.IFS($D20="","",AND(GE20=$C20,GF20=$D20),3,($C20-$D20)/MAX(ABS($C20-$D20),1)=(GE20-GF20)/MAX(ABS(GE20-GF20),1),1,TRUE,0)</f>
        <v/>
      </c>
      <c r="GH20" s="18"/>
      <c r="GI20" s="19"/>
      <c r="GJ20" s="33" t="str" cm="1">
        <f t="array" ref="GJ20">_xlfn.IFS($D20="","",AND(GH20=$C20,GI20=$D20),3,($C20-$D20)/MAX(ABS($C20-$D20),1)=(GH20-GI20)/MAX(ABS(GH20-GI20),1),1,TRUE,0)</f>
        <v/>
      </c>
      <c r="GK20" s="18"/>
      <c r="GL20" s="19"/>
      <c r="GM20" s="33" t="str" cm="1">
        <f t="array" ref="GM20">_xlfn.IFS($D20="","",AND(GK20=$C20,GL20=$D20),3,($C20-$D20)/MAX(ABS($C20-$D20),1)=(GK20-GL20)/MAX(ABS(GK20-GL20),1),1,TRUE,0)</f>
        <v/>
      </c>
      <c r="GN20" s="18"/>
      <c r="GO20" s="19"/>
      <c r="GP20" s="33" t="str" cm="1">
        <f t="array" ref="GP20">_xlfn.IFS($D20="","",AND(GN20=$C20,GO20=$D20),3,($C20-$D20)/MAX(ABS($C20-$D20),1)=(GN20-GO20)/MAX(ABS(GN20-GO20),1),1,TRUE,0)</f>
        <v/>
      </c>
      <c r="GQ20" s="18"/>
      <c r="GR20" s="19"/>
      <c r="GS20" s="33" t="str" cm="1">
        <f t="array" ref="GS20">_xlfn.IFS($D20="","",AND(GQ20=$C20,GR20=$D20),3,($C20-$D20)/MAX(ABS($C20-$D20),1)=(GQ20-GR20)/MAX(ABS(GQ20-GR20),1),1,TRUE,0)</f>
        <v/>
      </c>
      <c r="GT20" s="18"/>
      <c r="GU20" s="19"/>
      <c r="GV20" s="33" t="str" cm="1">
        <f t="array" ref="GV20">_xlfn.IFS($D20="","",AND(GT20=$C20,GU20=$D20),3,($C20-$D20)/MAX(ABS($C20-$D20),1)=(GT20-GU20)/MAX(ABS(GT20-GU20),1),1,TRUE,0)</f>
        <v/>
      </c>
      <c r="GW20" s="18"/>
      <c r="GX20" s="19"/>
      <c r="GY20" s="33" t="str" cm="1">
        <f t="array" ref="GY20">_xlfn.IFS($D20="","",AND(GW20=$C20,GX20=$D20),3,($C20-$D20)/MAX(ABS($C20-$D20),1)=(GW20-GX20)/MAX(ABS(GW20-GX20),1),1,TRUE,0)</f>
        <v/>
      </c>
      <c r="GZ20" s="18"/>
      <c r="HA20" s="19"/>
      <c r="HB20" s="33" t="str" cm="1">
        <f t="array" ref="HB20">_xlfn.IFS($D20="","",AND(GZ20=$C20,HA20=$D20),3,($C20-$D20)/MAX(ABS($C20-$D20),1)=(GZ20-HA20)/MAX(ABS(GZ20-HA20),1),1,TRUE,0)</f>
        <v/>
      </c>
      <c r="HC20" s="18"/>
      <c r="HD20" s="19"/>
      <c r="HE20" s="33" t="str" cm="1">
        <f t="array" ref="HE20">_xlfn.IFS($D20="","",AND(HC20=$C20,HD20=$D20),3,($C20-$D20)/MAX(ABS($C20-$D20),1)=(HC20-HD20)/MAX(ABS(HC20-HD20),1),1,TRUE,0)</f>
        <v/>
      </c>
      <c r="HF20" s="18"/>
      <c r="HG20" s="19"/>
      <c r="HH20" s="33" t="str" cm="1">
        <f t="array" ref="HH20">_xlfn.IFS($D20="","",AND(HF20=$C20,HG20=$D20),3,($C20-$D20)/MAX(ABS($C20-$D20),1)=(HF20-HG20)/MAX(ABS(HF20-HG20),1),1,TRUE,0)</f>
        <v/>
      </c>
      <c r="HI20" s="18"/>
      <c r="HJ20" s="19"/>
      <c r="HK20" s="33" t="str" cm="1">
        <f t="array" ref="HK20">_xlfn.IFS($D20="","",AND(HI20=$C20,HJ20=$D20),3,($C20-$D20)/MAX(ABS($C20-$D20),1)=(HI20-HJ20)/MAX(ABS(HI20-HJ20),1),1,TRUE,0)</f>
        <v/>
      </c>
      <c r="HL20" s="18"/>
      <c r="HM20" s="19"/>
      <c r="HN20" s="33" t="str" cm="1">
        <f t="array" ref="HN20">_xlfn.IFS($D20="","",AND(HL20=$C20,HM20=$D20),3,($C20-$D20)/MAX(ABS($C20-$D20),1)=(HL20-HM20)/MAX(ABS(HL20-HM20),1),1,TRUE,0)</f>
        <v/>
      </c>
      <c r="HO20" s="18"/>
      <c r="HP20" s="19"/>
      <c r="HQ20" s="33" t="str" cm="1">
        <f t="array" ref="HQ20">_xlfn.IFS($D20="","",AND(HO20=$C20,HP20=$D20),3,($C20-$D20)/MAX(ABS($C20-$D20),1)=(HO20-HP20)/MAX(ABS(HO20-HP20),1),1,TRUE,0)</f>
        <v/>
      </c>
      <c r="HR20" s="18"/>
      <c r="HS20" s="19"/>
      <c r="HT20" s="33" t="str" cm="1">
        <f t="array" ref="HT20">_xlfn.IFS($D20="","",AND(HR20=$C20,HS20=$D20),3,($C20-$D20)/MAX(ABS($C20-$D20),1)=(HR20-HS20)/MAX(ABS(HR20-HS20),1),1,TRUE,0)</f>
        <v/>
      </c>
      <c r="HU20" s="18"/>
      <c r="HV20" s="19"/>
      <c r="HW20" s="33" t="str" cm="1">
        <f t="array" ref="HW20">_xlfn.IFS($D20="","",AND(HU20=$C20,HV20=$D20),3,($C20-$D20)/MAX(ABS($C20-$D20),1)=(HU20-HV20)/MAX(ABS(HU20-HV20),1),1,TRUE,0)</f>
        <v/>
      </c>
      <c r="HX20" s="18"/>
      <c r="HY20" s="19"/>
      <c r="HZ20" s="33" t="str" cm="1">
        <f t="array" ref="HZ20">_xlfn.IFS($D20="","",AND(HX20=$C20,HY20=$D20),3,($C20-$D20)/MAX(ABS($C20-$D20),1)=(HX20-HY20)/MAX(ABS(HX20-HY20),1),1,TRUE,0)</f>
        <v/>
      </c>
      <c r="IA20" s="18"/>
      <c r="IB20" s="19"/>
      <c r="IC20" s="33" t="str" cm="1">
        <f t="array" ref="IC20">_xlfn.IFS($D20="","",AND(IA20=$C20,IB20=$D20),3,($C20-$D20)/MAX(ABS($C20-$D20),1)=(IA20-IB20)/MAX(ABS(IA20-IB20),1),1,TRUE,0)</f>
        <v/>
      </c>
      <c r="ID20" s="18"/>
      <c r="IE20" s="19"/>
      <c r="IF20" s="33" t="str" cm="1">
        <f t="array" ref="IF20">_xlfn.IFS($D20="","",AND(ID20=$C20,IE20=$D20),3,($C20-$D20)/MAX(ABS($C20-$D20),1)=(ID20-IE20)/MAX(ABS(ID20-IE20),1),1,TRUE,0)</f>
        <v/>
      </c>
      <c r="IG20" s="18"/>
      <c r="IH20" s="19"/>
      <c r="II20" s="33" t="str" cm="1">
        <f t="array" ref="II20">_xlfn.IFS($D20="","",AND(IG20=$C20,IH20=$D20),3,($C20-$D20)/MAX(ABS($C20-$D20),1)=(IG20-IH20)/MAX(ABS(IG20-IH20),1),1,TRUE,0)</f>
        <v/>
      </c>
      <c r="IJ20" s="18"/>
      <c r="IK20" s="19"/>
      <c r="IL20" s="33" t="str" cm="1">
        <f t="array" ref="IL20">_xlfn.IFS($D20="","",AND(IJ20=$C20,IK20=$D20),3,($C20-$D20)/MAX(ABS($C20-$D20),1)=(IJ20-IK20)/MAX(ABS(IJ20-IK20),1),1,TRUE,0)</f>
        <v/>
      </c>
      <c r="IM20" s="18"/>
      <c r="IN20" s="19"/>
      <c r="IO20" s="33" t="str" cm="1">
        <f t="array" ref="IO20">_xlfn.IFS($D20="","",AND(IM20=$C20,IN20=$D20),3,($C20-$D20)/MAX(ABS($C20-$D20),1)=(IM20-IN20)/MAX(ABS(IM20-IN20),1),1,TRUE,0)</f>
        <v/>
      </c>
      <c r="IP20" s="18"/>
      <c r="IQ20" s="19"/>
      <c r="IR20" s="33" t="str" cm="1">
        <f t="array" ref="IR20">_xlfn.IFS($D20="","",AND(IP20=$C20,IQ20=$D20),3,($C20-$D20)/MAX(ABS($C20-$D20),1)=(IP20-IQ20)/MAX(ABS(IP20-IQ20),1),1,TRUE,0)</f>
        <v/>
      </c>
      <c r="IS20" s="18"/>
      <c r="IT20" s="19"/>
      <c r="IU20" s="33" t="str" cm="1">
        <f t="array" ref="IU20">_xlfn.IFS($D20="","",AND(IS20=$C20,IT20=$D20),3,($C20-$D20)/MAX(ABS($C20-$D20),1)=(IS20-IT20)/MAX(ABS(IS20-IT20),1),1,TRUE,0)</f>
        <v/>
      </c>
      <c r="IV20" s="18"/>
      <c r="IW20" s="19"/>
      <c r="IX20" s="33" t="str" cm="1">
        <f t="array" ref="IX20">_xlfn.IFS($D20="","",AND(IV20=$C20,IW20=$D20),3,($C20-$D20)/MAX(ABS($C20-$D20),1)=(IV20-IW20)/MAX(ABS(IV20-IW20),1),1,TRUE,0)</f>
        <v/>
      </c>
      <c r="IY20" s="18"/>
      <c r="IZ20" s="19"/>
      <c r="JA20" s="33" t="str" cm="1">
        <f t="array" ref="JA20">_xlfn.IFS($D20="","",AND(IY20=$C20,IZ20=$D20),3,($C20-$D20)/MAX(ABS($C20-$D20),1)=(IY20-IZ20)/MAX(ABS(IY20-IZ20),1),1,TRUE,0)</f>
        <v/>
      </c>
      <c r="JB20" s="18"/>
      <c r="JC20" s="19"/>
      <c r="JD20" s="33" t="str" cm="1">
        <f t="array" ref="JD20">_xlfn.IFS($D20="","",AND(JB20=$C20,JC20=$D20),3,($C20-$D20)/MAX(ABS($C20-$D20),1)=(JB20-JC20)/MAX(ABS(JB20-JC20),1),1,TRUE,0)</f>
        <v/>
      </c>
    </row>
    <row r="21" spans="1:264" ht="15" thickBot="1" x14ac:dyDescent="0.35">
      <c r="A21" s="22">
        <v>46190</v>
      </c>
      <c r="B21" s="28" t="s">
        <v>47</v>
      </c>
      <c r="C21" s="53" t="str" cm="1">
        <f t="array" ref="C21">_xlfn.LET(
_xlpm.x,_xlfn.XLOOKUP(1,(Scores_Fixtures[Date]=A21)*(Scores_Fixtures[Home.1]=B21),Scores_Fixtures[Score.1],""),
IF(_xlpm.x="","",_xlpm.x)
)</f>
        <v/>
      </c>
      <c r="D21" s="53" t="str" cm="1">
        <f t="array" ref="D21">_xlfn.LET(
_xlpm.x,_xlfn.XLOOKUP(1,(Scores_Fixtures[Date]=A21)*(Scores_Fixtures[Home.1]=B21),Scores_Fixtures[Score.2],""),
IF(_xlpm.x="","",_xlpm.x)
)</f>
        <v/>
      </c>
      <c r="E21" s="12" t="s">
        <v>69</v>
      </c>
      <c r="F21" s="15"/>
      <c r="G21" s="53"/>
      <c r="H21" s="53"/>
      <c r="I21" s="33" t="str" cm="1">
        <f t="array" ref="I21">_xlfn.IFS($D21="","",AND(G21=$C21,H21=$D21),3,($C21-$D21)/MAX(ABS($C21-$D21),1)=(G21-H21)/MAX(ABS(G21-H21),1),1,TRUE,0)</f>
        <v/>
      </c>
      <c r="J21" s="18"/>
      <c r="K21" s="19"/>
      <c r="L21" s="33" t="str" cm="1">
        <f t="array" ref="L21">_xlfn.IFS($D21="","",AND(J21=$C21,K21=$D21),3,($C21-$D21)/MAX(ABS($C21-$D21),1)=(J21-K21)/MAX(ABS(J21-K21),1),1,TRUE,0)</f>
        <v/>
      </c>
      <c r="M21" s="18"/>
      <c r="N21" s="19"/>
      <c r="O21" s="33" t="str" cm="1">
        <f t="array" ref="O21">_xlfn.IFS($D21="","",AND(M21=$C21,N21=$D21),3,($C21-$D21)/MAX(ABS($C21-$D21),1)=(M21-N21)/MAX(ABS(M21-N21),1),1,TRUE,0)</f>
        <v/>
      </c>
      <c r="P21" s="18"/>
      <c r="Q21" s="19"/>
      <c r="R21" s="33" t="str" cm="1">
        <f t="array" ref="R21">_xlfn.IFS($D21="","",AND(P21=$C21,Q21=$D21),3,($C21-$D21)/MAX(ABS($C21-$D21),1)=(P21-Q21)/MAX(ABS(P21-Q21),1),1,TRUE,0)</f>
        <v/>
      </c>
      <c r="S21" s="18"/>
      <c r="T21" s="19"/>
      <c r="U21" s="33" t="str" cm="1">
        <f t="array" ref="U21">_xlfn.IFS($D21="","",AND(S21=$C21,T21=$D21),3,($C21-$D21)/MAX(ABS($C21-$D21),1)=(S21-T21)/MAX(ABS(S21-T21),1),1,TRUE,0)</f>
        <v/>
      </c>
      <c r="V21" s="18"/>
      <c r="W21" s="19"/>
      <c r="X21" s="33" t="str" cm="1">
        <f t="array" ref="X21">_xlfn.IFS($D21="","",AND(V21=$C21,W21=$D21),3,($C21-$D21)/MAX(ABS($C21-$D21),1)=(V21-W21)/MAX(ABS(V21-W21),1),1,TRUE,0)</f>
        <v/>
      </c>
      <c r="Y21" s="18"/>
      <c r="Z21" s="19"/>
      <c r="AA21" s="33" t="str" cm="1">
        <f t="array" ref="AA21">_xlfn.IFS($D21="","",AND(Y21=$C21,Z21=$D21),3,($C21-$D21)/MAX(ABS($C21-$D21),1)=(Y21-Z21)/MAX(ABS(Y21-Z21),1),1,TRUE,0)</f>
        <v/>
      </c>
      <c r="AB21" s="18"/>
      <c r="AC21" s="19"/>
      <c r="AD21" s="33" t="str" cm="1">
        <f t="array" ref="AD21">_xlfn.IFS($D21="","",AND(AB21=$C21,AC21=$D21),3,($C21-$D21)/MAX(ABS($C21-$D21),1)=(AB21-AC21)/MAX(ABS(AB21-AC21),1),1,TRUE,0)</f>
        <v/>
      </c>
      <c r="AE21" s="18"/>
      <c r="AF21" s="19"/>
      <c r="AG21" s="33" t="str" cm="1">
        <f t="array" ref="AG21">_xlfn.IFS($D21="","",AND(AE21=$C21,AF21=$D21),3,($C21-$D21)/MAX(ABS($C21-$D21),1)=(AE21-AF21)/MAX(ABS(AE21-AF21),1),1,TRUE,0)</f>
        <v/>
      </c>
      <c r="AH21" s="18"/>
      <c r="AI21" s="19"/>
      <c r="AJ21" s="33" t="str" cm="1">
        <f t="array" ref="AJ21">_xlfn.IFS($D21="","",AND(AH21=$C21,AI21=$D21),3,($C21-$D21)/MAX(ABS($C21-$D21),1)=(AH21-AI21)/MAX(ABS(AH21-AI21),1),1,TRUE,0)</f>
        <v/>
      </c>
      <c r="AK21" s="18"/>
      <c r="AL21" s="19"/>
      <c r="AM21" s="33" t="str" cm="1">
        <f t="array" ref="AM21">_xlfn.IFS($D21="","",AND(AK21=$C21,AL21=$D21),3,($C21-$D21)/MAX(ABS($C21-$D21),1)=(AK21-AL21)/MAX(ABS(AK21-AL21),1),1,TRUE,0)</f>
        <v/>
      </c>
      <c r="AN21" s="18"/>
      <c r="AO21" s="19"/>
      <c r="AP21" s="33" t="str" cm="1">
        <f t="array" ref="AP21">_xlfn.IFS($D21="","",AND(AN21=$C21,AO21=$D21),3,($C21-$D21)/MAX(ABS($C21-$D21),1)=(AN21-AO21)/MAX(ABS(AN21-AO21),1),1,TRUE,0)</f>
        <v/>
      </c>
      <c r="AQ21" s="18"/>
      <c r="AR21" s="19"/>
      <c r="AS21" s="33" t="str" cm="1">
        <f t="array" ref="AS21">_xlfn.IFS($D21="","",AND(AQ21=$C21,AR21=$D21),3,($C21-$D21)/MAX(ABS($C21-$D21),1)=(AQ21-AR21)/MAX(ABS(AQ21-AR21),1),1,TRUE,0)</f>
        <v/>
      </c>
      <c r="AT21" s="18"/>
      <c r="AU21" s="19"/>
      <c r="AV21" s="33" t="str" cm="1">
        <f t="array" ref="AV21">_xlfn.IFS($D21="","",AND(AT21=$C21,AU21=$D21),3,($C21-$D21)/MAX(ABS($C21-$D21),1)=(AT21-AU21)/MAX(ABS(AT21-AU21),1),1,TRUE,0)</f>
        <v/>
      </c>
      <c r="AW21" s="18"/>
      <c r="AX21" s="19"/>
      <c r="AY21" s="33" t="str" cm="1">
        <f t="array" ref="AY21">_xlfn.IFS($D21="","",AND(AW21=$C21,AX21=$D21),3,($C21-$D21)/MAX(ABS($C21-$D21),1)=(AW21-AX21)/MAX(ABS(AW21-AX21),1),1,TRUE,0)</f>
        <v/>
      </c>
      <c r="AZ21" s="18"/>
      <c r="BA21" s="19"/>
      <c r="BB21" s="33" t="str" cm="1">
        <f t="array" ref="BB21">_xlfn.IFS($D21="","",AND(AZ21=$C21,BA21=$D21),3,($C21-$D21)/MAX(ABS($C21-$D21),1)=(AZ21-BA21)/MAX(ABS(AZ21-BA21),1),1,TRUE,0)</f>
        <v/>
      </c>
      <c r="BC21" s="18"/>
      <c r="BD21" s="19"/>
      <c r="BE21" s="33" t="str" cm="1">
        <f t="array" ref="BE21">_xlfn.IFS($D21="","",AND(BC21=$C21,BD21=$D21),3,($C21-$D21)/MAX(ABS($C21-$D21),1)=(BC21-BD21)/MAX(ABS(BC21-BD21),1),1,TRUE,0)</f>
        <v/>
      </c>
      <c r="BF21" s="18"/>
      <c r="BG21" s="19"/>
      <c r="BH21" s="33" t="str" cm="1">
        <f t="array" ref="BH21">_xlfn.IFS($D21="","",AND(BF21=$C21,BG21=$D21),3,($C21-$D21)/MAX(ABS($C21-$D21),1)=(BF21-BG21)/MAX(ABS(BF21-BG21),1),1,TRUE,0)</f>
        <v/>
      </c>
      <c r="BI21" s="18"/>
      <c r="BJ21" s="19"/>
      <c r="BK21" s="33" t="str" cm="1">
        <f t="array" ref="BK21">_xlfn.IFS($D21="","",AND(BI21=$C21,BJ21=$D21),3,($C21-$D21)/MAX(ABS($C21-$D21),1)=(BI21-BJ21)/MAX(ABS(BI21-BJ21),1),1,TRUE,0)</f>
        <v/>
      </c>
      <c r="BL21" s="18"/>
      <c r="BM21" s="19"/>
      <c r="BN21" s="33" t="str" cm="1">
        <f t="array" ref="BN21">_xlfn.IFS($D21="","",AND(BL21=$C21,BM21=$D21),3,($C21-$D21)/MAX(ABS($C21-$D21),1)=(BL21-BM21)/MAX(ABS(BL21-BM21),1),1,TRUE,0)</f>
        <v/>
      </c>
      <c r="BO21" s="18"/>
      <c r="BP21" s="19"/>
      <c r="BQ21" s="33" t="str" cm="1">
        <f t="array" ref="BQ21">_xlfn.IFS($D21="","",AND(BO21=$C21,BP21=$D21),3,($C21-$D21)/MAX(ABS($C21-$D21),1)=(BO21-BP21)/MAX(ABS(BO21-BP21),1),1,TRUE,0)</f>
        <v/>
      </c>
      <c r="BR21" s="18"/>
      <c r="BS21" s="19"/>
      <c r="BT21" s="33" t="str" cm="1">
        <f t="array" ref="BT21">_xlfn.IFS($D21="","",AND(BR21=$C21,BS21=$D21),3,($C21-$D21)/MAX(ABS($C21-$D21),1)=(BR21-BS21)/MAX(ABS(BR21-BS21),1),1,TRUE,0)</f>
        <v/>
      </c>
      <c r="BU21" s="18"/>
      <c r="BV21" s="19"/>
      <c r="BW21" s="33" t="str" cm="1">
        <f t="array" ref="BW21">_xlfn.IFS($D21="","",AND(BU21=$C21,BV21=$D21),3,($C21-$D21)/MAX(ABS($C21-$D21),1)=(BU21-BV21)/MAX(ABS(BU21-BV21),1),1,TRUE,0)</f>
        <v/>
      </c>
      <c r="BX21" s="18"/>
      <c r="BY21" s="19"/>
      <c r="BZ21" s="33" t="str" cm="1">
        <f t="array" ref="BZ21">_xlfn.IFS($D21="","",AND(BX21=$C21,BY21=$D21),3,($C21-$D21)/MAX(ABS($C21-$D21),1)=(BX21-BY21)/MAX(ABS(BX21-BY21),1),1,TRUE,0)</f>
        <v/>
      </c>
      <c r="CA21" s="18"/>
      <c r="CB21" s="19"/>
      <c r="CC21" s="33" t="str" cm="1">
        <f t="array" ref="CC21">_xlfn.IFS($D21="","",AND(CA21=$C21,CB21=$D21),3,($C21-$D21)/MAX(ABS($C21-$D21),1)=(CA21-CB21)/MAX(ABS(CA21-CB21),1),1,TRUE,0)</f>
        <v/>
      </c>
      <c r="CD21" s="18"/>
      <c r="CE21" s="19"/>
      <c r="CF21" s="33" t="str" cm="1">
        <f t="array" ref="CF21">_xlfn.IFS($D21="","",AND(CD21=$C21,CE21=$D21),3,($C21-$D21)/MAX(ABS($C21-$D21),1)=(CD21-CE21)/MAX(ABS(CD21-CE21),1),1,TRUE,0)</f>
        <v/>
      </c>
      <c r="CG21" s="18"/>
      <c r="CH21" s="19"/>
      <c r="CI21" s="33" t="str" cm="1">
        <f t="array" ref="CI21">_xlfn.IFS($D21="","",AND(CG21=$C21,CH21=$D21),3,($C21-$D21)/MAX(ABS($C21-$D21),1)=(CG21-CH21)/MAX(ABS(CG21-CH21),1),1,TRUE,0)</f>
        <v/>
      </c>
      <c r="CJ21" s="18"/>
      <c r="CK21" s="19"/>
      <c r="CL21" s="33" t="str" cm="1">
        <f t="array" ref="CL21">_xlfn.IFS($D21="","",AND(CJ21=$C21,CK21=$D21),3,($C21-$D21)/MAX(ABS($C21-$D21),1)=(CJ21-CK21)/MAX(ABS(CJ21-CK21),1),1,TRUE,0)</f>
        <v/>
      </c>
      <c r="CM21" s="18"/>
      <c r="CN21" s="19"/>
      <c r="CO21" s="33" t="str" cm="1">
        <f t="array" ref="CO21">_xlfn.IFS($D21="","",AND(CM21=$C21,CN21=$D21),3,($C21-$D21)/MAX(ABS($C21-$D21),1)=(CM21-CN21)/MAX(ABS(CM21-CN21),1),1,TRUE,0)</f>
        <v/>
      </c>
      <c r="CP21" s="18"/>
      <c r="CQ21" s="19"/>
      <c r="CR21" s="33" t="str" cm="1">
        <f t="array" ref="CR21">_xlfn.IFS($D21="","",AND(CP21=$C21,CQ21=$D21),3,($C21-$D21)/MAX(ABS($C21-$D21),1)=(CP21-CQ21)/MAX(ABS(CP21-CQ21),1),1,TRUE,0)</f>
        <v/>
      </c>
      <c r="CS21" s="18"/>
      <c r="CT21" s="19"/>
      <c r="CU21" s="33" t="str" cm="1">
        <f t="array" ref="CU21">_xlfn.IFS($D21="","",AND(CS21=$C21,CT21=$D21),3,($C21-$D21)/MAX(ABS($C21-$D21),1)=(CS21-CT21)/MAX(ABS(CS21-CT21),1),1,TRUE,0)</f>
        <v/>
      </c>
      <c r="CV21" s="18"/>
      <c r="CW21" s="19"/>
      <c r="CX21" s="33" t="str" cm="1">
        <f t="array" ref="CX21">_xlfn.IFS($D21="","",AND(CV21=$C21,CW21=$D21),3,($C21-$D21)/MAX(ABS($C21-$D21),1)=(CV21-CW21)/MAX(ABS(CV21-CW21),1),1,TRUE,0)</f>
        <v/>
      </c>
      <c r="CY21" s="18"/>
      <c r="CZ21" s="19"/>
      <c r="DA21" s="33" t="str" cm="1">
        <f t="array" ref="DA21">_xlfn.IFS($D21="","",AND(CY21=$C21,CZ21=$D21),3,($C21-$D21)/MAX(ABS($C21-$D21),1)=(CY21-CZ21)/MAX(ABS(CY21-CZ21),1),1,TRUE,0)</f>
        <v/>
      </c>
      <c r="DB21" s="37"/>
      <c r="DC21" s="38"/>
      <c r="DD21" s="33" t="str" cm="1">
        <f t="array" ref="DD21">_xlfn.IFS($D21="","",AND(DB21=$C21,DC21=$D21),3,($C21-$D21)/MAX(ABS($C21-$D21),1)=(DB21-DC21)/MAX(ABS(DB21-DC21),1),1,TRUE,0)</f>
        <v/>
      </c>
      <c r="DE21" s="18"/>
      <c r="DF21" s="19"/>
      <c r="DG21" s="33" t="str" cm="1">
        <f t="array" ref="DG21">_xlfn.IFS($D21="","",AND(DE21=$C21,DF21=$D21),3,($C21-$D21)/MAX(ABS($C21-$D21),1)=(DE21-DF21)/MAX(ABS(DE21-DF21),1),1,TRUE,0)</f>
        <v/>
      </c>
      <c r="DH21" s="18"/>
      <c r="DI21" s="19"/>
      <c r="DJ21" s="33" t="str" cm="1">
        <f t="array" ref="DJ21">_xlfn.IFS($D21="","",AND(DH21=$C21,DI21=$D21),3,($C21-$D21)/MAX(ABS($C21-$D21),1)=(DH21-DI21)/MAX(ABS(DH21-DI21),1),1,TRUE,0)</f>
        <v/>
      </c>
      <c r="DK21" s="18"/>
      <c r="DL21" s="19"/>
      <c r="DM21" s="33" t="str" cm="1">
        <f t="array" ref="DM21">_xlfn.IFS($D21="","",AND(DK21=$C21,DL21=$D21),3,($C21-$D21)/MAX(ABS($C21-$D21),1)=(DK21-DL21)/MAX(ABS(DK21-DL21),1),1,TRUE,0)</f>
        <v/>
      </c>
      <c r="DN21" s="18"/>
      <c r="DO21" s="19"/>
      <c r="DP21" s="33" t="str" cm="1">
        <f t="array" ref="DP21">_xlfn.IFS($D21="","",AND(DN21=$C21,DO21=$D21),3,($C21-$D21)/MAX(ABS($C21-$D21),1)=(DN21-DO21)/MAX(ABS(DN21-DO21),1),1,TRUE,0)</f>
        <v/>
      </c>
      <c r="DQ21" s="18"/>
      <c r="DR21" s="19"/>
      <c r="DS21" s="33" t="str" cm="1">
        <f t="array" ref="DS21">_xlfn.IFS($D21="","",AND(DQ21=$C21,DR21=$D21),3,($C21-$D21)/MAX(ABS($C21-$D21),1)=(DQ21-DR21)/MAX(ABS(DQ21-DR21),1),1,TRUE,0)</f>
        <v/>
      </c>
      <c r="DT21" s="18"/>
      <c r="DU21" s="19"/>
      <c r="DV21" s="33" t="str" cm="1">
        <f t="array" ref="DV21">_xlfn.IFS($D21="","",AND(DT21=$C21,DU21=$D21),3,($C21-$D21)/MAX(ABS($C21-$D21),1)=(DT21-DU21)/MAX(ABS(DT21-DU21),1),1,TRUE,0)</f>
        <v/>
      </c>
      <c r="DW21" s="18"/>
      <c r="DX21" s="19"/>
      <c r="DY21" s="33" t="str" cm="1">
        <f t="array" ref="DY21">_xlfn.IFS($D21="","",AND(DW21=$C21,DX21=$D21),3,($C21-$D21)/MAX(ABS($C21-$D21),1)=(DW21-DX21)/MAX(ABS(DW21-DX21),1),1,TRUE,0)</f>
        <v/>
      </c>
      <c r="DZ21" s="18"/>
      <c r="EA21" s="19"/>
      <c r="EB21" s="33" t="str" cm="1">
        <f t="array" ref="EB21">_xlfn.IFS($D21="","",AND(DZ21=$C21,EA21=$D21),3,($C21-$D21)/MAX(ABS($C21-$D21),1)=(DZ21-EA21)/MAX(ABS(DZ21-EA21),1),1,TRUE,0)</f>
        <v/>
      </c>
      <c r="EC21" s="18"/>
      <c r="ED21" s="19"/>
      <c r="EE21" s="33" t="str" cm="1">
        <f t="array" ref="EE21">_xlfn.IFS($D21="","",AND(EC21=$C21,ED21=$D21),3,($C21-$D21)/MAX(ABS($C21-$D21),1)=(EC21-ED21)/MAX(ABS(EC21-ED21),1),1,TRUE,0)</f>
        <v/>
      </c>
      <c r="EF21" s="18"/>
      <c r="EG21" s="19"/>
      <c r="EH21" s="33" t="str" cm="1">
        <f t="array" ref="EH21">_xlfn.IFS($D21="","",AND(EF21=$C21,EG21=$D21),3,($C21-$D21)/MAX(ABS($C21-$D21),1)=(EF21-EG21)/MAX(ABS(EF21-EG21),1),1,TRUE,0)</f>
        <v/>
      </c>
      <c r="EI21" s="43"/>
      <c r="EJ21" s="44"/>
      <c r="EK21" s="33" t="str" cm="1">
        <f t="array" ref="EK21">_xlfn.IFS($D21="","",AND(EI21=$C21,EJ21=$D21),3,($C21-$D21)/MAX(ABS($C21-$D21),1)=(EI21-EJ21)/MAX(ABS(EI21-EJ21),1),1,TRUE,0)</f>
        <v/>
      </c>
      <c r="EL21" s="18"/>
      <c r="EM21" s="19"/>
      <c r="EN21" s="33" t="str" cm="1">
        <f t="array" ref="EN21">_xlfn.IFS($D21="","",AND(EL21=$C21,EM21=$D21),3,($C21-$D21)/MAX(ABS($C21-$D21),1)=(EL21-EM21)/MAX(ABS(EL21-EM21),1),1,TRUE,0)</f>
        <v/>
      </c>
      <c r="EO21" s="18"/>
      <c r="EP21" s="19"/>
      <c r="EQ21" s="33" t="str" cm="1">
        <f t="array" ref="EQ21">_xlfn.IFS($D21="","",AND(EO21=$C21,EP21=$D21),3,($C21-$D21)/MAX(ABS($C21-$D21),1)=(EO21-EP21)/MAX(ABS(EO21-EP21),1),1,TRUE,0)</f>
        <v/>
      </c>
      <c r="ER21" s="18"/>
      <c r="ES21" s="19"/>
      <c r="ET21" s="33" t="str" cm="1">
        <f t="array" ref="ET21">_xlfn.IFS($D21="","",AND(ER21=$C21,ES21=$D21),3,($C21-$D21)/MAX(ABS($C21-$D21),1)=(ER21-ES21)/MAX(ABS(ER21-ES21),1),1,TRUE,0)</f>
        <v/>
      </c>
      <c r="EU21" s="18"/>
      <c r="EV21" s="19"/>
      <c r="EW21" s="33" t="str" cm="1">
        <f t="array" ref="EW21">_xlfn.IFS($D21="","",AND(EU21=$C21,EV21=$D21),3,($C21-$D21)/MAX(ABS($C21-$D21),1)=(EU21-EV21)/MAX(ABS(EU21-EV21),1),1,TRUE,0)</f>
        <v/>
      </c>
      <c r="EX21" s="18"/>
      <c r="EY21" s="19"/>
      <c r="EZ21" s="33" t="str" cm="1">
        <f t="array" ref="EZ21">_xlfn.IFS($D21="","",AND(EX21=$C21,EY21=$D21),3,($C21-$D21)/MAX(ABS($C21-$D21),1)=(EX21-EY21)/MAX(ABS(EX21-EY21),1),1,TRUE,0)</f>
        <v/>
      </c>
      <c r="FA21" s="18"/>
      <c r="FB21" s="19"/>
      <c r="FC21" s="33" t="str" cm="1">
        <f t="array" ref="FC21">_xlfn.IFS($D21="","",AND(FA21=$C21,FB21=$D21),3,($C21-$D21)/MAX(ABS($C21-$D21),1)=(FA21-FB21)/MAX(ABS(FA21-FB21),1),1,TRUE,0)</f>
        <v/>
      </c>
      <c r="FD21" s="18"/>
      <c r="FE21" s="19"/>
      <c r="FF21" s="33" t="str" cm="1">
        <f t="array" ref="FF21">_xlfn.IFS($D21="","",AND(FD21=$C21,FE21=$D21),3,($C21-$D21)/MAX(ABS($C21-$D21),1)=(FD21-FE21)/MAX(ABS(FD21-FE21),1),1,TRUE,0)</f>
        <v/>
      </c>
      <c r="FG21" s="18"/>
      <c r="FH21" s="19"/>
      <c r="FI21" s="33" t="str" cm="1">
        <f t="array" ref="FI21">_xlfn.IFS($D21="","",AND(FG21=$C21,FH21=$D21),3,($C21-$D21)/MAX(ABS($C21-$D21),1)=(FG21-FH21)/MAX(ABS(FG21-FH21),1),1,TRUE,0)</f>
        <v/>
      </c>
      <c r="FJ21" s="18"/>
      <c r="FK21" s="19"/>
      <c r="FL21" s="33" t="str" cm="1">
        <f t="array" ref="FL21">_xlfn.IFS($D21="","",AND(FJ21=$C21,FK21=$D21),3,($C21-$D21)/MAX(ABS($C21-$D21),1)=(FJ21-FK21)/MAX(ABS(FJ21-FK21),1),1,TRUE,0)</f>
        <v/>
      </c>
      <c r="FM21" s="18"/>
      <c r="FN21" s="19"/>
      <c r="FO21" s="33" t="str" cm="1">
        <f t="array" ref="FO21">_xlfn.IFS($D21="","",AND(FM21=$C21,FN21=$D21),3,($C21-$D21)/MAX(ABS($C21-$D21),1)=(FM21-FN21)/MAX(ABS(FM21-FN21),1),1,TRUE,0)</f>
        <v/>
      </c>
      <c r="FP21" s="18"/>
      <c r="FQ21" s="19"/>
      <c r="FR21" s="33" t="str" cm="1">
        <f t="array" ref="FR21">_xlfn.IFS($D21="","",AND(FP21=$C21,FQ21=$D21),3,($C21-$D21)/MAX(ABS($C21-$D21),1)=(FP21-FQ21)/MAX(ABS(FP21-FQ21),1),1,TRUE,0)</f>
        <v/>
      </c>
      <c r="FS21" s="18"/>
      <c r="FT21" s="19"/>
      <c r="FU21" s="33" t="str" cm="1">
        <f t="array" ref="FU21">_xlfn.IFS($D21="","",AND(FS21=$C21,FT21=$D21),3,($C21-$D21)/MAX(ABS($C21-$D21),1)=(FS21-FT21)/MAX(ABS(FS21-FT21),1),1,TRUE,0)</f>
        <v/>
      </c>
      <c r="FV21" s="18"/>
      <c r="FW21" s="19"/>
      <c r="FX21" s="33" t="str" cm="1">
        <f t="array" ref="FX21">_xlfn.IFS($D21="","",AND(FV21=$C21,FW21=$D21),3,($C21-$D21)/MAX(ABS($C21-$D21),1)=(FV21-FW21)/MAX(ABS(FV21-FW21),1),1,TRUE,0)</f>
        <v/>
      </c>
      <c r="FY21" s="18"/>
      <c r="FZ21" s="19"/>
      <c r="GA21" s="33" t="str" cm="1">
        <f t="array" ref="GA21">_xlfn.IFS($D21="","",AND(FY21=$C21,FZ21=$D21),3,($C21-$D21)/MAX(ABS($C21-$D21),1)=(FY21-FZ21)/MAX(ABS(FY21-FZ21),1),1,TRUE,0)</f>
        <v/>
      </c>
      <c r="GB21" s="18"/>
      <c r="GC21" s="19"/>
      <c r="GD21" s="33" t="str" cm="1">
        <f t="array" ref="GD21">_xlfn.IFS($D21="","",AND(GB21=$C21,GC21=$D21),3,($C21-$D21)/MAX(ABS($C21-$D21),1)=(GB21-GC21)/MAX(ABS(GB21-GC21),1),1,TRUE,0)</f>
        <v/>
      </c>
      <c r="GE21" s="47"/>
      <c r="GF21" s="45"/>
      <c r="GG21" s="33" t="str" cm="1">
        <f t="array" ref="GG21">_xlfn.IFS($D21="","",AND(GE21=$C21,GF21=$D21),3,($C21-$D21)/MAX(ABS($C21-$D21),1)=(GE21-GF21)/MAX(ABS(GE21-GF21),1),1,TRUE,0)</f>
        <v/>
      </c>
      <c r="GH21" s="18"/>
      <c r="GI21" s="19"/>
      <c r="GJ21" s="33" t="str" cm="1">
        <f t="array" ref="GJ21">_xlfn.IFS($D21="","",AND(GH21=$C21,GI21=$D21),3,($C21-$D21)/MAX(ABS($C21-$D21),1)=(GH21-GI21)/MAX(ABS(GH21-GI21),1),1,TRUE,0)</f>
        <v/>
      </c>
      <c r="GK21" s="18"/>
      <c r="GL21" s="19"/>
      <c r="GM21" s="33" t="str" cm="1">
        <f t="array" ref="GM21">_xlfn.IFS($D21="","",AND(GK21=$C21,GL21=$D21),3,($C21-$D21)/MAX(ABS($C21-$D21),1)=(GK21-GL21)/MAX(ABS(GK21-GL21),1),1,TRUE,0)</f>
        <v/>
      </c>
      <c r="GN21" s="18"/>
      <c r="GO21" s="19"/>
      <c r="GP21" s="33" t="str" cm="1">
        <f t="array" ref="GP21">_xlfn.IFS($D21="","",AND(GN21=$C21,GO21=$D21),3,($C21-$D21)/MAX(ABS($C21-$D21),1)=(GN21-GO21)/MAX(ABS(GN21-GO21),1),1,TRUE,0)</f>
        <v/>
      </c>
      <c r="GQ21" s="18"/>
      <c r="GR21" s="19"/>
      <c r="GS21" s="33" t="str" cm="1">
        <f t="array" ref="GS21">_xlfn.IFS($D21="","",AND(GQ21=$C21,GR21=$D21),3,($C21-$D21)/MAX(ABS($C21-$D21),1)=(GQ21-GR21)/MAX(ABS(GQ21-GR21),1),1,TRUE,0)</f>
        <v/>
      </c>
      <c r="GT21" s="18"/>
      <c r="GU21" s="19"/>
      <c r="GV21" s="33" t="str" cm="1">
        <f t="array" ref="GV21">_xlfn.IFS($D21="","",AND(GT21=$C21,GU21=$D21),3,($C21-$D21)/MAX(ABS($C21-$D21),1)=(GT21-GU21)/MAX(ABS(GT21-GU21),1),1,TRUE,0)</f>
        <v/>
      </c>
      <c r="GW21" s="18"/>
      <c r="GX21" s="19"/>
      <c r="GY21" s="33" t="str" cm="1">
        <f t="array" ref="GY21">_xlfn.IFS($D21="","",AND(GW21=$C21,GX21=$D21),3,($C21-$D21)/MAX(ABS($C21-$D21),1)=(GW21-GX21)/MAX(ABS(GW21-GX21),1),1,TRUE,0)</f>
        <v/>
      </c>
      <c r="GZ21" s="18"/>
      <c r="HA21" s="19"/>
      <c r="HB21" s="33" t="str" cm="1">
        <f t="array" ref="HB21">_xlfn.IFS($D21="","",AND(GZ21=$C21,HA21=$D21),3,($C21-$D21)/MAX(ABS($C21-$D21),1)=(GZ21-HA21)/MAX(ABS(GZ21-HA21),1),1,TRUE,0)</f>
        <v/>
      </c>
      <c r="HC21" s="18"/>
      <c r="HD21" s="19"/>
      <c r="HE21" s="33" t="str" cm="1">
        <f t="array" ref="HE21">_xlfn.IFS($D21="","",AND(HC21=$C21,HD21=$D21),3,($C21-$D21)/MAX(ABS($C21-$D21),1)=(HC21-HD21)/MAX(ABS(HC21-HD21),1),1,TRUE,0)</f>
        <v/>
      </c>
      <c r="HF21" s="18"/>
      <c r="HG21" s="19"/>
      <c r="HH21" s="33" t="str" cm="1">
        <f t="array" ref="HH21">_xlfn.IFS($D21="","",AND(HF21=$C21,HG21=$D21),3,($C21-$D21)/MAX(ABS($C21-$D21),1)=(HF21-HG21)/MAX(ABS(HF21-HG21),1),1,TRUE,0)</f>
        <v/>
      </c>
      <c r="HI21" s="18"/>
      <c r="HJ21" s="19"/>
      <c r="HK21" s="33" t="str" cm="1">
        <f t="array" ref="HK21">_xlfn.IFS($D21="","",AND(HI21=$C21,HJ21=$D21),3,($C21-$D21)/MAX(ABS($C21-$D21),1)=(HI21-HJ21)/MAX(ABS(HI21-HJ21),1),1,TRUE,0)</f>
        <v/>
      </c>
      <c r="HL21" s="18"/>
      <c r="HM21" s="19"/>
      <c r="HN21" s="33" t="str" cm="1">
        <f t="array" ref="HN21">_xlfn.IFS($D21="","",AND(HL21=$C21,HM21=$D21),3,($C21-$D21)/MAX(ABS($C21-$D21),1)=(HL21-HM21)/MAX(ABS(HL21-HM21),1),1,TRUE,0)</f>
        <v/>
      </c>
      <c r="HO21" s="18"/>
      <c r="HP21" s="19"/>
      <c r="HQ21" s="33" t="str" cm="1">
        <f t="array" ref="HQ21">_xlfn.IFS($D21="","",AND(HO21=$C21,HP21=$D21),3,($C21-$D21)/MAX(ABS($C21-$D21),1)=(HO21-HP21)/MAX(ABS(HO21-HP21),1),1,TRUE,0)</f>
        <v/>
      </c>
      <c r="HR21" s="18"/>
      <c r="HS21" s="19"/>
      <c r="HT21" s="33" t="str" cm="1">
        <f t="array" ref="HT21">_xlfn.IFS($D21="","",AND(HR21=$C21,HS21=$D21),3,($C21-$D21)/MAX(ABS($C21-$D21),1)=(HR21-HS21)/MAX(ABS(HR21-HS21),1),1,TRUE,0)</f>
        <v/>
      </c>
      <c r="HU21" s="18"/>
      <c r="HV21" s="19"/>
      <c r="HW21" s="33" t="str" cm="1">
        <f t="array" ref="HW21">_xlfn.IFS($D21="","",AND(HU21=$C21,HV21=$D21),3,($C21-$D21)/MAX(ABS($C21-$D21),1)=(HU21-HV21)/MAX(ABS(HU21-HV21),1),1,TRUE,0)</f>
        <v/>
      </c>
      <c r="HX21" s="18"/>
      <c r="HY21" s="19"/>
      <c r="HZ21" s="33" t="str" cm="1">
        <f t="array" ref="HZ21">_xlfn.IFS($D21="","",AND(HX21=$C21,HY21=$D21),3,($C21-$D21)/MAX(ABS($C21-$D21),1)=(HX21-HY21)/MAX(ABS(HX21-HY21),1),1,TRUE,0)</f>
        <v/>
      </c>
      <c r="IA21" s="18"/>
      <c r="IB21" s="19"/>
      <c r="IC21" s="33" t="str" cm="1">
        <f t="array" ref="IC21">_xlfn.IFS($D21="","",AND(IA21=$C21,IB21=$D21),3,($C21-$D21)/MAX(ABS($C21-$D21),1)=(IA21-IB21)/MAX(ABS(IA21-IB21),1),1,TRUE,0)</f>
        <v/>
      </c>
      <c r="ID21" s="18"/>
      <c r="IE21" s="19"/>
      <c r="IF21" s="33" t="str" cm="1">
        <f t="array" ref="IF21">_xlfn.IFS($D21="","",AND(ID21=$C21,IE21=$D21),3,($C21-$D21)/MAX(ABS($C21-$D21),1)=(ID21-IE21)/MAX(ABS(ID21-IE21),1),1,TRUE,0)</f>
        <v/>
      </c>
      <c r="IG21" s="18"/>
      <c r="IH21" s="19"/>
      <c r="II21" s="33" t="str" cm="1">
        <f t="array" ref="II21">_xlfn.IFS($D21="","",AND(IG21=$C21,IH21=$D21),3,($C21-$D21)/MAX(ABS($C21-$D21),1)=(IG21-IH21)/MAX(ABS(IG21-IH21),1),1,TRUE,0)</f>
        <v/>
      </c>
      <c r="IJ21" s="18"/>
      <c r="IK21" s="19"/>
      <c r="IL21" s="33" t="str" cm="1">
        <f t="array" ref="IL21">_xlfn.IFS($D21="","",AND(IJ21=$C21,IK21=$D21),3,($C21-$D21)/MAX(ABS($C21-$D21),1)=(IJ21-IK21)/MAX(ABS(IJ21-IK21),1),1,TRUE,0)</f>
        <v/>
      </c>
      <c r="IM21" s="18"/>
      <c r="IN21" s="19"/>
      <c r="IO21" s="33" t="str" cm="1">
        <f t="array" ref="IO21">_xlfn.IFS($D21="","",AND(IM21=$C21,IN21=$D21),3,($C21-$D21)/MAX(ABS($C21-$D21),1)=(IM21-IN21)/MAX(ABS(IM21-IN21),1),1,TRUE,0)</f>
        <v/>
      </c>
      <c r="IP21" s="18"/>
      <c r="IQ21" s="19"/>
      <c r="IR21" s="33" t="str" cm="1">
        <f t="array" ref="IR21">_xlfn.IFS($D21="","",AND(IP21=$C21,IQ21=$D21),3,($C21-$D21)/MAX(ABS($C21-$D21),1)=(IP21-IQ21)/MAX(ABS(IP21-IQ21),1),1,TRUE,0)</f>
        <v/>
      </c>
      <c r="IS21" s="18"/>
      <c r="IT21" s="19"/>
      <c r="IU21" s="33" t="str" cm="1">
        <f t="array" ref="IU21">_xlfn.IFS($D21="","",AND(IS21=$C21,IT21=$D21),3,($C21-$D21)/MAX(ABS($C21-$D21),1)=(IS21-IT21)/MAX(ABS(IS21-IT21),1),1,TRUE,0)</f>
        <v/>
      </c>
      <c r="IV21" s="18"/>
      <c r="IW21" s="19"/>
      <c r="IX21" s="33" t="str" cm="1">
        <f t="array" ref="IX21">_xlfn.IFS($D21="","",AND(IV21=$C21,IW21=$D21),3,($C21-$D21)/MAX(ABS($C21-$D21),1)=(IV21-IW21)/MAX(ABS(IV21-IW21),1),1,TRUE,0)</f>
        <v/>
      </c>
      <c r="IY21" s="18"/>
      <c r="IZ21" s="19"/>
      <c r="JA21" s="33" t="str" cm="1">
        <f t="array" ref="JA21">_xlfn.IFS($D21="","",AND(IY21=$C21,IZ21=$D21),3,($C21-$D21)/MAX(ABS($C21-$D21),1)=(IY21-IZ21)/MAX(ABS(IY21-IZ21),1),1,TRUE,0)</f>
        <v/>
      </c>
      <c r="JB21" s="18"/>
      <c r="JC21" s="19"/>
      <c r="JD21" s="33" t="str" cm="1">
        <f t="array" ref="JD21">_xlfn.IFS($D21="","",AND(JB21=$C21,JC21=$D21),3,($C21-$D21)/MAX(ABS($C21-$D21),1)=(JB21-JC21)/MAX(ABS(JB21-JC21),1),1,TRUE,0)</f>
        <v/>
      </c>
    </row>
    <row r="22" spans="1:264" ht="15" thickBot="1" x14ac:dyDescent="0.35">
      <c r="A22" s="22">
        <v>46190</v>
      </c>
      <c r="B22" s="28" t="s">
        <v>32</v>
      </c>
      <c r="C22" s="53" t="str" cm="1">
        <f t="array" ref="C22">_xlfn.LET(
_xlpm.x,_xlfn.XLOOKUP(1,(Scores_Fixtures[Date]=A22)*(Scores_Fixtures[Home.1]=B22),Scores_Fixtures[Score.1],""),
IF(_xlpm.x="","",_xlpm.x)
)</f>
        <v/>
      </c>
      <c r="D22" s="53" t="str" cm="1">
        <f t="array" ref="D22">_xlfn.LET(
_xlpm.x,_xlfn.XLOOKUP(1,(Scores_Fixtures[Date]=A22)*(Scores_Fixtures[Home.1]=B22),Scores_Fixtures[Score.2],""),
IF(_xlpm.x="","",_xlpm.x)
)</f>
        <v/>
      </c>
      <c r="E22" s="12" t="s">
        <v>56</v>
      </c>
      <c r="F22" s="15"/>
      <c r="G22" s="53"/>
      <c r="H22" s="53"/>
      <c r="I22" s="33" t="str" cm="1">
        <f t="array" ref="I22">_xlfn.IFS($D22="","",AND(G22=$C22,H22=$D22),3,($C22-$D22)/MAX(ABS($C22-$D22),1)=(G22-H22)/MAX(ABS(G22-H22),1),1,TRUE,0)</f>
        <v/>
      </c>
      <c r="J22" s="18"/>
      <c r="K22" s="19"/>
      <c r="L22" s="33" t="str" cm="1">
        <f t="array" ref="L22">_xlfn.IFS($D22="","",AND(J22=$C22,K22=$D22),3,($C22-$D22)/MAX(ABS($C22-$D22),1)=(J22-K22)/MAX(ABS(J22-K22),1),1,TRUE,0)</f>
        <v/>
      </c>
      <c r="M22" s="18"/>
      <c r="N22" s="19"/>
      <c r="O22" s="33" t="str" cm="1">
        <f t="array" ref="O22">_xlfn.IFS($D22="","",AND(M22=$C22,N22=$D22),3,($C22-$D22)/MAX(ABS($C22-$D22),1)=(M22-N22)/MAX(ABS(M22-N22),1),1,TRUE,0)</f>
        <v/>
      </c>
      <c r="P22" s="18"/>
      <c r="Q22" s="19"/>
      <c r="R22" s="33" t="str" cm="1">
        <f t="array" ref="R22">_xlfn.IFS($D22="","",AND(P22=$C22,Q22=$D22),3,($C22-$D22)/MAX(ABS($C22-$D22),1)=(P22-Q22)/MAX(ABS(P22-Q22),1),1,TRUE,0)</f>
        <v/>
      </c>
      <c r="S22" s="18"/>
      <c r="T22" s="19"/>
      <c r="U22" s="33" t="str" cm="1">
        <f t="array" ref="U22">_xlfn.IFS($D22="","",AND(S22=$C22,T22=$D22),3,($C22-$D22)/MAX(ABS($C22-$D22),1)=(S22-T22)/MAX(ABS(S22-T22),1),1,TRUE,0)</f>
        <v/>
      </c>
      <c r="V22" s="18"/>
      <c r="W22" s="19"/>
      <c r="X22" s="33" t="str" cm="1">
        <f t="array" ref="X22">_xlfn.IFS($D22="","",AND(V22=$C22,W22=$D22),3,($C22-$D22)/MAX(ABS($C22-$D22),1)=(V22-W22)/MAX(ABS(V22-W22),1),1,TRUE,0)</f>
        <v/>
      </c>
      <c r="Y22" s="18"/>
      <c r="Z22" s="19"/>
      <c r="AA22" s="33" t="str" cm="1">
        <f t="array" ref="AA22">_xlfn.IFS($D22="","",AND(Y22=$C22,Z22=$D22),3,($C22-$D22)/MAX(ABS($C22-$D22),1)=(Y22-Z22)/MAX(ABS(Y22-Z22),1),1,TRUE,0)</f>
        <v/>
      </c>
      <c r="AB22" s="18"/>
      <c r="AC22" s="19"/>
      <c r="AD22" s="33" t="str" cm="1">
        <f t="array" ref="AD22">_xlfn.IFS($D22="","",AND(AB22=$C22,AC22=$D22),3,($C22-$D22)/MAX(ABS($C22-$D22),1)=(AB22-AC22)/MAX(ABS(AB22-AC22),1),1,TRUE,0)</f>
        <v/>
      </c>
      <c r="AE22" s="18"/>
      <c r="AF22" s="19"/>
      <c r="AG22" s="33" t="str" cm="1">
        <f t="array" ref="AG22">_xlfn.IFS($D22="","",AND(AE22=$C22,AF22=$D22),3,($C22-$D22)/MAX(ABS($C22-$D22),1)=(AE22-AF22)/MAX(ABS(AE22-AF22),1),1,TRUE,0)</f>
        <v/>
      </c>
      <c r="AH22" s="18"/>
      <c r="AI22" s="19"/>
      <c r="AJ22" s="33" t="str" cm="1">
        <f t="array" ref="AJ22">_xlfn.IFS($D22="","",AND(AH22=$C22,AI22=$D22),3,($C22-$D22)/MAX(ABS($C22-$D22),1)=(AH22-AI22)/MAX(ABS(AH22-AI22),1),1,TRUE,0)</f>
        <v/>
      </c>
      <c r="AK22" s="18"/>
      <c r="AL22" s="19"/>
      <c r="AM22" s="33" t="str" cm="1">
        <f t="array" ref="AM22">_xlfn.IFS($D22="","",AND(AK22=$C22,AL22=$D22),3,($C22-$D22)/MAX(ABS($C22-$D22),1)=(AK22-AL22)/MAX(ABS(AK22-AL22),1),1,TRUE,0)</f>
        <v/>
      </c>
      <c r="AN22" s="18"/>
      <c r="AO22" s="19"/>
      <c r="AP22" s="33" t="str" cm="1">
        <f t="array" ref="AP22">_xlfn.IFS($D22="","",AND(AN22=$C22,AO22=$D22),3,($C22-$D22)/MAX(ABS($C22-$D22),1)=(AN22-AO22)/MAX(ABS(AN22-AO22),1),1,TRUE,0)</f>
        <v/>
      </c>
      <c r="AQ22" s="18"/>
      <c r="AR22" s="19"/>
      <c r="AS22" s="33" t="str" cm="1">
        <f t="array" ref="AS22">_xlfn.IFS($D22="","",AND(AQ22=$C22,AR22=$D22),3,($C22-$D22)/MAX(ABS($C22-$D22),1)=(AQ22-AR22)/MAX(ABS(AQ22-AR22),1),1,TRUE,0)</f>
        <v/>
      </c>
      <c r="AT22" s="18"/>
      <c r="AU22" s="19"/>
      <c r="AV22" s="33" t="str" cm="1">
        <f t="array" ref="AV22">_xlfn.IFS($D22="","",AND(AT22=$C22,AU22=$D22),3,($C22-$D22)/MAX(ABS($C22-$D22),1)=(AT22-AU22)/MAX(ABS(AT22-AU22),1),1,TRUE,0)</f>
        <v/>
      </c>
      <c r="AW22" s="18"/>
      <c r="AX22" s="19"/>
      <c r="AY22" s="33" t="str" cm="1">
        <f t="array" ref="AY22">_xlfn.IFS($D22="","",AND(AW22=$C22,AX22=$D22),3,($C22-$D22)/MAX(ABS($C22-$D22),1)=(AW22-AX22)/MAX(ABS(AW22-AX22),1),1,TRUE,0)</f>
        <v/>
      </c>
      <c r="AZ22" s="18"/>
      <c r="BA22" s="19"/>
      <c r="BB22" s="33" t="str" cm="1">
        <f t="array" ref="BB22">_xlfn.IFS($D22="","",AND(AZ22=$C22,BA22=$D22),3,($C22-$D22)/MAX(ABS($C22-$D22),1)=(AZ22-BA22)/MAX(ABS(AZ22-BA22),1),1,TRUE,0)</f>
        <v/>
      </c>
      <c r="BC22" s="18"/>
      <c r="BD22" s="19"/>
      <c r="BE22" s="33" t="str" cm="1">
        <f t="array" ref="BE22">_xlfn.IFS($D22="","",AND(BC22=$C22,BD22=$D22),3,($C22-$D22)/MAX(ABS($C22-$D22),1)=(BC22-BD22)/MAX(ABS(BC22-BD22),1),1,TRUE,0)</f>
        <v/>
      </c>
      <c r="BF22" s="18"/>
      <c r="BG22" s="19"/>
      <c r="BH22" s="33" t="str" cm="1">
        <f t="array" ref="BH22">_xlfn.IFS($D22="","",AND(BF22=$C22,BG22=$D22),3,($C22-$D22)/MAX(ABS($C22-$D22),1)=(BF22-BG22)/MAX(ABS(BF22-BG22),1),1,TRUE,0)</f>
        <v/>
      </c>
      <c r="BI22" s="18"/>
      <c r="BJ22" s="19"/>
      <c r="BK22" s="33" t="str" cm="1">
        <f t="array" ref="BK22">_xlfn.IFS($D22="","",AND(BI22=$C22,BJ22=$D22),3,($C22-$D22)/MAX(ABS($C22-$D22),1)=(BI22-BJ22)/MAX(ABS(BI22-BJ22),1),1,TRUE,0)</f>
        <v/>
      </c>
      <c r="BL22" s="18"/>
      <c r="BM22" s="19"/>
      <c r="BN22" s="33" t="str" cm="1">
        <f t="array" ref="BN22">_xlfn.IFS($D22="","",AND(BL22=$C22,BM22=$D22),3,($C22-$D22)/MAX(ABS($C22-$D22),1)=(BL22-BM22)/MAX(ABS(BL22-BM22),1),1,TRUE,0)</f>
        <v/>
      </c>
      <c r="BO22" s="18"/>
      <c r="BP22" s="19"/>
      <c r="BQ22" s="33" t="str" cm="1">
        <f t="array" ref="BQ22">_xlfn.IFS($D22="","",AND(BO22=$C22,BP22=$D22),3,($C22-$D22)/MAX(ABS($C22-$D22),1)=(BO22-BP22)/MAX(ABS(BO22-BP22),1),1,TRUE,0)</f>
        <v/>
      </c>
      <c r="BR22" s="18"/>
      <c r="BS22" s="19"/>
      <c r="BT22" s="33" t="str" cm="1">
        <f t="array" ref="BT22">_xlfn.IFS($D22="","",AND(BR22=$C22,BS22=$D22),3,($C22-$D22)/MAX(ABS($C22-$D22),1)=(BR22-BS22)/MAX(ABS(BR22-BS22),1),1,TRUE,0)</f>
        <v/>
      </c>
      <c r="BU22" s="18"/>
      <c r="BV22" s="19"/>
      <c r="BW22" s="33" t="str" cm="1">
        <f t="array" ref="BW22">_xlfn.IFS($D22="","",AND(BU22=$C22,BV22=$D22),3,($C22-$D22)/MAX(ABS($C22-$D22),1)=(BU22-BV22)/MAX(ABS(BU22-BV22),1),1,TRUE,0)</f>
        <v/>
      </c>
      <c r="BX22" s="18"/>
      <c r="BY22" s="19"/>
      <c r="BZ22" s="33" t="str" cm="1">
        <f t="array" ref="BZ22">_xlfn.IFS($D22="","",AND(BX22=$C22,BY22=$D22),3,($C22-$D22)/MAX(ABS($C22-$D22),1)=(BX22-BY22)/MAX(ABS(BX22-BY22),1),1,TRUE,0)</f>
        <v/>
      </c>
      <c r="CA22" s="18"/>
      <c r="CB22" s="19"/>
      <c r="CC22" s="33" t="str" cm="1">
        <f t="array" ref="CC22">_xlfn.IFS($D22="","",AND(CA22=$C22,CB22=$D22),3,($C22-$D22)/MAX(ABS($C22-$D22),1)=(CA22-CB22)/MAX(ABS(CA22-CB22),1),1,TRUE,0)</f>
        <v/>
      </c>
      <c r="CD22" s="18"/>
      <c r="CE22" s="19"/>
      <c r="CF22" s="33" t="str" cm="1">
        <f t="array" ref="CF22">_xlfn.IFS($D22="","",AND(CD22=$C22,CE22=$D22),3,($C22-$D22)/MAX(ABS($C22-$D22),1)=(CD22-CE22)/MAX(ABS(CD22-CE22),1),1,TRUE,0)</f>
        <v/>
      </c>
      <c r="CG22" s="18"/>
      <c r="CH22" s="19"/>
      <c r="CI22" s="33" t="str" cm="1">
        <f t="array" ref="CI22">_xlfn.IFS($D22="","",AND(CG22=$C22,CH22=$D22),3,($C22-$D22)/MAX(ABS($C22-$D22),1)=(CG22-CH22)/MAX(ABS(CG22-CH22),1),1,TRUE,0)</f>
        <v/>
      </c>
      <c r="CJ22" s="18"/>
      <c r="CK22" s="19"/>
      <c r="CL22" s="33" t="str" cm="1">
        <f t="array" ref="CL22">_xlfn.IFS($D22="","",AND(CJ22=$C22,CK22=$D22),3,($C22-$D22)/MAX(ABS($C22-$D22),1)=(CJ22-CK22)/MAX(ABS(CJ22-CK22),1),1,TRUE,0)</f>
        <v/>
      </c>
      <c r="CM22" s="18"/>
      <c r="CN22" s="19"/>
      <c r="CO22" s="33" t="str" cm="1">
        <f t="array" ref="CO22">_xlfn.IFS($D22="","",AND(CM22=$C22,CN22=$D22),3,($C22-$D22)/MAX(ABS($C22-$D22),1)=(CM22-CN22)/MAX(ABS(CM22-CN22),1),1,TRUE,0)</f>
        <v/>
      </c>
      <c r="CP22" s="18"/>
      <c r="CQ22" s="19"/>
      <c r="CR22" s="33" t="str" cm="1">
        <f t="array" ref="CR22">_xlfn.IFS($D22="","",AND(CP22=$C22,CQ22=$D22),3,($C22-$D22)/MAX(ABS($C22-$D22),1)=(CP22-CQ22)/MAX(ABS(CP22-CQ22),1),1,TRUE,0)</f>
        <v/>
      </c>
      <c r="CS22" s="18"/>
      <c r="CT22" s="19"/>
      <c r="CU22" s="33" t="str" cm="1">
        <f t="array" ref="CU22">_xlfn.IFS($D22="","",AND(CS22=$C22,CT22=$D22),3,($C22-$D22)/MAX(ABS($C22-$D22),1)=(CS22-CT22)/MAX(ABS(CS22-CT22),1),1,TRUE,0)</f>
        <v/>
      </c>
      <c r="CV22" s="18"/>
      <c r="CW22" s="19"/>
      <c r="CX22" s="33" t="str" cm="1">
        <f t="array" ref="CX22">_xlfn.IFS($D22="","",AND(CV22=$C22,CW22=$D22),3,($C22-$D22)/MAX(ABS($C22-$D22),1)=(CV22-CW22)/MAX(ABS(CV22-CW22),1),1,TRUE,0)</f>
        <v/>
      </c>
      <c r="CY22" s="18"/>
      <c r="CZ22" s="19"/>
      <c r="DA22" s="33" t="str" cm="1">
        <f t="array" ref="DA22">_xlfn.IFS($D22="","",AND(CY22=$C22,CZ22=$D22),3,($C22-$D22)/MAX(ABS($C22-$D22),1)=(CY22-CZ22)/MAX(ABS(CY22-CZ22),1),1,TRUE,0)</f>
        <v/>
      </c>
      <c r="DB22" s="37"/>
      <c r="DC22" s="38"/>
      <c r="DD22" s="33" t="str" cm="1">
        <f t="array" ref="DD22">_xlfn.IFS($D22="","",AND(DB22=$C22,DC22=$D22),3,($C22-$D22)/MAX(ABS($C22-$D22),1)=(DB22-DC22)/MAX(ABS(DB22-DC22),1),1,TRUE,0)</f>
        <v/>
      </c>
      <c r="DE22" s="18"/>
      <c r="DF22" s="19"/>
      <c r="DG22" s="33" t="str" cm="1">
        <f t="array" ref="DG22">_xlfn.IFS($D22="","",AND(DE22=$C22,DF22=$D22),3,($C22-$D22)/MAX(ABS($C22-$D22),1)=(DE22-DF22)/MAX(ABS(DE22-DF22),1),1,TRUE,0)</f>
        <v/>
      </c>
      <c r="DH22" s="18"/>
      <c r="DI22" s="19"/>
      <c r="DJ22" s="33" t="str" cm="1">
        <f t="array" ref="DJ22">_xlfn.IFS($D22="","",AND(DH22=$C22,DI22=$D22),3,($C22-$D22)/MAX(ABS($C22-$D22),1)=(DH22-DI22)/MAX(ABS(DH22-DI22),1),1,TRUE,0)</f>
        <v/>
      </c>
      <c r="DK22" s="18"/>
      <c r="DL22" s="19"/>
      <c r="DM22" s="33" t="str" cm="1">
        <f t="array" ref="DM22">_xlfn.IFS($D22="","",AND(DK22=$C22,DL22=$D22),3,($C22-$D22)/MAX(ABS($C22-$D22),1)=(DK22-DL22)/MAX(ABS(DK22-DL22),1),1,TRUE,0)</f>
        <v/>
      </c>
      <c r="DN22" s="18"/>
      <c r="DO22" s="19"/>
      <c r="DP22" s="33" t="str" cm="1">
        <f t="array" ref="DP22">_xlfn.IFS($D22="","",AND(DN22=$C22,DO22=$D22),3,($C22-$D22)/MAX(ABS($C22-$D22),1)=(DN22-DO22)/MAX(ABS(DN22-DO22),1),1,TRUE,0)</f>
        <v/>
      </c>
      <c r="DQ22" s="18"/>
      <c r="DR22" s="19"/>
      <c r="DS22" s="33" t="str" cm="1">
        <f t="array" ref="DS22">_xlfn.IFS($D22="","",AND(DQ22=$C22,DR22=$D22),3,($C22-$D22)/MAX(ABS($C22-$D22),1)=(DQ22-DR22)/MAX(ABS(DQ22-DR22),1),1,TRUE,0)</f>
        <v/>
      </c>
      <c r="DT22" s="18"/>
      <c r="DU22" s="19"/>
      <c r="DV22" s="33" t="str" cm="1">
        <f t="array" ref="DV22">_xlfn.IFS($D22="","",AND(DT22=$C22,DU22=$D22),3,($C22-$D22)/MAX(ABS($C22-$D22),1)=(DT22-DU22)/MAX(ABS(DT22-DU22),1),1,TRUE,0)</f>
        <v/>
      </c>
      <c r="DW22" s="18"/>
      <c r="DX22" s="19"/>
      <c r="DY22" s="33" t="str" cm="1">
        <f t="array" ref="DY22">_xlfn.IFS($D22="","",AND(DW22=$C22,DX22=$D22),3,($C22-$D22)/MAX(ABS($C22-$D22),1)=(DW22-DX22)/MAX(ABS(DW22-DX22),1),1,TRUE,0)</f>
        <v/>
      </c>
      <c r="DZ22" s="18"/>
      <c r="EA22" s="19"/>
      <c r="EB22" s="33" t="str" cm="1">
        <f t="array" ref="EB22">_xlfn.IFS($D22="","",AND(DZ22=$C22,EA22=$D22),3,($C22-$D22)/MAX(ABS($C22-$D22),1)=(DZ22-EA22)/MAX(ABS(DZ22-EA22),1),1,TRUE,0)</f>
        <v/>
      </c>
      <c r="EC22" s="18"/>
      <c r="ED22" s="19"/>
      <c r="EE22" s="33" t="str" cm="1">
        <f t="array" ref="EE22">_xlfn.IFS($D22="","",AND(EC22=$C22,ED22=$D22),3,($C22-$D22)/MAX(ABS($C22-$D22),1)=(EC22-ED22)/MAX(ABS(EC22-ED22),1),1,TRUE,0)</f>
        <v/>
      </c>
      <c r="EF22" s="18"/>
      <c r="EG22" s="19"/>
      <c r="EH22" s="33" t="str" cm="1">
        <f t="array" ref="EH22">_xlfn.IFS($D22="","",AND(EF22=$C22,EG22=$D22),3,($C22-$D22)/MAX(ABS($C22-$D22),1)=(EF22-EG22)/MAX(ABS(EF22-EG22),1),1,TRUE,0)</f>
        <v/>
      </c>
      <c r="EI22" s="43"/>
      <c r="EJ22" s="44"/>
      <c r="EK22" s="33" t="str" cm="1">
        <f t="array" ref="EK22">_xlfn.IFS($D22="","",AND(EI22=$C22,EJ22=$D22),3,($C22-$D22)/MAX(ABS($C22-$D22),1)=(EI22-EJ22)/MAX(ABS(EI22-EJ22),1),1,TRUE,0)</f>
        <v/>
      </c>
      <c r="EL22" s="18"/>
      <c r="EM22" s="19"/>
      <c r="EN22" s="33" t="str" cm="1">
        <f t="array" ref="EN22">_xlfn.IFS($D22="","",AND(EL22=$C22,EM22=$D22),3,($C22-$D22)/MAX(ABS($C22-$D22),1)=(EL22-EM22)/MAX(ABS(EL22-EM22),1),1,TRUE,0)</f>
        <v/>
      </c>
      <c r="EO22" s="18"/>
      <c r="EP22" s="19"/>
      <c r="EQ22" s="33" t="str" cm="1">
        <f t="array" ref="EQ22">_xlfn.IFS($D22="","",AND(EO22=$C22,EP22=$D22),3,($C22-$D22)/MAX(ABS($C22-$D22),1)=(EO22-EP22)/MAX(ABS(EO22-EP22),1),1,TRUE,0)</f>
        <v/>
      </c>
      <c r="ER22" s="18"/>
      <c r="ES22" s="19"/>
      <c r="ET22" s="33" t="str" cm="1">
        <f t="array" ref="ET22">_xlfn.IFS($D22="","",AND(ER22=$C22,ES22=$D22),3,($C22-$D22)/MAX(ABS($C22-$D22),1)=(ER22-ES22)/MAX(ABS(ER22-ES22),1),1,TRUE,0)</f>
        <v/>
      </c>
      <c r="EU22" s="18"/>
      <c r="EV22" s="19"/>
      <c r="EW22" s="33" t="str" cm="1">
        <f t="array" ref="EW22">_xlfn.IFS($D22="","",AND(EU22=$C22,EV22=$D22),3,($C22-$D22)/MAX(ABS($C22-$D22),1)=(EU22-EV22)/MAX(ABS(EU22-EV22),1),1,TRUE,0)</f>
        <v/>
      </c>
      <c r="EX22" s="18"/>
      <c r="EY22" s="19"/>
      <c r="EZ22" s="33" t="str" cm="1">
        <f t="array" ref="EZ22">_xlfn.IFS($D22="","",AND(EX22=$C22,EY22=$D22),3,($C22-$D22)/MAX(ABS($C22-$D22),1)=(EX22-EY22)/MAX(ABS(EX22-EY22),1),1,TRUE,0)</f>
        <v/>
      </c>
      <c r="FA22" s="18"/>
      <c r="FB22" s="19"/>
      <c r="FC22" s="33" t="str" cm="1">
        <f t="array" ref="FC22">_xlfn.IFS($D22="","",AND(FA22=$C22,FB22=$D22),3,($C22-$D22)/MAX(ABS($C22-$D22),1)=(FA22-FB22)/MAX(ABS(FA22-FB22),1),1,TRUE,0)</f>
        <v/>
      </c>
      <c r="FD22" s="18"/>
      <c r="FE22" s="19"/>
      <c r="FF22" s="33" t="str" cm="1">
        <f t="array" ref="FF22">_xlfn.IFS($D22="","",AND(FD22=$C22,FE22=$D22),3,($C22-$D22)/MAX(ABS($C22-$D22),1)=(FD22-FE22)/MAX(ABS(FD22-FE22),1),1,TRUE,0)</f>
        <v/>
      </c>
      <c r="FG22" s="18"/>
      <c r="FH22" s="19"/>
      <c r="FI22" s="33" t="str" cm="1">
        <f t="array" ref="FI22">_xlfn.IFS($D22="","",AND(FG22=$C22,FH22=$D22),3,($C22-$D22)/MAX(ABS($C22-$D22),1)=(FG22-FH22)/MAX(ABS(FG22-FH22),1),1,TRUE,0)</f>
        <v/>
      </c>
      <c r="FJ22" s="18"/>
      <c r="FK22" s="19"/>
      <c r="FL22" s="33" t="str" cm="1">
        <f t="array" ref="FL22">_xlfn.IFS($D22="","",AND(FJ22=$C22,FK22=$D22),3,($C22-$D22)/MAX(ABS($C22-$D22),1)=(FJ22-FK22)/MAX(ABS(FJ22-FK22),1),1,TRUE,0)</f>
        <v/>
      </c>
      <c r="FM22" s="18"/>
      <c r="FN22" s="19"/>
      <c r="FO22" s="33" t="str" cm="1">
        <f t="array" ref="FO22">_xlfn.IFS($D22="","",AND(FM22=$C22,FN22=$D22),3,($C22-$D22)/MAX(ABS($C22-$D22),1)=(FM22-FN22)/MAX(ABS(FM22-FN22),1),1,TRUE,0)</f>
        <v/>
      </c>
      <c r="FP22" s="18"/>
      <c r="FQ22" s="19"/>
      <c r="FR22" s="33" t="str" cm="1">
        <f t="array" ref="FR22">_xlfn.IFS($D22="","",AND(FP22=$C22,FQ22=$D22),3,($C22-$D22)/MAX(ABS($C22-$D22),1)=(FP22-FQ22)/MAX(ABS(FP22-FQ22),1),1,TRUE,0)</f>
        <v/>
      </c>
      <c r="FS22" s="18"/>
      <c r="FT22" s="19"/>
      <c r="FU22" s="33" t="str" cm="1">
        <f t="array" ref="FU22">_xlfn.IFS($D22="","",AND(FS22=$C22,FT22=$D22),3,($C22-$D22)/MAX(ABS($C22-$D22),1)=(FS22-FT22)/MAX(ABS(FS22-FT22),1),1,TRUE,0)</f>
        <v/>
      </c>
      <c r="FV22" s="18"/>
      <c r="FW22" s="19"/>
      <c r="FX22" s="33" t="str" cm="1">
        <f t="array" ref="FX22">_xlfn.IFS($D22="","",AND(FV22=$C22,FW22=$D22),3,($C22-$D22)/MAX(ABS($C22-$D22),1)=(FV22-FW22)/MAX(ABS(FV22-FW22),1),1,TRUE,0)</f>
        <v/>
      </c>
      <c r="FY22" s="18"/>
      <c r="FZ22" s="19"/>
      <c r="GA22" s="33" t="str" cm="1">
        <f t="array" ref="GA22">_xlfn.IFS($D22="","",AND(FY22=$C22,FZ22=$D22),3,($C22-$D22)/MAX(ABS($C22-$D22),1)=(FY22-FZ22)/MAX(ABS(FY22-FZ22),1),1,TRUE,0)</f>
        <v/>
      </c>
      <c r="GB22" s="18"/>
      <c r="GC22" s="19"/>
      <c r="GD22" s="33" t="str" cm="1">
        <f t="array" ref="GD22">_xlfn.IFS($D22="","",AND(GB22=$C22,GC22=$D22),3,($C22-$D22)/MAX(ABS($C22-$D22),1)=(GB22-GC22)/MAX(ABS(GB22-GC22),1),1,TRUE,0)</f>
        <v/>
      </c>
      <c r="GE22" s="47"/>
      <c r="GF22" s="45"/>
      <c r="GG22" s="33" t="str" cm="1">
        <f t="array" ref="GG22">_xlfn.IFS($D22="","",AND(GE22=$C22,GF22=$D22),3,($C22-$D22)/MAX(ABS($C22-$D22),1)=(GE22-GF22)/MAX(ABS(GE22-GF22),1),1,TRUE,0)</f>
        <v/>
      </c>
      <c r="GH22" s="18"/>
      <c r="GI22" s="19"/>
      <c r="GJ22" s="33" t="str" cm="1">
        <f t="array" ref="GJ22">_xlfn.IFS($D22="","",AND(GH22=$C22,GI22=$D22),3,($C22-$D22)/MAX(ABS($C22-$D22),1)=(GH22-GI22)/MAX(ABS(GH22-GI22),1),1,TRUE,0)</f>
        <v/>
      </c>
      <c r="GK22" s="18"/>
      <c r="GL22" s="19"/>
      <c r="GM22" s="33" t="str" cm="1">
        <f t="array" ref="GM22">_xlfn.IFS($D22="","",AND(GK22=$C22,GL22=$D22),3,($C22-$D22)/MAX(ABS($C22-$D22),1)=(GK22-GL22)/MAX(ABS(GK22-GL22),1),1,TRUE,0)</f>
        <v/>
      </c>
      <c r="GN22" s="18"/>
      <c r="GO22" s="19"/>
      <c r="GP22" s="33" t="str" cm="1">
        <f t="array" ref="GP22">_xlfn.IFS($D22="","",AND(GN22=$C22,GO22=$D22),3,($C22-$D22)/MAX(ABS($C22-$D22),1)=(GN22-GO22)/MAX(ABS(GN22-GO22),1),1,TRUE,0)</f>
        <v/>
      </c>
      <c r="GQ22" s="18"/>
      <c r="GR22" s="19"/>
      <c r="GS22" s="33" t="str" cm="1">
        <f t="array" ref="GS22">_xlfn.IFS($D22="","",AND(GQ22=$C22,GR22=$D22),3,($C22-$D22)/MAX(ABS($C22-$D22),1)=(GQ22-GR22)/MAX(ABS(GQ22-GR22),1),1,TRUE,0)</f>
        <v/>
      </c>
      <c r="GT22" s="18"/>
      <c r="GU22" s="19"/>
      <c r="GV22" s="33" t="str" cm="1">
        <f t="array" ref="GV22">_xlfn.IFS($D22="","",AND(GT22=$C22,GU22=$D22),3,($C22-$D22)/MAX(ABS($C22-$D22),1)=(GT22-GU22)/MAX(ABS(GT22-GU22),1),1,TRUE,0)</f>
        <v/>
      </c>
      <c r="GW22" s="18"/>
      <c r="GX22" s="19"/>
      <c r="GY22" s="33" t="str" cm="1">
        <f t="array" ref="GY22">_xlfn.IFS($D22="","",AND(GW22=$C22,GX22=$D22),3,($C22-$D22)/MAX(ABS($C22-$D22),1)=(GW22-GX22)/MAX(ABS(GW22-GX22),1),1,TRUE,0)</f>
        <v/>
      </c>
      <c r="GZ22" s="18"/>
      <c r="HA22" s="19"/>
      <c r="HB22" s="33" t="str" cm="1">
        <f t="array" ref="HB22">_xlfn.IFS($D22="","",AND(GZ22=$C22,HA22=$D22),3,($C22-$D22)/MAX(ABS($C22-$D22),1)=(GZ22-HA22)/MAX(ABS(GZ22-HA22),1),1,TRUE,0)</f>
        <v/>
      </c>
      <c r="HC22" s="18"/>
      <c r="HD22" s="19"/>
      <c r="HE22" s="33" t="str" cm="1">
        <f t="array" ref="HE22">_xlfn.IFS($D22="","",AND(HC22=$C22,HD22=$D22),3,($C22-$D22)/MAX(ABS($C22-$D22),1)=(HC22-HD22)/MAX(ABS(HC22-HD22),1),1,TRUE,0)</f>
        <v/>
      </c>
      <c r="HF22" s="18"/>
      <c r="HG22" s="19"/>
      <c r="HH22" s="33" t="str" cm="1">
        <f t="array" ref="HH22">_xlfn.IFS($D22="","",AND(HF22=$C22,HG22=$D22),3,($C22-$D22)/MAX(ABS($C22-$D22),1)=(HF22-HG22)/MAX(ABS(HF22-HG22),1),1,TRUE,0)</f>
        <v/>
      </c>
      <c r="HI22" s="18"/>
      <c r="HJ22" s="19"/>
      <c r="HK22" s="33" t="str" cm="1">
        <f t="array" ref="HK22">_xlfn.IFS($D22="","",AND(HI22=$C22,HJ22=$D22),3,($C22-$D22)/MAX(ABS($C22-$D22),1)=(HI22-HJ22)/MAX(ABS(HI22-HJ22),1),1,TRUE,0)</f>
        <v/>
      </c>
      <c r="HL22" s="18"/>
      <c r="HM22" s="19"/>
      <c r="HN22" s="33" t="str" cm="1">
        <f t="array" ref="HN22">_xlfn.IFS($D22="","",AND(HL22=$C22,HM22=$D22),3,($C22-$D22)/MAX(ABS($C22-$D22),1)=(HL22-HM22)/MAX(ABS(HL22-HM22),1),1,TRUE,0)</f>
        <v/>
      </c>
      <c r="HO22" s="18"/>
      <c r="HP22" s="19"/>
      <c r="HQ22" s="33" t="str" cm="1">
        <f t="array" ref="HQ22">_xlfn.IFS($D22="","",AND(HO22=$C22,HP22=$D22),3,($C22-$D22)/MAX(ABS($C22-$D22),1)=(HO22-HP22)/MAX(ABS(HO22-HP22),1),1,TRUE,0)</f>
        <v/>
      </c>
      <c r="HR22" s="18"/>
      <c r="HS22" s="19"/>
      <c r="HT22" s="33" t="str" cm="1">
        <f t="array" ref="HT22">_xlfn.IFS($D22="","",AND(HR22=$C22,HS22=$D22),3,($C22-$D22)/MAX(ABS($C22-$D22),1)=(HR22-HS22)/MAX(ABS(HR22-HS22),1),1,TRUE,0)</f>
        <v/>
      </c>
      <c r="HU22" s="18"/>
      <c r="HV22" s="19"/>
      <c r="HW22" s="33" t="str" cm="1">
        <f t="array" ref="HW22">_xlfn.IFS($D22="","",AND(HU22=$C22,HV22=$D22),3,($C22-$D22)/MAX(ABS($C22-$D22),1)=(HU22-HV22)/MAX(ABS(HU22-HV22),1),1,TRUE,0)</f>
        <v/>
      </c>
      <c r="HX22" s="18"/>
      <c r="HY22" s="19"/>
      <c r="HZ22" s="33" t="str" cm="1">
        <f t="array" ref="HZ22">_xlfn.IFS($D22="","",AND(HX22=$C22,HY22=$D22),3,($C22-$D22)/MAX(ABS($C22-$D22),1)=(HX22-HY22)/MAX(ABS(HX22-HY22),1),1,TRUE,0)</f>
        <v/>
      </c>
      <c r="IA22" s="18"/>
      <c r="IB22" s="19"/>
      <c r="IC22" s="33" t="str" cm="1">
        <f t="array" ref="IC22">_xlfn.IFS($D22="","",AND(IA22=$C22,IB22=$D22),3,($C22-$D22)/MAX(ABS($C22-$D22),1)=(IA22-IB22)/MAX(ABS(IA22-IB22),1),1,TRUE,0)</f>
        <v/>
      </c>
      <c r="ID22" s="18"/>
      <c r="IE22" s="19"/>
      <c r="IF22" s="33" t="str" cm="1">
        <f t="array" ref="IF22">_xlfn.IFS($D22="","",AND(ID22=$C22,IE22=$D22),3,($C22-$D22)/MAX(ABS($C22-$D22),1)=(ID22-IE22)/MAX(ABS(ID22-IE22),1),1,TRUE,0)</f>
        <v/>
      </c>
      <c r="IG22" s="18"/>
      <c r="IH22" s="19"/>
      <c r="II22" s="33" t="str" cm="1">
        <f t="array" ref="II22">_xlfn.IFS($D22="","",AND(IG22=$C22,IH22=$D22),3,($C22-$D22)/MAX(ABS($C22-$D22),1)=(IG22-IH22)/MAX(ABS(IG22-IH22),1),1,TRUE,0)</f>
        <v/>
      </c>
      <c r="IJ22" s="18"/>
      <c r="IK22" s="19"/>
      <c r="IL22" s="33" t="str" cm="1">
        <f t="array" ref="IL22">_xlfn.IFS($D22="","",AND(IJ22=$C22,IK22=$D22),3,($C22-$D22)/MAX(ABS($C22-$D22),1)=(IJ22-IK22)/MAX(ABS(IJ22-IK22),1),1,TRUE,0)</f>
        <v/>
      </c>
      <c r="IM22" s="18"/>
      <c r="IN22" s="19"/>
      <c r="IO22" s="33" t="str" cm="1">
        <f t="array" ref="IO22">_xlfn.IFS($D22="","",AND(IM22=$C22,IN22=$D22),3,($C22-$D22)/MAX(ABS($C22-$D22),1)=(IM22-IN22)/MAX(ABS(IM22-IN22),1),1,TRUE,0)</f>
        <v/>
      </c>
      <c r="IP22" s="18"/>
      <c r="IQ22" s="19"/>
      <c r="IR22" s="33" t="str" cm="1">
        <f t="array" ref="IR22">_xlfn.IFS($D22="","",AND(IP22=$C22,IQ22=$D22),3,($C22-$D22)/MAX(ABS($C22-$D22),1)=(IP22-IQ22)/MAX(ABS(IP22-IQ22),1),1,TRUE,0)</f>
        <v/>
      </c>
      <c r="IS22" s="18"/>
      <c r="IT22" s="19"/>
      <c r="IU22" s="33" t="str" cm="1">
        <f t="array" ref="IU22">_xlfn.IFS($D22="","",AND(IS22=$C22,IT22=$D22),3,($C22-$D22)/MAX(ABS($C22-$D22),1)=(IS22-IT22)/MAX(ABS(IS22-IT22),1),1,TRUE,0)</f>
        <v/>
      </c>
      <c r="IV22" s="18"/>
      <c r="IW22" s="19"/>
      <c r="IX22" s="33" t="str" cm="1">
        <f t="array" ref="IX22">_xlfn.IFS($D22="","",AND(IV22=$C22,IW22=$D22),3,($C22-$D22)/MAX(ABS($C22-$D22),1)=(IV22-IW22)/MAX(ABS(IV22-IW22),1),1,TRUE,0)</f>
        <v/>
      </c>
      <c r="IY22" s="18"/>
      <c r="IZ22" s="19"/>
      <c r="JA22" s="33" t="str" cm="1">
        <f t="array" ref="JA22">_xlfn.IFS($D22="","",AND(IY22=$C22,IZ22=$D22),3,($C22-$D22)/MAX(ABS($C22-$D22),1)=(IY22-IZ22)/MAX(ABS(IY22-IZ22),1),1,TRUE,0)</f>
        <v/>
      </c>
      <c r="JB22" s="18"/>
      <c r="JC22" s="19"/>
      <c r="JD22" s="33" t="str" cm="1">
        <f t="array" ref="JD22">_xlfn.IFS($D22="","",AND(JB22=$C22,JC22=$D22),3,($C22-$D22)/MAX(ABS($C22-$D22),1)=(JB22-JC22)/MAX(ABS(JB22-JC22),1),1,TRUE,0)</f>
        <v/>
      </c>
    </row>
    <row r="23" spans="1:264" ht="15" thickBot="1" x14ac:dyDescent="0.35">
      <c r="A23" s="22">
        <v>46190</v>
      </c>
      <c r="B23" s="28" t="s">
        <v>17</v>
      </c>
      <c r="C23" s="53" t="str" cm="1">
        <f t="array" ref="C23">_xlfn.LET(
_xlpm.x,_xlfn.XLOOKUP(1,(Scores_Fixtures[Date]=A23)*(Scores_Fixtures[Home.1]=B23),Scores_Fixtures[Score.1],""),
IF(_xlpm.x="","",_xlpm.x)
)</f>
        <v/>
      </c>
      <c r="D23" s="53" t="str" cm="1">
        <f t="array" ref="D23">_xlfn.LET(
_xlpm.x,_xlfn.XLOOKUP(1,(Scores_Fixtures[Date]=A23)*(Scores_Fixtures[Home.1]=B23),Scores_Fixtures[Score.2],""),
IF(_xlpm.x="","",_xlpm.x)
)</f>
        <v/>
      </c>
      <c r="E23" s="12" t="s">
        <v>68</v>
      </c>
      <c r="F23" s="15"/>
      <c r="G23" s="53"/>
      <c r="H23" s="53"/>
      <c r="I23" s="33" t="str" cm="1">
        <f t="array" ref="I23">_xlfn.IFS($D23="","",AND(G23=$C23,H23=$D23),3,($C23-$D23)/MAX(ABS($C23-$D23),1)=(G23-H23)/MAX(ABS(G23-H23),1),1,TRUE,0)</f>
        <v/>
      </c>
      <c r="J23" s="18"/>
      <c r="K23" s="19"/>
      <c r="L23" s="33" t="str" cm="1">
        <f t="array" ref="L23">_xlfn.IFS($D23="","",AND(J23=$C23,K23=$D23),3,($C23-$D23)/MAX(ABS($C23-$D23),1)=(J23-K23)/MAX(ABS(J23-K23),1),1,TRUE,0)</f>
        <v/>
      </c>
      <c r="M23" s="18"/>
      <c r="N23" s="19"/>
      <c r="O23" s="33" t="str" cm="1">
        <f t="array" ref="O23">_xlfn.IFS($D23="","",AND(M23=$C23,N23=$D23),3,($C23-$D23)/MAX(ABS($C23-$D23),1)=(M23-N23)/MAX(ABS(M23-N23),1),1,TRUE,0)</f>
        <v/>
      </c>
      <c r="P23" s="18"/>
      <c r="Q23" s="19"/>
      <c r="R23" s="33" t="str" cm="1">
        <f t="array" ref="R23">_xlfn.IFS($D23="","",AND(P23=$C23,Q23=$D23),3,($C23-$D23)/MAX(ABS($C23-$D23),1)=(P23-Q23)/MAX(ABS(P23-Q23),1),1,TRUE,0)</f>
        <v/>
      </c>
      <c r="S23" s="18"/>
      <c r="T23" s="19"/>
      <c r="U23" s="33" t="str" cm="1">
        <f t="array" ref="U23">_xlfn.IFS($D23="","",AND(S23=$C23,T23=$D23),3,($C23-$D23)/MAX(ABS($C23-$D23),1)=(S23-T23)/MAX(ABS(S23-T23),1),1,TRUE,0)</f>
        <v/>
      </c>
      <c r="V23" s="18"/>
      <c r="W23" s="19"/>
      <c r="X23" s="33" t="str" cm="1">
        <f t="array" ref="X23">_xlfn.IFS($D23="","",AND(V23=$C23,W23=$D23),3,($C23-$D23)/MAX(ABS($C23-$D23),1)=(V23-W23)/MAX(ABS(V23-W23),1),1,TRUE,0)</f>
        <v/>
      </c>
      <c r="Y23" s="18"/>
      <c r="Z23" s="19"/>
      <c r="AA23" s="33" t="str" cm="1">
        <f t="array" ref="AA23">_xlfn.IFS($D23="","",AND(Y23=$C23,Z23=$D23),3,($C23-$D23)/MAX(ABS($C23-$D23),1)=(Y23-Z23)/MAX(ABS(Y23-Z23),1),1,TRUE,0)</f>
        <v/>
      </c>
      <c r="AB23" s="18"/>
      <c r="AC23" s="19"/>
      <c r="AD23" s="33" t="str" cm="1">
        <f t="array" ref="AD23">_xlfn.IFS($D23="","",AND(AB23=$C23,AC23=$D23),3,($C23-$D23)/MAX(ABS($C23-$D23),1)=(AB23-AC23)/MAX(ABS(AB23-AC23),1),1,TRUE,0)</f>
        <v/>
      </c>
      <c r="AE23" s="18"/>
      <c r="AF23" s="19"/>
      <c r="AG23" s="33" t="str" cm="1">
        <f t="array" ref="AG23">_xlfn.IFS($D23="","",AND(AE23=$C23,AF23=$D23),3,($C23-$D23)/MAX(ABS($C23-$D23),1)=(AE23-AF23)/MAX(ABS(AE23-AF23),1),1,TRUE,0)</f>
        <v/>
      </c>
      <c r="AH23" s="18"/>
      <c r="AI23" s="19"/>
      <c r="AJ23" s="33" t="str" cm="1">
        <f t="array" ref="AJ23">_xlfn.IFS($D23="","",AND(AH23=$C23,AI23=$D23),3,($C23-$D23)/MAX(ABS($C23-$D23),1)=(AH23-AI23)/MAX(ABS(AH23-AI23),1),1,TRUE,0)</f>
        <v/>
      </c>
      <c r="AK23" s="18"/>
      <c r="AL23" s="19"/>
      <c r="AM23" s="33" t="str" cm="1">
        <f t="array" ref="AM23">_xlfn.IFS($D23="","",AND(AK23=$C23,AL23=$D23),3,($C23-$D23)/MAX(ABS($C23-$D23),1)=(AK23-AL23)/MAX(ABS(AK23-AL23),1),1,TRUE,0)</f>
        <v/>
      </c>
      <c r="AN23" s="18"/>
      <c r="AO23" s="19"/>
      <c r="AP23" s="33" t="str" cm="1">
        <f t="array" ref="AP23">_xlfn.IFS($D23="","",AND(AN23=$C23,AO23=$D23),3,($C23-$D23)/MAX(ABS($C23-$D23),1)=(AN23-AO23)/MAX(ABS(AN23-AO23),1),1,TRUE,0)</f>
        <v/>
      </c>
      <c r="AQ23" s="18"/>
      <c r="AR23" s="19"/>
      <c r="AS23" s="33" t="str" cm="1">
        <f t="array" ref="AS23">_xlfn.IFS($D23="","",AND(AQ23=$C23,AR23=$D23),3,($C23-$D23)/MAX(ABS($C23-$D23),1)=(AQ23-AR23)/MAX(ABS(AQ23-AR23),1),1,TRUE,0)</f>
        <v/>
      </c>
      <c r="AT23" s="18"/>
      <c r="AU23" s="19"/>
      <c r="AV23" s="33" t="str" cm="1">
        <f t="array" ref="AV23">_xlfn.IFS($D23="","",AND(AT23=$C23,AU23=$D23),3,($C23-$D23)/MAX(ABS($C23-$D23),1)=(AT23-AU23)/MAX(ABS(AT23-AU23),1),1,TRUE,0)</f>
        <v/>
      </c>
      <c r="AW23" s="18"/>
      <c r="AX23" s="19"/>
      <c r="AY23" s="33" t="str" cm="1">
        <f t="array" ref="AY23">_xlfn.IFS($D23="","",AND(AW23=$C23,AX23=$D23),3,($C23-$D23)/MAX(ABS($C23-$D23),1)=(AW23-AX23)/MAX(ABS(AW23-AX23),1),1,TRUE,0)</f>
        <v/>
      </c>
      <c r="AZ23" s="18"/>
      <c r="BA23" s="19"/>
      <c r="BB23" s="33" t="str" cm="1">
        <f t="array" ref="BB23">_xlfn.IFS($D23="","",AND(AZ23=$C23,BA23=$D23),3,($C23-$D23)/MAX(ABS($C23-$D23),1)=(AZ23-BA23)/MAX(ABS(AZ23-BA23),1),1,TRUE,0)</f>
        <v/>
      </c>
      <c r="BC23" s="18"/>
      <c r="BD23" s="19"/>
      <c r="BE23" s="33" t="str" cm="1">
        <f t="array" ref="BE23">_xlfn.IFS($D23="","",AND(BC23=$C23,BD23=$D23),3,($C23-$D23)/MAX(ABS($C23-$D23),1)=(BC23-BD23)/MAX(ABS(BC23-BD23),1),1,TRUE,0)</f>
        <v/>
      </c>
      <c r="BF23" s="18"/>
      <c r="BG23" s="19"/>
      <c r="BH23" s="33" t="str" cm="1">
        <f t="array" ref="BH23">_xlfn.IFS($D23="","",AND(BF23=$C23,BG23=$D23),3,($C23-$D23)/MAX(ABS($C23-$D23),1)=(BF23-BG23)/MAX(ABS(BF23-BG23),1),1,TRUE,0)</f>
        <v/>
      </c>
      <c r="BI23" s="18"/>
      <c r="BJ23" s="19"/>
      <c r="BK23" s="33" t="str" cm="1">
        <f t="array" ref="BK23">_xlfn.IFS($D23="","",AND(BI23=$C23,BJ23=$D23),3,($C23-$D23)/MAX(ABS($C23-$D23),1)=(BI23-BJ23)/MAX(ABS(BI23-BJ23),1),1,TRUE,0)</f>
        <v/>
      </c>
      <c r="BL23" s="18"/>
      <c r="BM23" s="19"/>
      <c r="BN23" s="33" t="str" cm="1">
        <f t="array" ref="BN23">_xlfn.IFS($D23="","",AND(BL23=$C23,BM23=$D23),3,($C23-$D23)/MAX(ABS($C23-$D23),1)=(BL23-BM23)/MAX(ABS(BL23-BM23),1),1,TRUE,0)</f>
        <v/>
      </c>
      <c r="BO23" s="18"/>
      <c r="BP23" s="19"/>
      <c r="BQ23" s="33" t="str" cm="1">
        <f t="array" ref="BQ23">_xlfn.IFS($D23="","",AND(BO23=$C23,BP23=$D23),3,($C23-$D23)/MAX(ABS($C23-$D23),1)=(BO23-BP23)/MAX(ABS(BO23-BP23),1),1,TRUE,0)</f>
        <v/>
      </c>
      <c r="BR23" s="18"/>
      <c r="BS23" s="19"/>
      <c r="BT23" s="33" t="str" cm="1">
        <f t="array" ref="BT23">_xlfn.IFS($D23="","",AND(BR23=$C23,BS23=$D23),3,($C23-$D23)/MAX(ABS($C23-$D23),1)=(BR23-BS23)/MAX(ABS(BR23-BS23),1),1,TRUE,0)</f>
        <v/>
      </c>
      <c r="BU23" s="18"/>
      <c r="BV23" s="19"/>
      <c r="BW23" s="33" t="str" cm="1">
        <f t="array" ref="BW23">_xlfn.IFS($D23="","",AND(BU23=$C23,BV23=$D23),3,($C23-$D23)/MAX(ABS($C23-$D23),1)=(BU23-BV23)/MAX(ABS(BU23-BV23),1),1,TRUE,0)</f>
        <v/>
      </c>
      <c r="BX23" s="18"/>
      <c r="BY23" s="19"/>
      <c r="BZ23" s="33" t="str" cm="1">
        <f t="array" ref="BZ23">_xlfn.IFS($D23="","",AND(BX23=$C23,BY23=$D23),3,($C23-$D23)/MAX(ABS($C23-$D23),1)=(BX23-BY23)/MAX(ABS(BX23-BY23),1),1,TRUE,0)</f>
        <v/>
      </c>
      <c r="CA23" s="18"/>
      <c r="CB23" s="19"/>
      <c r="CC23" s="33" t="str" cm="1">
        <f t="array" ref="CC23">_xlfn.IFS($D23="","",AND(CA23=$C23,CB23=$D23),3,($C23-$D23)/MAX(ABS($C23-$D23),1)=(CA23-CB23)/MAX(ABS(CA23-CB23),1),1,TRUE,0)</f>
        <v/>
      </c>
      <c r="CD23" s="18"/>
      <c r="CE23" s="19"/>
      <c r="CF23" s="33" t="str" cm="1">
        <f t="array" ref="CF23">_xlfn.IFS($D23="","",AND(CD23=$C23,CE23=$D23),3,($C23-$D23)/MAX(ABS($C23-$D23),1)=(CD23-CE23)/MAX(ABS(CD23-CE23),1),1,TRUE,0)</f>
        <v/>
      </c>
      <c r="CG23" s="18"/>
      <c r="CH23" s="19"/>
      <c r="CI23" s="33" t="str" cm="1">
        <f t="array" ref="CI23">_xlfn.IFS($D23="","",AND(CG23=$C23,CH23=$D23),3,($C23-$D23)/MAX(ABS($C23-$D23),1)=(CG23-CH23)/MAX(ABS(CG23-CH23),1),1,TRUE,0)</f>
        <v/>
      </c>
      <c r="CJ23" s="18"/>
      <c r="CK23" s="19"/>
      <c r="CL23" s="33" t="str" cm="1">
        <f t="array" ref="CL23">_xlfn.IFS($D23="","",AND(CJ23=$C23,CK23=$D23),3,($C23-$D23)/MAX(ABS($C23-$D23),1)=(CJ23-CK23)/MAX(ABS(CJ23-CK23),1),1,TRUE,0)</f>
        <v/>
      </c>
      <c r="CM23" s="18"/>
      <c r="CN23" s="19"/>
      <c r="CO23" s="33" t="str" cm="1">
        <f t="array" ref="CO23">_xlfn.IFS($D23="","",AND(CM23=$C23,CN23=$D23),3,($C23-$D23)/MAX(ABS($C23-$D23),1)=(CM23-CN23)/MAX(ABS(CM23-CN23),1),1,TRUE,0)</f>
        <v/>
      </c>
      <c r="CP23" s="18"/>
      <c r="CQ23" s="19"/>
      <c r="CR23" s="33" t="str" cm="1">
        <f t="array" ref="CR23">_xlfn.IFS($D23="","",AND(CP23=$C23,CQ23=$D23),3,($C23-$D23)/MAX(ABS($C23-$D23),1)=(CP23-CQ23)/MAX(ABS(CP23-CQ23),1),1,TRUE,0)</f>
        <v/>
      </c>
      <c r="CS23" s="18"/>
      <c r="CT23" s="19"/>
      <c r="CU23" s="33" t="str" cm="1">
        <f t="array" ref="CU23">_xlfn.IFS($D23="","",AND(CS23=$C23,CT23=$D23),3,($C23-$D23)/MAX(ABS($C23-$D23),1)=(CS23-CT23)/MAX(ABS(CS23-CT23),1),1,TRUE,0)</f>
        <v/>
      </c>
      <c r="CV23" s="18"/>
      <c r="CW23" s="19"/>
      <c r="CX23" s="33" t="str" cm="1">
        <f t="array" ref="CX23">_xlfn.IFS($D23="","",AND(CV23=$C23,CW23=$D23),3,($C23-$D23)/MAX(ABS($C23-$D23),1)=(CV23-CW23)/MAX(ABS(CV23-CW23),1),1,TRUE,0)</f>
        <v/>
      </c>
      <c r="CY23" s="18"/>
      <c r="CZ23" s="19"/>
      <c r="DA23" s="33" t="str" cm="1">
        <f t="array" ref="DA23">_xlfn.IFS($D23="","",AND(CY23=$C23,CZ23=$D23),3,($C23-$D23)/MAX(ABS($C23-$D23),1)=(CY23-CZ23)/MAX(ABS(CY23-CZ23),1),1,TRUE,0)</f>
        <v/>
      </c>
      <c r="DB23" s="37"/>
      <c r="DC23" s="38"/>
      <c r="DD23" s="33" t="str" cm="1">
        <f t="array" ref="DD23">_xlfn.IFS($D23="","",AND(DB23=$C23,DC23=$D23),3,($C23-$D23)/MAX(ABS($C23-$D23),1)=(DB23-DC23)/MAX(ABS(DB23-DC23),1),1,TRUE,0)</f>
        <v/>
      </c>
      <c r="DE23" s="18"/>
      <c r="DF23" s="19"/>
      <c r="DG23" s="33" t="str" cm="1">
        <f t="array" ref="DG23">_xlfn.IFS($D23="","",AND(DE23=$C23,DF23=$D23),3,($C23-$D23)/MAX(ABS($C23-$D23),1)=(DE23-DF23)/MAX(ABS(DE23-DF23),1),1,TRUE,0)</f>
        <v/>
      </c>
      <c r="DH23" s="18"/>
      <c r="DI23" s="19"/>
      <c r="DJ23" s="33" t="str" cm="1">
        <f t="array" ref="DJ23">_xlfn.IFS($D23="","",AND(DH23=$C23,DI23=$D23),3,($C23-$D23)/MAX(ABS($C23-$D23),1)=(DH23-DI23)/MAX(ABS(DH23-DI23),1),1,TRUE,0)</f>
        <v/>
      </c>
      <c r="DK23" s="18"/>
      <c r="DL23" s="19"/>
      <c r="DM23" s="33" t="str" cm="1">
        <f t="array" ref="DM23">_xlfn.IFS($D23="","",AND(DK23=$C23,DL23=$D23),3,($C23-$D23)/MAX(ABS($C23-$D23),1)=(DK23-DL23)/MAX(ABS(DK23-DL23),1),1,TRUE,0)</f>
        <v/>
      </c>
      <c r="DN23" s="18"/>
      <c r="DO23" s="19"/>
      <c r="DP23" s="33" t="str" cm="1">
        <f t="array" ref="DP23">_xlfn.IFS($D23="","",AND(DN23=$C23,DO23=$D23),3,($C23-$D23)/MAX(ABS($C23-$D23),1)=(DN23-DO23)/MAX(ABS(DN23-DO23),1),1,TRUE,0)</f>
        <v/>
      </c>
      <c r="DQ23" s="18"/>
      <c r="DR23" s="19"/>
      <c r="DS23" s="33" t="str" cm="1">
        <f t="array" ref="DS23">_xlfn.IFS($D23="","",AND(DQ23=$C23,DR23=$D23),3,($C23-$D23)/MAX(ABS($C23-$D23),1)=(DQ23-DR23)/MAX(ABS(DQ23-DR23),1),1,TRUE,0)</f>
        <v/>
      </c>
      <c r="DT23" s="18"/>
      <c r="DU23" s="19"/>
      <c r="DV23" s="33" t="str" cm="1">
        <f t="array" ref="DV23">_xlfn.IFS($D23="","",AND(DT23=$C23,DU23=$D23),3,($C23-$D23)/MAX(ABS($C23-$D23),1)=(DT23-DU23)/MAX(ABS(DT23-DU23),1),1,TRUE,0)</f>
        <v/>
      </c>
      <c r="DW23" s="18"/>
      <c r="DX23" s="19"/>
      <c r="DY23" s="33" t="str" cm="1">
        <f t="array" ref="DY23">_xlfn.IFS($D23="","",AND(DW23=$C23,DX23=$D23),3,($C23-$D23)/MAX(ABS($C23-$D23),1)=(DW23-DX23)/MAX(ABS(DW23-DX23),1),1,TRUE,0)</f>
        <v/>
      </c>
      <c r="DZ23" s="18"/>
      <c r="EA23" s="19"/>
      <c r="EB23" s="33" t="str" cm="1">
        <f t="array" ref="EB23">_xlfn.IFS($D23="","",AND(DZ23=$C23,EA23=$D23),3,($C23-$D23)/MAX(ABS($C23-$D23),1)=(DZ23-EA23)/MAX(ABS(DZ23-EA23),1),1,TRUE,0)</f>
        <v/>
      </c>
      <c r="EC23" s="18"/>
      <c r="ED23" s="19"/>
      <c r="EE23" s="33" t="str" cm="1">
        <f t="array" ref="EE23">_xlfn.IFS($D23="","",AND(EC23=$C23,ED23=$D23),3,($C23-$D23)/MAX(ABS($C23-$D23),1)=(EC23-ED23)/MAX(ABS(EC23-ED23),1),1,TRUE,0)</f>
        <v/>
      </c>
      <c r="EF23" s="18"/>
      <c r="EG23" s="19"/>
      <c r="EH23" s="33" t="str" cm="1">
        <f t="array" ref="EH23">_xlfn.IFS($D23="","",AND(EF23=$C23,EG23=$D23),3,($C23-$D23)/MAX(ABS($C23-$D23),1)=(EF23-EG23)/MAX(ABS(EF23-EG23),1),1,TRUE,0)</f>
        <v/>
      </c>
      <c r="EI23" s="43"/>
      <c r="EJ23" s="44"/>
      <c r="EK23" s="33" t="str" cm="1">
        <f t="array" ref="EK23">_xlfn.IFS($D23="","",AND(EI23=$C23,EJ23=$D23),3,($C23-$D23)/MAX(ABS($C23-$D23),1)=(EI23-EJ23)/MAX(ABS(EI23-EJ23),1),1,TRUE,0)</f>
        <v/>
      </c>
      <c r="EL23" s="18"/>
      <c r="EM23" s="19"/>
      <c r="EN23" s="33" t="str" cm="1">
        <f t="array" ref="EN23">_xlfn.IFS($D23="","",AND(EL23=$C23,EM23=$D23),3,($C23-$D23)/MAX(ABS($C23-$D23),1)=(EL23-EM23)/MAX(ABS(EL23-EM23),1),1,TRUE,0)</f>
        <v/>
      </c>
      <c r="EO23" s="18"/>
      <c r="EP23" s="19"/>
      <c r="EQ23" s="33" t="str" cm="1">
        <f t="array" ref="EQ23">_xlfn.IFS($D23="","",AND(EO23=$C23,EP23=$D23),3,($C23-$D23)/MAX(ABS($C23-$D23),1)=(EO23-EP23)/MAX(ABS(EO23-EP23),1),1,TRUE,0)</f>
        <v/>
      </c>
      <c r="ER23" s="18"/>
      <c r="ES23" s="19"/>
      <c r="ET23" s="33" t="str" cm="1">
        <f t="array" ref="ET23">_xlfn.IFS($D23="","",AND(ER23=$C23,ES23=$D23),3,($C23-$D23)/MAX(ABS($C23-$D23),1)=(ER23-ES23)/MAX(ABS(ER23-ES23),1),1,TRUE,0)</f>
        <v/>
      </c>
      <c r="EU23" s="18"/>
      <c r="EV23" s="19"/>
      <c r="EW23" s="33" t="str" cm="1">
        <f t="array" ref="EW23">_xlfn.IFS($D23="","",AND(EU23=$C23,EV23=$D23),3,($C23-$D23)/MAX(ABS($C23-$D23),1)=(EU23-EV23)/MAX(ABS(EU23-EV23),1),1,TRUE,0)</f>
        <v/>
      </c>
      <c r="EX23" s="18"/>
      <c r="EY23" s="19"/>
      <c r="EZ23" s="33" t="str" cm="1">
        <f t="array" ref="EZ23">_xlfn.IFS($D23="","",AND(EX23=$C23,EY23=$D23),3,($C23-$D23)/MAX(ABS($C23-$D23),1)=(EX23-EY23)/MAX(ABS(EX23-EY23),1),1,TRUE,0)</f>
        <v/>
      </c>
      <c r="FA23" s="18"/>
      <c r="FB23" s="19"/>
      <c r="FC23" s="33" t="str" cm="1">
        <f t="array" ref="FC23">_xlfn.IFS($D23="","",AND(FA23=$C23,FB23=$D23),3,($C23-$D23)/MAX(ABS($C23-$D23),1)=(FA23-FB23)/MAX(ABS(FA23-FB23),1),1,TRUE,0)</f>
        <v/>
      </c>
      <c r="FD23" s="18"/>
      <c r="FE23" s="19"/>
      <c r="FF23" s="33" t="str" cm="1">
        <f t="array" ref="FF23">_xlfn.IFS($D23="","",AND(FD23=$C23,FE23=$D23),3,($C23-$D23)/MAX(ABS($C23-$D23),1)=(FD23-FE23)/MAX(ABS(FD23-FE23),1),1,TRUE,0)</f>
        <v/>
      </c>
      <c r="FG23" s="18"/>
      <c r="FH23" s="19"/>
      <c r="FI23" s="33" t="str" cm="1">
        <f t="array" ref="FI23">_xlfn.IFS($D23="","",AND(FG23=$C23,FH23=$D23),3,($C23-$D23)/MAX(ABS($C23-$D23),1)=(FG23-FH23)/MAX(ABS(FG23-FH23),1),1,TRUE,0)</f>
        <v/>
      </c>
      <c r="FJ23" s="18"/>
      <c r="FK23" s="19"/>
      <c r="FL23" s="33" t="str" cm="1">
        <f t="array" ref="FL23">_xlfn.IFS($D23="","",AND(FJ23=$C23,FK23=$D23),3,($C23-$D23)/MAX(ABS($C23-$D23),1)=(FJ23-FK23)/MAX(ABS(FJ23-FK23),1),1,TRUE,0)</f>
        <v/>
      </c>
      <c r="FM23" s="18"/>
      <c r="FN23" s="19"/>
      <c r="FO23" s="33" t="str" cm="1">
        <f t="array" ref="FO23">_xlfn.IFS($D23="","",AND(FM23=$C23,FN23=$D23),3,($C23-$D23)/MAX(ABS($C23-$D23),1)=(FM23-FN23)/MAX(ABS(FM23-FN23),1),1,TRUE,0)</f>
        <v/>
      </c>
      <c r="FP23" s="18"/>
      <c r="FQ23" s="19"/>
      <c r="FR23" s="33" t="str" cm="1">
        <f t="array" ref="FR23">_xlfn.IFS($D23="","",AND(FP23=$C23,FQ23=$D23),3,($C23-$D23)/MAX(ABS($C23-$D23),1)=(FP23-FQ23)/MAX(ABS(FP23-FQ23),1),1,TRUE,0)</f>
        <v/>
      </c>
      <c r="FS23" s="18"/>
      <c r="FT23" s="19"/>
      <c r="FU23" s="33" t="str" cm="1">
        <f t="array" ref="FU23">_xlfn.IFS($D23="","",AND(FS23=$C23,FT23=$D23),3,($C23-$D23)/MAX(ABS($C23-$D23),1)=(FS23-FT23)/MAX(ABS(FS23-FT23),1),1,TRUE,0)</f>
        <v/>
      </c>
      <c r="FV23" s="18"/>
      <c r="FW23" s="19"/>
      <c r="FX23" s="33" t="str" cm="1">
        <f t="array" ref="FX23">_xlfn.IFS($D23="","",AND(FV23=$C23,FW23=$D23),3,($C23-$D23)/MAX(ABS($C23-$D23),1)=(FV23-FW23)/MAX(ABS(FV23-FW23),1),1,TRUE,0)</f>
        <v/>
      </c>
      <c r="FY23" s="18"/>
      <c r="FZ23" s="19"/>
      <c r="GA23" s="33" t="str" cm="1">
        <f t="array" ref="GA23">_xlfn.IFS($D23="","",AND(FY23=$C23,FZ23=$D23),3,($C23-$D23)/MAX(ABS($C23-$D23),1)=(FY23-FZ23)/MAX(ABS(FY23-FZ23),1),1,TRUE,0)</f>
        <v/>
      </c>
      <c r="GB23" s="18"/>
      <c r="GC23" s="19"/>
      <c r="GD23" s="33" t="str" cm="1">
        <f t="array" ref="GD23">_xlfn.IFS($D23="","",AND(GB23=$C23,GC23=$D23),3,($C23-$D23)/MAX(ABS($C23-$D23),1)=(GB23-GC23)/MAX(ABS(GB23-GC23),1),1,TRUE,0)</f>
        <v/>
      </c>
      <c r="GE23" s="47"/>
      <c r="GF23" s="45"/>
      <c r="GG23" s="33" t="str" cm="1">
        <f t="array" ref="GG23">_xlfn.IFS($D23="","",AND(GE23=$C23,GF23=$D23),3,($C23-$D23)/MAX(ABS($C23-$D23),1)=(GE23-GF23)/MAX(ABS(GE23-GF23),1),1,TRUE,0)</f>
        <v/>
      </c>
      <c r="GH23" s="18"/>
      <c r="GI23" s="19"/>
      <c r="GJ23" s="33" t="str" cm="1">
        <f t="array" ref="GJ23">_xlfn.IFS($D23="","",AND(GH23=$C23,GI23=$D23),3,($C23-$D23)/MAX(ABS($C23-$D23),1)=(GH23-GI23)/MAX(ABS(GH23-GI23),1),1,TRUE,0)</f>
        <v/>
      </c>
      <c r="GK23" s="18"/>
      <c r="GL23" s="19"/>
      <c r="GM23" s="33" t="str" cm="1">
        <f t="array" ref="GM23">_xlfn.IFS($D23="","",AND(GK23=$C23,GL23=$D23),3,($C23-$D23)/MAX(ABS($C23-$D23),1)=(GK23-GL23)/MAX(ABS(GK23-GL23),1),1,TRUE,0)</f>
        <v/>
      </c>
      <c r="GN23" s="18"/>
      <c r="GO23" s="19"/>
      <c r="GP23" s="33" t="str" cm="1">
        <f t="array" ref="GP23">_xlfn.IFS($D23="","",AND(GN23=$C23,GO23=$D23),3,($C23-$D23)/MAX(ABS($C23-$D23),1)=(GN23-GO23)/MAX(ABS(GN23-GO23),1),1,TRUE,0)</f>
        <v/>
      </c>
      <c r="GQ23" s="18"/>
      <c r="GR23" s="19"/>
      <c r="GS23" s="33" t="str" cm="1">
        <f t="array" ref="GS23">_xlfn.IFS($D23="","",AND(GQ23=$C23,GR23=$D23),3,($C23-$D23)/MAX(ABS($C23-$D23),1)=(GQ23-GR23)/MAX(ABS(GQ23-GR23),1),1,TRUE,0)</f>
        <v/>
      </c>
      <c r="GT23" s="18"/>
      <c r="GU23" s="19"/>
      <c r="GV23" s="33" t="str" cm="1">
        <f t="array" ref="GV23">_xlfn.IFS($D23="","",AND(GT23=$C23,GU23=$D23),3,($C23-$D23)/MAX(ABS($C23-$D23),1)=(GT23-GU23)/MAX(ABS(GT23-GU23),1),1,TRUE,0)</f>
        <v/>
      </c>
      <c r="GW23" s="18"/>
      <c r="GX23" s="19"/>
      <c r="GY23" s="33" t="str" cm="1">
        <f t="array" ref="GY23">_xlfn.IFS($D23="","",AND(GW23=$C23,GX23=$D23),3,($C23-$D23)/MAX(ABS($C23-$D23),1)=(GW23-GX23)/MAX(ABS(GW23-GX23),1),1,TRUE,0)</f>
        <v/>
      </c>
      <c r="GZ23" s="18"/>
      <c r="HA23" s="19"/>
      <c r="HB23" s="33" t="str" cm="1">
        <f t="array" ref="HB23">_xlfn.IFS($D23="","",AND(GZ23=$C23,HA23=$D23),3,($C23-$D23)/MAX(ABS($C23-$D23),1)=(GZ23-HA23)/MAX(ABS(GZ23-HA23),1),1,TRUE,0)</f>
        <v/>
      </c>
      <c r="HC23" s="18"/>
      <c r="HD23" s="14"/>
      <c r="HE23" s="33" t="str" cm="1">
        <f t="array" ref="HE23">_xlfn.IFS($D23="","",AND(HC23=$C23,HD23=$D23),3,($C23-$D23)/MAX(ABS($C23-$D23),1)=(HC23-HD23)/MAX(ABS(HC23-HD23),1),1,TRUE,0)</f>
        <v/>
      </c>
      <c r="HF23" s="18"/>
      <c r="HG23" s="19"/>
      <c r="HH23" s="33" t="str" cm="1">
        <f t="array" ref="HH23">_xlfn.IFS($D23="","",AND(HF23=$C23,HG23=$D23),3,($C23-$D23)/MAX(ABS($C23-$D23),1)=(HF23-HG23)/MAX(ABS(HF23-HG23),1),1,TRUE,0)</f>
        <v/>
      </c>
      <c r="HI23" s="18"/>
      <c r="HJ23" s="19"/>
      <c r="HK23" s="33" t="str" cm="1">
        <f t="array" ref="HK23">_xlfn.IFS($D23="","",AND(HI23=$C23,HJ23=$D23),3,($C23-$D23)/MAX(ABS($C23-$D23),1)=(HI23-HJ23)/MAX(ABS(HI23-HJ23),1),1,TRUE,0)</f>
        <v/>
      </c>
      <c r="HL23" s="18"/>
      <c r="HM23" s="19"/>
      <c r="HN23" s="33" t="str" cm="1">
        <f t="array" ref="HN23">_xlfn.IFS($D23="","",AND(HL23=$C23,HM23=$D23),3,($C23-$D23)/MAX(ABS($C23-$D23),1)=(HL23-HM23)/MAX(ABS(HL23-HM23),1),1,TRUE,0)</f>
        <v/>
      </c>
      <c r="HO23" s="18"/>
      <c r="HP23" s="19"/>
      <c r="HQ23" s="33" t="str" cm="1">
        <f t="array" ref="HQ23">_xlfn.IFS($D23="","",AND(HO23=$C23,HP23=$D23),3,($C23-$D23)/MAX(ABS($C23-$D23),1)=(HO23-HP23)/MAX(ABS(HO23-HP23),1),1,TRUE,0)</f>
        <v/>
      </c>
      <c r="HR23" s="18"/>
      <c r="HS23" s="19"/>
      <c r="HT23" s="33" t="str" cm="1">
        <f t="array" ref="HT23">_xlfn.IFS($D23="","",AND(HR23=$C23,HS23=$D23),3,($C23-$D23)/MAX(ABS($C23-$D23),1)=(HR23-HS23)/MAX(ABS(HR23-HS23),1),1,TRUE,0)</f>
        <v/>
      </c>
      <c r="HU23" s="18"/>
      <c r="HV23" s="19"/>
      <c r="HW23" s="33" t="str" cm="1">
        <f t="array" ref="HW23">_xlfn.IFS($D23="","",AND(HU23=$C23,HV23=$D23),3,($C23-$D23)/MAX(ABS($C23-$D23),1)=(HU23-HV23)/MAX(ABS(HU23-HV23),1),1,TRUE,0)</f>
        <v/>
      </c>
      <c r="HX23" s="18"/>
      <c r="HY23" s="19"/>
      <c r="HZ23" s="33" t="str" cm="1">
        <f t="array" ref="HZ23">_xlfn.IFS($D23="","",AND(HX23=$C23,HY23=$D23),3,($C23-$D23)/MAX(ABS($C23-$D23),1)=(HX23-HY23)/MAX(ABS(HX23-HY23),1),1,TRUE,0)</f>
        <v/>
      </c>
      <c r="IA23" s="18"/>
      <c r="IB23" s="19"/>
      <c r="IC23" s="33" t="str" cm="1">
        <f t="array" ref="IC23">_xlfn.IFS($D23="","",AND(IA23=$C23,IB23=$D23),3,($C23-$D23)/MAX(ABS($C23-$D23),1)=(IA23-IB23)/MAX(ABS(IA23-IB23),1),1,TRUE,0)</f>
        <v/>
      </c>
      <c r="ID23" s="18"/>
      <c r="IE23" s="19"/>
      <c r="IF23" s="33" t="str" cm="1">
        <f t="array" ref="IF23">_xlfn.IFS($D23="","",AND(ID23=$C23,IE23=$D23),3,($C23-$D23)/MAX(ABS($C23-$D23),1)=(ID23-IE23)/MAX(ABS(ID23-IE23),1),1,TRUE,0)</f>
        <v/>
      </c>
      <c r="IG23" s="18"/>
      <c r="IH23" s="19"/>
      <c r="II23" s="33" t="str" cm="1">
        <f t="array" ref="II23">_xlfn.IFS($D23="","",AND(IG23=$C23,IH23=$D23),3,($C23-$D23)/MAX(ABS($C23-$D23),1)=(IG23-IH23)/MAX(ABS(IG23-IH23),1),1,TRUE,0)</f>
        <v/>
      </c>
      <c r="IJ23" s="18"/>
      <c r="IK23" s="19"/>
      <c r="IL23" s="33" t="str" cm="1">
        <f t="array" ref="IL23">_xlfn.IFS($D23="","",AND(IJ23=$C23,IK23=$D23),3,($C23-$D23)/MAX(ABS($C23-$D23),1)=(IJ23-IK23)/MAX(ABS(IJ23-IK23),1),1,TRUE,0)</f>
        <v/>
      </c>
      <c r="IM23" s="18"/>
      <c r="IN23" s="19"/>
      <c r="IO23" s="33" t="str" cm="1">
        <f t="array" ref="IO23">_xlfn.IFS($D23="","",AND(IM23=$C23,IN23=$D23),3,($C23-$D23)/MAX(ABS($C23-$D23),1)=(IM23-IN23)/MAX(ABS(IM23-IN23),1),1,TRUE,0)</f>
        <v/>
      </c>
      <c r="IP23" s="18"/>
      <c r="IQ23" s="19"/>
      <c r="IR23" s="33" t="str" cm="1">
        <f t="array" ref="IR23">_xlfn.IFS($D23="","",AND(IP23=$C23,IQ23=$D23),3,($C23-$D23)/MAX(ABS($C23-$D23),1)=(IP23-IQ23)/MAX(ABS(IP23-IQ23),1),1,TRUE,0)</f>
        <v/>
      </c>
      <c r="IS23" s="18"/>
      <c r="IT23" s="19"/>
      <c r="IU23" s="33" t="str" cm="1">
        <f t="array" ref="IU23">_xlfn.IFS($D23="","",AND(IS23=$C23,IT23=$D23),3,($C23-$D23)/MAX(ABS($C23-$D23),1)=(IS23-IT23)/MAX(ABS(IS23-IT23),1),1,TRUE,0)</f>
        <v/>
      </c>
      <c r="IV23" s="18"/>
      <c r="IW23" s="19"/>
      <c r="IX23" s="33" t="str" cm="1">
        <f t="array" ref="IX23">_xlfn.IFS($D23="","",AND(IV23=$C23,IW23=$D23),3,($C23-$D23)/MAX(ABS($C23-$D23),1)=(IV23-IW23)/MAX(ABS(IV23-IW23),1),1,TRUE,0)</f>
        <v/>
      </c>
      <c r="IY23" s="18"/>
      <c r="IZ23" s="19"/>
      <c r="JA23" s="33" t="str" cm="1">
        <f t="array" ref="JA23">_xlfn.IFS($D23="","",AND(IY23=$C23,IZ23=$D23),3,($C23-$D23)/MAX(ABS($C23-$D23),1)=(IY23-IZ23)/MAX(ABS(IY23-IZ23),1),1,TRUE,0)</f>
        <v/>
      </c>
      <c r="JB23" s="18"/>
      <c r="JC23" s="19"/>
      <c r="JD23" s="33" t="str" cm="1">
        <f t="array" ref="JD23">_xlfn.IFS($D23="","",AND(JB23=$C23,JC23=$D23),3,($C23-$D23)/MAX(ABS($C23-$D23),1)=(JB23-JC23)/MAX(ABS(JB23-JC23),1),1,TRUE,0)</f>
        <v/>
      </c>
    </row>
    <row r="24" spans="1:264" ht="15" thickBot="1" x14ac:dyDescent="0.35">
      <c r="A24" s="22">
        <v>46190</v>
      </c>
      <c r="B24" s="28" t="s">
        <v>9</v>
      </c>
      <c r="C24" s="53" t="str" cm="1">
        <f t="array" ref="C24">_xlfn.LET(
_xlpm.x,_xlfn.XLOOKUP(1,(Scores_Fixtures[Date]=A24)*(Scores_Fixtures[Home.1]=B24),Scores_Fixtures[Score.1],""),
IF(_xlpm.x="","",_xlpm.x)
)</f>
        <v/>
      </c>
      <c r="D24" s="53" t="str" cm="1">
        <f t="array" ref="D24">_xlfn.LET(
_xlpm.x,_xlfn.XLOOKUP(1,(Scores_Fixtures[Date]=A24)*(Scores_Fixtures[Home.1]=B24),Scores_Fixtures[Score.2],""),
IF(_xlpm.x="","",_xlpm.x)
)</f>
        <v/>
      </c>
      <c r="E24" s="12" t="s">
        <v>12</v>
      </c>
      <c r="F24" s="15"/>
      <c r="G24" s="53"/>
      <c r="H24" s="53"/>
      <c r="I24" s="33" t="str" cm="1">
        <f t="array" ref="I24">_xlfn.IFS($D24="","",AND(G24=$C24,H24=$D24),3,($C24-$D24)/MAX(ABS($C24-$D24),1)=(G24-H24)/MAX(ABS(G24-H24),1),1,TRUE,0)</f>
        <v/>
      </c>
      <c r="J24" s="18"/>
      <c r="K24" s="19"/>
      <c r="L24" s="33" t="str" cm="1">
        <f t="array" ref="L24">_xlfn.IFS($D24="","",AND(J24=$C24,K24=$D24),3,($C24-$D24)/MAX(ABS($C24-$D24),1)=(J24-K24)/MAX(ABS(J24-K24),1),1,TRUE,0)</f>
        <v/>
      </c>
      <c r="M24" s="18"/>
      <c r="N24" s="19"/>
      <c r="O24" s="33" t="str" cm="1">
        <f t="array" ref="O24">_xlfn.IFS($D24="","",AND(M24=$C24,N24=$D24),3,($C24-$D24)/MAX(ABS($C24-$D24),1)=(M24-N24)/MAX(ABS(M24-N24),1),1,TRUE,0)</f>
        <v/>
      </c>
      <c r="P24" s="18"/>
      <c r="Q24" s="19"/>
      <c r="R24" s="33" t="str" cm="1">
        <f t="array" ref="R24">_xlfn.IFS($D24="","",AND(P24=$C24,Q24=$D24),3,($C24-$D24)/MAX(ABS($C24-$D24),1)=(P24-Q24)/MAX(ABS(P24-Q24),1),1,TRUE,0)</f>
        <v/>
      </c>
      <c r="S24" s="18"/>
      <c r="T24" s="19"/>
      <c r="U24" s="33" t="str" cm="1">
        <f t="array" ref="U24">_xlfn.IFS($D24="","",AND(S24=$C24,T24=$D24),3,($C24-$D24)/MAX(ABS($C24-$D24),1)=(S24-T24)/MAX(ABS(S24-T24),1),1,TRUE,0)</f>
        <v/>
      </c>
      <c r="V24" s="18"/>
      <c r="W24" s="19"/>
      <c r="X24" s="33" t="str" cm="1">
        <f t="array" ref="X24">_xlfn.IFS($D24="","",AND(V24=$C24,W24=$D24),3,($C24-$D24)/MAX(ABS($C24-$D24),1)=(V24-W24)/MAX(ABS(V24-W24),1),1,TRUE,0)</f>
        <v/>
      </c>
      <c r="Y24" s="18"/>
      <c r="Z24" s="19"/>
      <c r="AA24" s="33" t="str" cm="1">
        <f t="array" ref="AA24">_xlfn.IFS($D24="","",AND(Y24=$C24,Z24=$D24),3,($C24-$D24)/MAX(ABS($C24-$D24),1)=(Y24-Z24)/MAX(ABS(Y24-Z24),1),1,TRUE,0)</f>
        <v/>
      </c>
      <c r="AB24" s="18"/>
      <c r="AC24" s="19"/>
      <c r="AD24" s="33" t="str" cm="1">
        <f t="array" ref="AD24">_xlfn.IFS($D24="","",AND(AB24=$C24,AC24=$D24),3,($C24-$D24)/MAX(ABS($C24-$D24),1)=(AB24-AC24)/MAX(ABS(AB24-AC24),1),1,TRUE,0)</f>
        <v/>
      </c>
      <c r="AE24" s="18"/>
      <c r="AF24" s="19"/>
      <c r="AG24" s="33" t="str" cm="1">
        <f t="array" ref="AG24">_xlfn.IFS($D24="","",AND(AE24=$C24,AF24=$D24),3,($C24-$D24)/MAX(ABS($C24-$D24),1)=(AE24-AF24)/MAX(ABS(AE24-AF24),1),1,TRUE,0)</f>
        <v/>
      </c>
      <c r="AH24" s="18"/>
      <c r="AI24" s="19"/>
      <c r="AJ24" s="33" t="str" cm="1">
        <f t="array" ref="AJ24">_xlfn.IFS($D24="","",AND(AH24=$C24,AI24=$D24),3,($C24-$D24)/MAX(ABS($C24-$D24),1)=(AH24-AI24)/MAX(ABS(AH24-AI24),1),1,TRUE,0)</f>
        <v/>
      </c>
      <c r="AK24" s="18"/>
      <c r="AL24" s="19"/>
      <c r="AM24" s="33" t="str" cm="1">
        <f t="array" ref="AM24">_xlfn.IFS($D24="","",AND(AK24=$C24,AL24=$D24),3,($C24-$D24)/MAX(ABS($C24-$D24),1)=(AK24-AL24)/MAX(ABS(AK24-AL24),1),1,TRUE,0)</f>
        <v/>
      </c>
      <c r="AN24" s="18"/>
      <c r="AO24" s="19"/>
      <c r="AP24" s="33" t="str" cm="1">
        <f t="array" ref="AP24">_xlfn.IFS($D24="","",AND(AN24=$C24,AO24=$D24),3,($C24-$D24)/MAX(ABS($C24-$D24),1)=(AN24-AO24)/MAX(ABS(AN24-AO24),1),1,TRUE,0)</f>
        <v/>
      </c>
      <c r="AQ24" s="18"/>
      <c r="AR24" s="19"/>
      <c r="AS24" s="33" t="str" cm="1">
        <f t="array" ref="AS24">_xlfn.IFS($D24="","",AND(AQ24=$C24,AR24=$D24),3,($C24-$D24)/MAX(ABS($C24-$D24),1)=(AQ24-AR24)/MAX(ABS(AQ24-AR24),1),1,TRUE,0)</f>
        <v/>
      </c>
      <c r="AT24" s="18"/>
      <c r="AU24" s="19"/>
      <c r="AV24" s="33" t="str" cm="1">
        <f t="array" ref="AV24">_xlfn.IFS($D24="","",AND(AT24=$C24,AU24=$D24),3,($C24-$D24)/MAX(ABS($C24-$D24),1)=(AT24-AU24)/MAX(ABS(AT24-AU24),1),1,TRUE,0)</f>
        <v/>
      </c>
      <c r="AW24" s="18"/>
      <c r="AX24" s="19"/>
      <c r="AY24" s="33" t="str" cm="1">
        <f t="array" ref="AY24">_xlfn.IFS($D24="","",AND(AW24=$C24,AX24=$D24),3,($C24-$D24)/MAX(ABS($C24-$D24),1)=(AW24-AX24)/MAX(ABS(AW24-AX24),1),1,TRUE,0)</f>
        <v/>
      </c>
      <c r="AZ24" s="18"/>
      <c r="BA24" s="19"/>
      <c r="BB24" s="33" t="str" cm="1">
        <f t="array" ref="BB24">_xlfn.IFS($D24="","",AND(AZ24=$C24,BA24=$D24),3,($C24-$D24)/MAX(ABS($C24-$D24),1)=(AZ24-BA24)/MAX(ABS(AZ24-BA24),1),1,TRUE,0)</f>
        <v/>
      </c>
      <c r="BC24" s="18"/>
      <c r="BD24" s="19"/>
      <c r="BE24" s="33" t="str" cm="1">
        <f t="array" ref="BE24">_xlfn.IFS($D24="","",AND(BC24=$C24,BD24=$D24),3,($C24-$D24)/MAX(ABS($C24-$D24),1)=(BC24-BD24)/MAX(ABS(BC24-BD24),1),1,TRUE,0)</f>
        <v/>
      </c>
      <c r="BF24" s="18"/>
      <c r="BG24" s="19"/>
      <c r="BH24" s="33" t="str" cm="1">
        <f t="array" ref="BH24">_xlfn.IFS($D24="","",AND(BF24=$C24,BG24=$D24),3,($C24-$D24)/MAX(ABS($C24-$D24),1)=(BF24-BG24)/MAX(ABS(BF24-BG24),1),1,TRUE,0)</f>
        <v/>
      </c>
      <c r="BI24" s="18"/>
      <c r="BJ24" s="19"/>
      <c r="BK24" s="33" t="str" cm="1">
        <f t="array" ref="BK24">_xlfn.IFS($D24="","",AND(BI24=$C24,BJ24=$D24),3,($C24-$D24)/MAX(ABS($C24-$D24),1)=(BI24-BJ24)/MAX(ABS(BI24-BJ24),1),1,TRUE,0)</f>
        <v/>
      </c>
      <c r="BL24" s="18"/>
      <c r="BM24" s="19"/>
      <c r="BN24" s="33" t="str" cm="1">
        <f t="array" ref="BN24">_xlfn.IFS($D24="","",AND(BL24=$C24,BM24=$D24),3,($C24-$D24)/MAX(ABS($C24-$D24),1)=(BL24-BM24)/MAX(ABS(BL24-BM24),1),1,TRUE,0)</f>
        <v/>
      </c>
      <c r="BO24" s="18"/>
      <c r="BP24" s="19"/>
      <c r="BQ24" s="33" t="str" cm="1">
        <f t="array" ref="BQ24">_xlfn.IFS($D24="","",AND(BO24=$C24,BP24=$D24),3,($C24-$D24)/MAX(ABS($C24-$D24),1)=(BO24-BP24)/MAX(ABS(BO24-BP24),1),1,TRUE,0)</f>
        <v/>
      </c>
      <c r="BR24" s="18"/>
      <c r="BS24" s="19"/>
      <c r="BT24" s="33" t="str" cm="1">
        <f t="array" ref="BT24">_xlfn.IFS($D24="","",AND(BR24=$C24,BS24=$D24),3,($C24-$D24)/MAX(ABS($C24-$D24),1)=(BR24-BS24)/MAX(ABS(BR24-BS24),1),1,TRUE,0)</f>
        <v/>
      </c>
      <c r="BU24" s="18"/>
      <c r="BV24" s="19"/>
      <c r="BW24" s="33" t="str" cm="1">
        <f t="array" ref="BW24">_xlfn.IFS($D24="","",AND(BU24=$C24,BV24=$D24),3,($C24-$D24)/MAX(ABS($C24-$D24),1)=(BU24-BV24)/MAX(ABS(BU24-BV24),1),1,TRUE,0)</f>
        <v/>
      </c>
      <c r="BX24" s="18"/>
      <c r="BY24" s="19"/>
      <c r="BZ24" s="33" t="str" cm="1">
        <f t="array" ref="BZ24">_xlfn.IFS($D24="","",AND(BX24=$C24,BY24=$D24),3,($C24-$D24)/MAX(ABS($C24-$D24),1)=(BX24-BY24)/MAX(ABS(BX24-BY24),1),1,TRUE,0)</f>
        <v/>
      </c>
      <c r="CA24" s="18"/>
      <c r="CB24" s="19"/>
      <c r="CC24" s="33" t="str" cm="1">
        <f t="array" ref="CC24">_xlfn.IFS($D24="","",AND(CA24=$C24,CB24=$D24),3,($C24-$D24)/MAX(ABS($C24-$D24),1)=(CA24-CB24)/MAX(ABS(CA24-CB24),1),1,TRUE,0)</f>
        <v/>
      </c>
      <c r="CD24" s="18"/>
      <c r="CE24" s="19"/>
      <c r="CF24" s="33" t="str" cm="1">
        <f t="array" ref="CF24">_xlfn.IFS($D24="","",AND(CD24=$C24,CE24=$D24),3,($C24-$D24)/MAX(ABS($C24-$D24),1)=(CD24-CE24)/MAX(ABS(CD24-CE24),1),1,TRUE,0)</f>
        <v/>
      </c>
      <c r="CG24" s="18"/>
      <c r="CH24" s="19"/>
      <c r="CI24" s="33" t="str" cm="1">
        <f t="array" ref="CI24">_xlfn.IFS($D24="","",AND(CG24=$C24,CH24=$D24),3,($C24-$D24)/MAX(ABS($C24-$D24),1)=(CG24-CH24)/MAX(ABS(CG24-CH24),1),1,TRUE,0)</f>
        <v/>
      </c>
      <c r="CJ24" s="18"/>
      <c r="CK24" s="19"/>
      <c r="CL24" s="33" t="str" cm="1">
        <f t="array" ref="CL24">_xlfn.IFS($D24="","",AND(CJ24=$C24,CK24=$D24),3,($C24-$D24)/MAX(ABS($C24-$D24),1)=(CJ24-CK24)/MAX(ABS(CJ24-CK24),1),1,TRUE,0)</f>
        <v/>
      </c>
      <c r="CM24" s="18"/>
      <c r="CN24" s="19"/>
      <c r="CO24" s="33" t="str" cm="1">
        <f t="array" ref="CO24">_xlfn.IFS($D24="","",AND(CM24=$C24,CN24=$D24),3,($C24-$D24)/MAX(ABS($C24-$D24),1)=(CM24-CN24)/MAX(ABS(CM24-CN24),1),1,TRUE,0)</f>
        <v/>
      </c>
      <c r="CP24" s="18"/>
      <c r="CQ24" s="19"/>
      <c r="CR24" s="33" t="str" cm="1">
        <f t="array" ref="CR24">_xlfn.IFS($D24="","",AND(CP24=$C24,CQ24=$D24),3,($C24-$D24)/MAX(ABS($C24-$D24),1)=(CP24-CQ24)/MAX(ABS(CP24-CQ24),1),1,TRUE,0)</f>
        <v/>
      </c>
      <c r="CS24" s="18"/>
      <c r="CT24" s="19"/>
      <c r="CU24" s="33" t="str" cm="1">
        <f t="array" ref="CU24">_xlfn.IFS($D24="","",AND(CS24=$C24,CT24=$D24),3,($C24-$D24)/MAX(ABS($C24-$D24),1)=(CS24-CT24)/MAX(ABS(CS24-CT24),1),1,TRUE,0)</f>
        <v/>
      </c>
      <c r="CV24" s="18"/>
      <c r="CW24" s="19"/>
      <c r="CX24" s="33" t="str" cm="1">
        <f t="array" ref="CX24">_xlfn.IFS($D24="","",AND(CV24=$C24,CW24=$D24),3,($C24-$D24)/MAX(ABS($C24-$D24),1)=(CV24-CW24)/MAX(ABS(CV24-CW24),1),1,TRUE,0)</f>
        <v/>
      </c>
      <c r="CY24" s="18"/>
      <c r="CZ24" s="19"/>
      <c r="DA24" s="33" t="str" cm="1">
        <f t="array" ref="DA24">_xlfn.IFS($D24="","",AND(CY24=$C24,CZ24=$D24),3,($C24-$D24)/MAX(ABS($C24-$D24),1)=(CY24-CZ24)/MAX(ABS(CY24-CZ24),1),1,TRUE,0)</f>
        <v/>
      </c>
      <c r="DB24" s="37"/>
      <c r="DC24" s="38"/>
      <c r="DD24" s="33" t="str" cm="1">
        <f t="array" ref="DD24">_xlfn.IFS($D24="","",AND(DB24=$C24,DC24=$D24),3,($C24-$D24)/MAX(ABS($C24-$D24),1)=(DB24-DC24)/MAX(ABS(DB24-DC24),1),1,TRUE,0)</f>
        <v/>
      </c>
      <c r="DE24" s="18"/>
      <c r="DF24" s="19"/>
      <c r="DG24" s="33" t="str" cm="1">
        <f t="array" ref="DG24">_xlfn.IFS($D24="","",AND(DE24=$C24,DF24=$D24),3,($C24-$D24)/MAX(ABS($C24-$D24),1)=(DE24-DF24)/MAX(ABS(DE24-DF24),1),1,TRUE,0)</f>
        <v/>
      </c>
      <c r="DH24" s="18"/>
      <c r="DI24" s="19"/>
      <c r="DJ24" s="33" t="str" cm="1">
        <f t="array" ref="DJ24">_xlfn.IFS($D24="","",AND(DH24=$C24,DI24=$D24),3,($C24-$D24)/MAX(ABS($C24-$D24),1)=(DH24-DI24)/MAX(ABS(DH24-DI24),1),1,TRUE,0)</f>
        <v/>
      </c>
      <c r="DK24" s="18"/>
      <c r="DL24" s="19"/>
      <c r="DM24" s="33" t="str" cm="1">
        <f t="array" ref="DM24">_xlfn.IFS($D24="","",AND(DK24=$C24,DL24=$D24),3,($C24-$D24)/MAX(ABS($C24-$D24),1)=(DK24-DL24)/MAX(ABS(DK24-DL24),1),1,TRUE,0)</f>
        <v/>
      </c>
      <c r="DN24" s="18"/>
      <c r="DO24" s="19"/>
      <c r="DP24" s="33" t="str" cm="1">
        <f t="array" ref="DP24">_xlfn.IFS($D24="","",AND(DN24=$C24,DO24=$D24),3,($C24-$D24)/MAX(ABS($C24-$D24),1)=(DN24-DO24)/MAX(ABS(DN24-DO24),1),1,TRUE,0)</f>
        <v/>
      </c>
      <c r="DQ24" s="18"/>
      <c r="DR24" s="19"/>
      <c r="DS24" s="33" t="str" cm="1">
        <f t="array" ref="DS24">_xlfn.IFS($D24="","",AND(DQ24=$C24,DR24=$D24),3,($C24-$D24)/MAX(ABS($C24-$D24),1)=(DQ24-DR24)/MAX(ABS(DQ24-DR24),1),1,TRUE,0)</f>
        <v/>
      </c>
      <c r="DT24" s="18"/>
      <c r="DU24" s="19"/>
      <c r="DV24" s="33" t="str" cm="1">
        <f t="array" ref="DV24">_xlfn.IFS($D24="","",AND(DT24=$C24,DU24=$D24),3,($C24-$D24)/MAX(ABS($C24-$D24),1)=(DT24-DU24)/MAX(ABS(DT24-DU24),1),1,TRUE,0)</f>
        <v/>
      </c>
      <c r="DW24" s="18"/>
      <c r="DX24" s="19"/>
      <c r="DY24" s="33" t="str" cm="1">
        <f t="array" ref="DY24">_xlfn.IFS($D24="","",AND(DW24=$C24,DX24=$D24),3,($C24-$D24)/MAX(ABS($C24-$D24),1)=(DW24-DX24)/MAX(ABS(DW24-DX24),1),1,TRUE,0)</f>
        <v/>
      </c>
      <c r="DZ24" s="18"/>
      <c r="EA24" s="19"/>
      <c r="EB24" s="33" t="str" cm="1">
        <f t="array" ref="EB24">_xlfn.IFS($D24="","",AND(DZ24=$C24,EA24=$D24),3,($C24-$D24)/MAX(ABS($C24-$D24),1)=(DZ24-EA24)/MAX(ABS(DZ24-EA24),1),1,TRUE,0)</f>
        <v/>
      </c>
      <c r="EC24" s="18"/>
      <c r="ED24" s="19"/>
      <c r="EE24" s="33" t="str" cm="1">
        <f t="array" ref="EE24">_xlfn.IFS($D24="","",AND(EC24=$C24,ED24=$D24),3,($C24-$D24)/MAX(ABS($C24-$D24),1)=(EC24-ED24)/MAX(ABS(EC24-ED24),1),1,TRUE,0)</f>
        <v/>
      </c>
      <c r="EF24" s="18"/>
      <c r="EG24" s="19"/>
      <c r="EH24" s="33" t="str" cm="1">
        <f t="array" ref="EH24">_xlfn.IFS($D24="","",AND(EF24=$C24,EG24=$D24),3,($C24-$D24)/MAX(ABS($C24-$D24),1)=(EF24-EG24)/MAX(ABS(EF24-EG24),1),1,TRUE,0)</f>
        <v/>
      </c>
      <c r="EI24" s="43"/>
      <c r="EJ24" s="44"/>
      <c r="EK24" s="33" t="str" cm="1">
        <f t="array" ref="EK24">_xlfn.IFS($D24="","",AND(EI24=$C24,EJ24=$D24),3,($C24-$D24)/MAX(ABS($C24-$D24),1)=(EI24-EJ24)/MAX(ABS(EI24-EJ24),1),1,TRUE,0)</f>
        <v/>
      </c>
      <c r="EL24" s="18"/>
      <c r="EM24" s="19"/>
      <c r="EN24" s="33" t="str" cm="1">
        <f t="array" ref="EN24">_xlfn.IFS($D24="","",AND(EL24=$C24,EM24=$D24),3,($C24-$D24)/MAX(ABS($C24-$D24),1)=(EL24-EM24)/MAX(ABS(EL24-EM24),1),1,TRUE,0)</f>
        <v/>
      </c>
      <c r="EO24" s="18"/>
      <c r="EP24" s="19"/>
      <c r="EQ24" s="33" t="str" cm="1">
        <f t="array" ref="EQ24">_xlfn.IFS($D24="","",AND(EO24=$C24,EP24=$D24),3,($C24-$D24)/MAX(ABS($C24-$D24),1)=(EO24-EP24)/MAX(ABS(EO24-EP24),1),1,TRUE,0)</f>
        <v/>
      </c>
      <c r="ER24" s="18"/>
      <c r="ES24" s="19"/>
      <c r="ET24" s="33" t="str" cm="1">
        <f t="array" ref="ET24">_xlfn.IFS($D24="","",AND(ER24=$C24,ES24=$D24),3,($C24-$D24)/MAX(ABS($C24-$D24),1)=(ER24-ES24)/MAX(ABS(ER24-ES24),1),1,TRUE,0)</f>
        <v/>
      </c>
      <c r="EU24" s="18"/>
      <c r="EV24" s="19"/>
      <c r="EW24" s="33" t="str" cm="1">
        <f t="array" ref="EW24">_xlfn.IFS($D24="","",AND(EU24=$C24,EV24=$D24),3,($C24-$D24)/MAX(ABS($C24-$D24),1)=(EU24-EV24)/MAX(ABS(EU24-EV24),1),1,TRUE,0)</f>
        <v/>
      </c>
      <c r="EX24" s="18"/>
      <c r="EY24" s="19"/>
      <c r="EZ24" s="33" t="str" cm="1">
        <f t="array" ref="EZ24">_xlfn.IFS($D24="","",AND(EX24=$C24,EY24=$D24),3,($C24-$D24)/MAX(ABS($C24-$D24),1)=(EX24-EY24)/MAX(ABS(EX24-EY24),1),1,TRUE,0)</f>
        <v/>
      </c>
      <c r="FA24" s="18"/>
      <c r="FB24" s="19"/>
      <c r="FC24" s="33" t="str" cm="1">
        <f t="array" ref="FC24">_xlfn.IFS($D24="","",AND(FA24=$C24,FB24=$D24),3,($C24-$D24)/MAX(ABS($C24-$D24),1)=(FA24-FB24)/MAX(ABS(FA24-FB24),1),1,TRUE,0)</f>
        <v/>
      </c>
      <c r="FD24" s="18"/>
      <c r="FE24" s="19"/>
      <c r="FF24" s="33" t="str" cm="1">
        <f t="array" ref="FF24">_xlfn.IFS($D24="","",AND(FD24=$C24,FE24=$D24),3,($C24-$D24)/MAX(ABS($C24-$D24),1)=(FD24-FE24)/MAX(ABS(FD24-FE24),1),1,TRUE,0)</f>
        <v/>
      </c>
      <c r="FG24" s="18"/>
      <c r="FH24" s="19"/>
      <c r="FI24" s="33" t="str" cm="1">
        <f t="array" ref="FI24">_xlfn.IFS($D24="","",AND(FG24=$C24,FH24=$D24),3,($C24-$D24)/MAX(ABS($C24-$D24),1)=(FG24-FH24)/MAX(ABS(FG24-FH24),1),1,TRUE,0)</f>
        <v/>
      </c>
      <c r="FJ24" s="18"/>
      <c r="FK24" s="19"/>
      <c r="FL24" s="33" t="str" cm="1">
        <f t="array" ref="FL24">_xlfn.IFS($D24="","",AND(FJ24=$C24,FK24=$D24),3,($C24-$D24)/MAX(ABS($C24-$D24),1)=(FJ24-FK24)/MAX(ABS(FJ24-FK24),1),1,TRUE,0)</f>
        <v/>
      </c>
      <c r="FM24" s="18"/>
      <c r="FN24" s="19"/>
      <c r="FO24" s="33" t="str" cm="1">
        <f t="array" ref="FO24">_xlfn.IFS($D24="","",AND(FM24=$C24,FN24=$D24),3,($C24-$D24)/MAX(ABS($C24-$D24),1)=(FM24-FN24)/MAX(ABS(FM24-FN24),1),1,TRUE,0)</f>
        <v/>
      </c>
      <c r="FP24" s="18"/>
      <c r="FQ24" s="19"/>
      <c r="FR24" s="33" t="str" cm="1">
        <f t="array" ref="FR24">_xlfn.IFS($D24="","",AND(FP24=$C24,FQ24=$D24),3,($C24-$D24)/MAX(ABS($C24-$D24),1)=(FP24-FQ24)/MAX(ABS(FP24-FQ24),1),1,TRUE,0)</f>
        <v/>
      </c>
      <c r="FS24" s="18"/>
      <c r="FT24" s="19"/>
      <c r="FU24" s="33" t="str" cm="1">
        <f t="array" ref="FU24">_xlfn.IFS($D24="","",AND(FS24=$C24,FT24=$D24),3,($C24-$D24)/MAX(ABS($C24-$D24),1)=(FS24-FT24)/MAX(ABS(FS24-FT24),1),1,TRUE,0)</f>
        <v/>
      </c>
      <c r="FV24" s="18"/>
      <c r="FW24" s="19"/>
      <c r="FX24" s="33" t="str" cm="1">
        <f t="array" ref="FX24">_xlfn.IFS($D24="","",AND(FV24=$C24,FW24=$D24),3,($C24-$D24)/MAX(ABS($C24-$D24),1)=(FV24-FW24)/MAX(ABS(FV24-FW24),1),1,TRUE,0)</f>
        <v/>
      </c>
      <c r="FY24" s="18"/>
      <c r="FZ24" s="19"/>
      <c r="GA24" s="33" t="str" cm="1">
        <f t="array" ref="GA24">_xlfn.IFS($D24="","",AND(FY24=$C24,FZ24=$D24),3,($C24-$D24)/MAX(ABS($C24-$D24),1)=(FY24-FZ24)/MAX(ABS(FY24-FZ24),1),1,TRUE,0)</f>
        <v/>
      </c>
      <c r="GB24" s="18"/>
      <c r="GC24" s="19"/>
      <c r="GD24" s="33" t="str" cm="1">
        <f t="array" ref="GD24">_xlfn.IFS($D24="","",AND(GB24=$C24,GC24=$D24),3,($C24-$D24)/MAX(ABS($C24-$D24),1)=(GB24-GC24)/MAX(ABS(GB24-GC24),1),1,TRUE,0)</f>
        <v/>
      </c>
      <c r="GE24" s="47"/>
      <c r="GF24" s="45"/>
      <c r="GG24" s="33" t="str" cm="1">
        <f t="array" ref="GG24">_xlfn.IFS($D24="","",AND(GE24=$C24,GF24=$D24),3,($C24-$D24)/MAX(ABS($C24-$D24),1)=(GE24-GF24)/MAX(ABS(GE24-GF24),1),1,TRUE,0)</f>
        <v/>
      </c>
      <c r="GH24" s="18"/>
      <c r="GI24" s="19"/>
      <c r="GJ24" s="33" t="str" cm="1">
        <f t="array" ref="GJ24">_xlfn.IFS($D24="","",AND(GH24=$C24,GI24=$D24),3,($C24-$D24)/MAX(ABS($C24-$D24),1)=(GH24-GI24)/MAX(ABS(GH24-GI24),1),1,TRUE,0)</f>
        <v/>
      </c>
      <c r="GK24" s="18"/>
      <c r="GL24" s="19"/>
      <c r="GM24" s="33" t="str" cm="1">
        <f t="array" ref="GM24">_xlfn.IFS($D24="","",AND(GK24=$C24,GL24=$D24),3,($C24-$D24)/MAX(ABS($C24-$D24),1)=(GK24-GL24)/MAX(ABS(GK24-GL24),1),1,TRUE,0)</f>
        <v/>
      </c>
      <c r="GN24" s="18"/>
      <c r="GO24" s="19"/>
      <c r="GP24" s="33" t="str" cm="1">
        <f t="array" ref="GP24">_xlfn.IFS($D24="","",AND(GN24=$C24,GO24=$D24),3,($C24-$D24)/MAX(ABS($C24-$D24),1)=(GN24-GO24)/MAX(ABS(GN24-GO24),1),1,TRUE,0)</f>
        <v/>
      </c>
      <c r="GQ24" s="18"/>
      <c r="GR24" s="19"/>
      <c r="GS24" s="33" t="str" cm="1">
        <f t="array" ref="GS24">_xlfn.IFS($D24="","",AND(GQ24=$C24,GR24=$D24),3,($C24-$D24)/MAX(ABS($C24-$D24),1)=(GQ24-GR24)/MAX(ABS(GQ24-GR24),1),1,TRUE,0)</f>
        <v/>
      </c>
      <c r="GT24" s="18"/>
      <c r="GU24" s="19"/>
      <c r="GV24" s="33" t="str" cm="1">
        <f t="array" ref="GV24">_xlfn.IFS($D24="","",AND(GT24=$C24,GU24=$D24),3,($C24-$D24)/MAX(ABS($C24-$D24),1)=(GT24-GU24)/MAX(ABS(GT24-GU24),1),1,TRUE,0)</f>
        <v/>
      </c>
      <c r="GW24" s="18"/>
      <c r="GX24" s="19"/>
      <c r="GY24" s="33" t="str" cm="1">
        <f t="array" ref="GY24">_xlfn.IFS($D24="","",AND(GW24=$C24,GX24=$D24),3,($C24-$D24)/MAX(ABS($C24-$D24),1)=(GW24-GX24)/MAX(ABS(GW24-GX24),1),1,TRUE,0)</f>
        <v/>
      </c>
      <c r="GZ24" s="18"/>
      <c r="HA24" s="19"/>
      <c r="HB24" s="33" t="str" cm="1">
        <f t="array" ref="HB24">_xlfn.IFS($D24="","",AND(GZ24=$C24,HA24=$D24),3,($C24-$D24)/MAX(ABS($C24-$D24),1)=(GZ24-HA24)/MAX(ABS(GZ24-HA24),1),1,TRUE,0)</f>
        <v/>
      </c>
      <c r="HC24" s="18"/>
      <c r="HD24" s="19"/>
      <c r="HE24" s="33" t="str" cm="1">
        <f t="array" ref="HE24">_xlfn.IFS($D24="","",AND(HC24=$C24,HD24=$D24),3,($C24-$D24)/MAX(ABS($C24-$D24),1)=(HC24-HD24)/MAX(ABS(HC24-HD24),1),1,TRUE,0)</f>
        <v/>
      </c>
      <c r="HF24" s="18"/>
      <c r="HG24" s="19"/>
      <c r="HH24" s="33" t="str" cm="1">
        <f t="array" ref="HH24">_xlfn.IFS($D24="","",AND(HF24=$C24,HG24=$D24),3,($C24-$D24)/MAX(ABS($C24-$D24),1)=(HF24-HG24)/MAX(ABS(HF24-HG24),1),1,TRUE,0)</f>
        <v/>
      </c>
      <c r="HI24" s="18"/>
      <c r="HJ24" s="19"/>
      <c r="HK24" s="33" t="str" cm="1">
        <f t="array" ref="HK24">_xlfn.IFS($D24="","",AND(HI24=$C24,HJ24=$D24),3,($C24-$D24)/MAX(ABS($C24-$D24),1)=(HI24-HJ24)/MAX(ABS(HI24-HJ24),1),1,TRUE,0)</f>
        <v/>
      </c>
      <c r="HL24" s="18"/>
      <c r="HM24" s="19"/>
      <c r="HN24" s="33" t="str" cm="1">
        <f t="array" ref="HN24">_xlfn.IFS($D24="","",AND(HL24=$C24,HM24=$D24),3,($C24-$D24)/MAX(ABS($C24-$D24),1)=(HL24-HM24)/MAX(ABS(HL24-HM24),1),1,TRUE,0)</f>
        <v/>
      </c>
      <c r="HO24" s="18"/>
      <c r="HP24" s="19"/>
      <c r="HQ24" s="33" t="str" cm="1">
        <f t="array" ref="HQ24">_xlfn.IFS($D24="","",AND(HO24=$C24,HP24=$D24),3,($C24-$D24)/MAX(ABS($C24-$D24),1)=(HO24-HP24)/MAX(ABS(HO24-HP24),1),1,TRUE,0)</f>
        <v/>
      </c>
      <c r="HR24" s="18"/>
      <c r="HS24" s="19"/>
      <c r="HT24" s="33" t="str" cm="1">
        <f t="array" ref="HT24">_xlfn.IFS($D24="","",AND(HR24=$C24,HS24=$D24),3,($C24-$D24)/MAX(ABS($C24-$D24),1)=(HR24-HS24)/MAX(ABS(HR24-HS24),1),1,TRUE,0)</f>
        <v/>
      </c>
      <c r="HU24" s="18"/>
      <c r="HV24" s="19"/>
      <c r="HW24" s="33" t="str" cm="1">
        <f t="array" ref="HW24">_xlfn.IFS($D24="","",AND(HU24=$C24,HV24=$D24),3,($C24-$D24)/MAX(ABS($C24-$D24),1)=(HU24-HV24)/MAX(ABS(HU24-HV24),1),1,TRUE,0)</f>
        <v/>
      </c>
      <c r="HX24" s="18"/>
      <c r="HY24" s="19"/>
      <c r="HZ24" s="33" t="str" cm="1">
        <f t="array" ref="HZ24">_xlfn.IFS($D24="","",AND(HX24=$C24,HY24=$D24),3,($C24-$D24)/MAX(ABS($C24-$D24),1)=(HX24-HY24)/MAX(ABS(HX24-HY24),1),1,TRUE,0)</f>
        <v/>
      </c>
      <c r="IA24" s="18"/>
      <c r="IB24" s="19"/>
      <c r="IC24" s="33" t="str" cm="1">
        <f t="array" ref="IC24">_xlfn.IFS($D24="","",AND(IA24=$C24,IB24=$D24),3,($C24-$D24)/MAX(ABS($C24-$D24),1)=(IA24-IB24)/MAX(ABS(IA24-IB24),1),1,TRUE,0)</f>
        <v/>
      </c>
      <c r="ID24" s="18"/>
      <c r="IE24" s="19"/>
      <c r="IF24" s="33" t="str" cm="1">
        <f t="array" ref="IF24">_xlfn.IFS($D24="","",AND(ID24=$C24,IE24=$D24),3,($C24-$D24)/MAX(ABS($C24-$D24),1)=(ID24-IE24)/MAX(ABS(ID24-IE24),1),1,TRUE,0)</f>
        <v/>
      </c>
      <c r="IG24" s="18"/>
      <c r="IH24" s="19"/>
      <c r="II24" s="33" t="str" cm="1">
        <f t="array" ref="II24">_xlfn.IFS($D24="","",AND(IG24=$C24,IH24=$D24),3,($C24-$D24)/MAX(ABS($C24-$D24),1)=(IG24-IH24)/MAX(ABS(IG24-IH24),1),1,TRUE,0)</f>
        <v/>
      </c>
      <c r="IJ24" s="18"/>
      <c r="IK24" s="19"/>
      <c r="IL24" s="33" t="str" cm="1">
        <f t="array" ref="IL24">_xlfn.IFS($D24="","",AND(IJ24=$C24,IK24=$D24),3,($C24-$D24)/MAX(ABS($C24-$D24),1)=(IJ24-IK24)/MAX(ABS(IJ24-IK24),1),1,TRUE,0)</f>
        <v/>
      </c>
      <c r="IM24" s="18"/>
      <c r="IN24" s="19"/>
      <c r="IO24" s="33" t="str" cm="1">
        <f t="array" ref="IO24">_xlfn.IFS($D24="","",AND(IM24=$C24,IN24=$D24),3,($C24-$D24)/MAX(ABS($C24-$D24),1)=(IM24-IN24)/MAX(ABS(IM24-IN24),1),1,TRUE,0)</f>
        <v/>
      </c>
      <c r="IP24" s="18"/>
      <c r="IQ24" s="19"/>
      <c r="IR24" s="33" t="str" cm="1">
        <f t="array" ref="IR24">_xlfn.IFS($D24="","",AND(IP24=$C24,IQ24=$D24),3,($C24-$D24)/MAX(ABS($C24-$D24),1)=(IP24-IQ24)/MAX(ABS(IP24-IQ24),1),1,TRUE,0)</f>
        <v/>
      </c>
      <c r="IS24" s="18"/>
      <c r="IT24" s="19"/>
      <c r="IU24" s="33" t="str" cm="1">
        <f t="array" ref="IU24">_xlfn.IFS($D24="","",AND(IS24=$C24,IT24=$D24),3,($C24-$D24)/MAX(ABS($C24-$D24),1)=(IS24-IT24)/MAX(ABS(IS24-IT24),1),1,TRUE,0)</f>
        <v/>
      </c>
      <c r="IV24" s="18"/>
      <c r="IW24" s="19"/>
      <c r="IX24" s="33" t="str" cm="1">
        <f t="array" ref="IX24">_xlfn.IFS($D24="","",AND(IV24=$C24,IW24=$D24),3,($C24-$D24)/MAX(ABS($C24-$D24),1)=(IV24-IW24)/MAX(ABS(IV24-IW24),1),1,TRUE,0)</f>
        <v/>
      </c>
      <c r="IY24" s="18"/>
      <c r="IZ24" s="19"/>
      <c r="JA24" s="33" t="str" cm="1">
        <f t="array" ref="JA24">_xlfn.IFS($D24="","",AND(IY24=$C24,IZ24=$D24),3,($C24-$D24)/MAX(ABS($C24-$D24),1)=(IY24-IZ24)/MAX(ABS(IY24-IZ24),1),1,TRUE,0)</f>
        <v/>
      </c>
      <c r="JB24" s="18"/>
      <c r="JC24" s="19"/>
      <c r="JD24" s="33" t="str" cm="1">
        <f t="array" ref="JD24">_xlfn.IFS($D24="","",AND(JB24=$C24,JC24=$D24),3,($C24-$D24)/MAX(ABS($C24-$D24),1)=(JB24-JC24)/MAX(ABS(JB24-JC24),1),1,TRUE,0)</f>
        <v/>
      </c>
    </row>
    <row r="25" spans="1:264" ht="15" thickBot="1" x14ac:dyDescent="0.35">
      <c r="A25" s="22">
        <v>46191</v>
      </c>
      <c r="B25" s="28" t="s">
        <v>48</v>
      </c>
      <c r="C25" s="53" t="str" cm="1">
        <f t="array" ref="C25">_xlfn.LET(
_xlpm.x,_xlfn.XLOOKUP(1,(Scores_Fixtures[Date]=A25)*(Scores_Fixtures[Home.1]=B25),Scores_Fixtures[Score.1],""),
IF(_xlpm.x="","",_xlpm.x)
)</f>
        <v/>
      </c>
      <c r="D25" s="53" t="str" cm="1">
        <f t="array" ref="D25">_xlfn.LET(
_xlpm.x,_xlfn.XLOOKUP(1,(Scores_Fixtures[Date]=A25)*(Scores_Fixtures[Home.1]=B25),Scores_Fixtures[Score.2],""),
IF(_xlpm.x="","",_xlpm.x)
)</f>
        <v/>
      </c>
      <c r="E25" s="12" t="s">
        <v>57</v>
      </c>
      <c r="F25" s="15"/>
      <c r="G25" s="53"/>
      <c r="H25" s="53"/>
      <c r="I25" s="33" t="str" cm="1">
        <f t="array" ref="I25">_xlfn.IFS($D25="","",AND(G25=$C25,H25=$D25),3,($C25-$D25)/MAX(ABS($C25-$D25),1)=(G25-H25)/MAX(ABS(G25-H25),1),1,TRUE,0)</f>
        <v/>
      </c>
      <c r="J25" s="18"/>
      <c r="K25" s="19"/>
      <c r="L25" s="33" t="str" cm="1">
        <f t="array" ref="L25">_xlfn.IFS($D25="","",AND(J25=$C25,K25=$D25),3,($C25-$D25)/MAX(ABS($C25-$D25),1)=(J25-K25)/MAX(ABS(J25-K25),1),1,TRUE,0)</f>
        <v/>
      </c>
      <c r="M25" s="18"/>
      <c r="N25" s="19"/>
      <c r="O25" s="33" t="str" cm="1">
        <f t="array" ref="O25">_xlfn.IFS($D25="","",AND(M25=$C25,N25=$D25),3,($C25-$D25)/MAX(ABS($C25-$D25),1)=(M25-N25)/MAX(ABS(M25-N25),1),1,TRUE,0)</f>
        <v/>
      </c>
      <c r="P25" s="18"/>
      <c r="Q25" s="19"/>
      <c r="R25" s="33" t="str" cm="1">
        <f t="array" ref="R25">_xlfn.IFS($D25="","",AND(P25=$C25,Q25=$D25),3,($C25-$D25)/MAX(ABS($C25-$D25),1)=(P25-Q25)/MAX(ABS(P25-Q25),1),1,TRUE,0)</f>
        <v/>
      </c>
      <c r="S25" s="18"/>
      <c r="T25" s="19"/>
      <c r="U25" s="33" t="str" cm="1">
        <f t="array" ref="U25">_xlfn.IFS($D25="","",AND(S25=$C25,T25=$D25),3,($C25-$D25)/MAX(ABS($C25-$D25),1)=(S25-T25)/MAX(ABS(S25-T25),1),1,TRUE,0)</f>
        <v/>
      </c>
      <c r="V25" s="18"/>
      <c r="W25" s="19"/>
      <c r="X25" s="33" t="str" cm="1">
        <f t="array" ref="X25">_xlfn.IFS($D25="","",AND(V25=$C25,W25=$D25),3,($C25-$D25)/MAX(ABS($C25-$D25),1)=(V25-W25)/MAX(ABS(V25-W25),1),1,TRUE,0)</f>
        <v/>
      </c>
      <c r="Y25" s="18"/>
      <c r="Z25" s="19"/>
      <c r="AA25" s="33" t="str" cm="1">
        <f t="array" ref="AA25">_xlfn.IFS($D25="","",AND(Y25=$C25,Z25=$D25),3,($C25-$D25)/MAX(ABS($C25-$D25),1)=(Y25-Z25)/MAX(ABS(Y25-Z25),1),1,TRUE,0)</f>
        <v/>
      </c>
      <c r="AB25" s="18"/>
      <c r="AC25" s="19"/>
      <c r="AD25" s="33" t="str" cm="1">
        <f t="array" ref="AD25">_xlfn.IFS($D25="","",AND(AB25=$C25,AC25=$D25),3,($C25-$D25)/MAX(ABS($C25-$D25),1)=(AB25-AC25)/MAX(ABS(AB25-AC25),1),1,TRUE,0)</f>
        <v/>
      </c>
      <c r="AE25" s="18"/>
      <c r="AF25" s="19"/>
      <c r="AG25" s="33" t="str" cm="1">
        <f t="array" ref="AG25">_xlfn.IFS($D25="","",AND(AE25=$C25,AF25=$D25),3,($C25-$D25)/MAX(ABS($C25-$D25),1)=(AE25-AF25)/MAX(ABS(AE25-AF25),1),1,TRUE,0)</f>
        <v/>
      </c>
      <c r="AH25" s="18"/>
      <c r="AI25" s="19"/>
      <c r="AJ25" s="33" t="str" cm="1">
        <f t="array" ref="AJ25">_xlfn.IFS($D25="","",AND(AH25=$C25,AI25=$D25),3,($C25-$D25)/MAX(ABS($C25-$D25),1)=(AH25-AI25)/MAX(ABS(AH25-AI25),1),1,TRUE,0)</f>
        <v/>
      </c>
      <c r="AK25" s="18"/>
      <c r="AL25" s="19"/>
      <c r="AM25" s="33" t="str" cm="1">
        <f t="array" ref="AM25">_xlfn.IFS($D25="","",AND(AK25=$C25,AL25=$D25),3,($C25-$D25)/MAX(ABS($C25-$D25),1)=(AK25-AL25)/MAX(ABS(AK25-AL25),1),1,TRUE,0)</f>
        <v/>
      </c>
      <c r="AN25" s="18"/>
      <c r="AO25" s="19"/>
      <c r="AP25" s="33" t="str" cm="1">
        <f t="array" ref="AP25">_xlfn.IFS($D25="","",AND(AN25=$C25,AO25=$D25),3,($C25-$D25)/MAX(ABS($C25-$D25),1)=(AN25-AO25)/MAX(ABS(AN25-AO25),1),1,TRUE,0)</f>
        <v/>
      </c>
      <c r="AQ25" s="18"/>
      <c r="AR25" s="19"/>
      <c r="AS25" s="33" t="str" cm="1">
        <f t="array" ref="AS25">_xlfn.IFS($D25="","",AND(AQ25=$C25,AR25=$D25),3,($C25-$D25)/MAX(ABS($C25-$D25),1)=(AQ25-AR25)/MAX(ABS(AQ25-AR25),1),1,TRUE,0)</f>
        <v/>
      </c>
      <c r="AT25" s="18"/>
      <c r="AU25" s="19"/>
      <c r="AV25" s="33" t="str" cm="1">
        <f t="array" ref="AV25">_xlfn.IFS($D25="","",AND(AT25=$C25,AU25=$D25),3,($C25-$D25)/MAX(ABS($C25-$D25),1)=(AT25-AU25)/MAX(ABS(AT25-AU25),1),1,TRUE,0)</f>
        <v/>
      </c>
      <c r="AW25" s="18"/>
      <c r="AX25" s="19"/>
      <c r="AY25" s="33" t="str" cm="1">
        <f t="array" ref="AY25">_xlfn.IFS($D25="","",AND(AW25=$C25,AX25=$D25),3,($C25-$D25)/MAX(ABS($C25-$D25),1)=(AW25-AX25)/MAX(ABS(AW25-AX25),1),1,TRUE,0)</f>
        <v/>
      </c>
      <c r="AZ25" s="18"/>
      <c r="BA25" s="19"/>
      <c r="BB25" s="33" t="str" cm="1">
        <f t="array" ref="BB25">_xlfn.IFS($D25="","",AND(AZ25=$C25,BA25=$D25),3,($C25-$D25)/MAX(ABS($C25-$D25),1)=(AZ25-BA25)/MAX(ABS(AZ25-BA25),1),1,TRUE,0)</f>
        <v/>
      </c>
      <c r="BC25" s="18"/>
      <c r="BD25" s="19"/>
      <c r="BE25" s="33" t="str" cm="1">
        <f t="array" ref="BE25">_xlfn.IFS($D25="","",AND(BC25=$C25,BD25=$D25),3,($C25-$D25)/MAX(ABS($C25-$D25),1)=(BC25-BD25)/MAX(ABS(BC25-BD25),1),1,TRUE,0)</f>
        <v/>
      </c>
      <c r="BF25" s="18"/>
      <c r="BG25" s="19"/>
      <c r="BH25" s="33" t="str" cm="1">
        <f t="array" ref="BH25">_xlfn.IFS($D25="","",AND(BF25=$C25,BG25=$D25),3,($C25-$D25)/MAX(ABS($C25-$D25),1)=(BF25-BG25)/MAX(ABS(BF25-BG25),1),1,TRUE,0)</f>
        <v/>
      </c>
      <c r="BI25" s="18"/>
      <c r="BJ25" s="19"/>
      <c r="BK25" s="33" t="str" cm="1">
        <f t="array" ref="BK25">_xlfn.IFS($D25="","",AND(BI25=$C25,BJ25=$D25),3,($C25-$D25)/MAX(ABS($C25-$D25),1)=(BI25-BJ25)/MAX(ABS(BI25-BJ25),1),1,TRUE,0)</f>
        <v/>
      </c>
      <c r="BL25" s="18"/>
      <c r="BM25" s="19"/>
      <c r="BN25" s="33" t="str" cm="1">
        <f t="array" ref="BN25">_xlfn.IFS($D25="","",AND(BL25=$C25,BM25=$D25),3,($C25-$D25)/MAX(ABS($C25-$D25),1)=(BL25-BM25)/MAX(ABS(BL25-BM25),1),1,TRUE,0)</f>
        <v/>
      </c>
      <c r="BO25" s="18"/>
      <c r="BP25" s="19"/>
      <c r="BQ25" s="33" t="str" cm="1">
        <f t="array" ref="BQ25">_xlfn.IFS($D25="","",AND(BO25=$C25,BP25=$D25),3,($C25-$D25)/MAX(ABS($C25-$D25),1)=(BO25-BP25)/MAX(ABS(BO25-BP25),1),1,TRUE,0)</f>
        <v/>
      </c>
      <c r="BR25" s="18"/>
      <c r="BS25" s="19"/>
      <c r="BT25" s="33" t="str" cm="1">
        <f t="array" ref="BT25">_xlfn.IFS($D25="","",AND(BR25=$C25,BS25=$D25),3,($C25-$D25)/MAX(ABS($C25-$D25),1)=(BR25-BS25)/MAX(ABS(BR25-BS25),1),1,TRUE,0)</f>
        <v/>
      </c>
      <c r="BU25" s="18"/>
      <c r="BV25" s="19"/>
      <c r="BW25" s="33" t="str" cm="1">
        <f t="array" ref="BW25">_xlfn.IFS($D25="","",AND(BU25=$C25,BV25=$D25),3,($C25-$D25)/MAX(ABS($C25-$D25),1)=(BU25-BV25)/MAX(ABS(BU25-BV25),1),1,TRUE,0)</f>
        <v/>
      </c>
      <c r="BX25" s="18"/>
      <c r="BY25" s="19"/>
      <c r="BZ25" s="33" t="str" cm="1">
        <f t="array" ref="BZ25">_xlfn.IFS($D25="","",AND(BX25=$C25,BY25=$D25),3,($C25-$D25)/MAX(ABS($C25-$D25),1)=(BX25-BY25)/MAX(ABS(BX25-BY25),1),1,TRUE,0)</f>
        <v/>
      </c>
      <c r="CA25" s="18"/>
      <c r="CB25" s="19"/>
      <c r="CC25" s="33" t="str" cm="1">
        <f t="array" ref="CC25">_xlfn.IFS($D25="","",AND(CA25=$C25,CB25=$D25),3,($C25-$D25)/MAX(ABS($C25-$D25),1)=(CA25-CB25)/MAX(ABS(CA25-CB25),1),1,TRUE,0)</f>
        <v/>
      </c>
      <c r="CD25" s="18"/>
      <c r="CE25" s="19"/>
      <c r="CF25" s="33" t="str" cm="1">
        <f t="array" ref="CF25">_xlfn.IFS($D25="","",AND(CD25=$C25,CE25=$D25),3,($C25-$D25)/MAX(ABS($C25-$D25),1)=(CD25-CE25)/MAX(ABS(CD25-CE25),1),1,TRUE,0)</f>
        <v/>
      </c>
      <c r="CG25" s="18"/>
      <c r="CH25" s="19"/>
      <c r="CI25" s="33" t="str" cm="1">
        <f t="array" ref="CI25">_xlfn.IFS($D25="","",AND(CG25=$C25,CH25=$D25),3,($C25-$D25)/MAX(ABS($C25-$D25),1)=(CG25-CH25)/MAX(ABS(CG25-CH25),1),1,TRUE,0)</f>
        <v/>
      </c>
      <c r="CJ25" s="18"/>
      <c r="CK25" s="19"/>
      <c r="CL25" s="33" t="str" cm="1">
        <f t="array" ref="CL25">_xlfn.IFS($D25="","",AND(CJ25=$C25,CK25=$D25),3,($C25-$D25)/MAX(ABS($C25-$D25),1)=(CJ25-CK25)/MAX(ABS(CJ25-CK25),1),1,TRUE,0)</f>
        <v/>
      </c>
      <c r="CM25" s="18"/>
      <c r="CN25" s="19"/>
      <c r="CO25" s="33" t="str" cm="1">
        <f t="array" ref="CO25">_xlfn.IFS($D25="","",AND(CM25=$C25,CN25=$D25),3,($C25-$D25)/MAX(ABS($C25-$D25),1)=(CM25-CN25)/MAX(ABS(CM25-CN25),1),1,TRUE,0)</f>
        <v/>
      </c>
      <c r="CP25" s="18"/>
      <c r="CQ25" s="19"/>
      <c r="CR25" s="33" t="str" cm="1">
        <f t="array" ref="CR25">_xlfn.IFS($D25="","",AND(CP25=$C25,CQ25=$D25),3,($C25-$D25)/MAX(ABS($C25-$D25),1)=(CP25-CQ25)/MAX(ABS(CP25-CQ25),1),1,TRUE,0)</f>
        <v/>
      </c>
      <c r="CS25" s="18"/>
      <c r="CT25" s="19"/>
      <c r="CU25" s="33" t="str" cm="1">
        <f t="array" ref="CU25">_xlfn.IFS($D25="","",AND(CS25=$C25,CT25=$D25),3,($C25-$D25)/MAX(ABS($C25-$D25),1)=(CS25-CT25)/MAX(ABS(CS25-CT25),1),1,TRUE,0)</f>
        <v/>
      </c>
      <c r="CV25" s="18"/>
      <c r="CW25" s="19"/>
      <c r="CX25" s="33" t="str" cm="1">
        <f t="array" ref="CX25">_xlfn.IFS($D25="","",AND(CV25=$C25,CW25=$D25),3,($C25-$D25)/MAX(ABS($C25-$D25),1)=(CV25-CW25)/MAX(ABS(CV25-CW25),1),1,TRUE,0)</f>
        <v/>
      </c>
      <c r="CY25" s="18"/>
      <c r="CZ25" s="19"/>
      <c r="DA25" s="33" t="str" cm="1">
        <f t="array" ref="DA25">_xlfn.IFS($D25="","",AND(CY25=$C25,CZ25=$D25),3,($C25-$D25)/MAX(ABS($C25-$D25),1)=(CY25-CZ25)/MAX(ABS(CY25-CZ25),1),1,TRUE,0)</f>
        <v/>
      </c>
      <c r="DB25" s="37"/>
      <c r="DC25" s="38"/>
      <c r="DD25" s="33" t="str" cm="1">
        <f t="array" ref="DD25">_xlfn.IFS($D25="","",AND(DB25=$C25,DC25=$D25),3,($C25-$D25)/MAX(ABS($C25-$D25),1)=(DB25-DC25)/MAX(ABS(DB25-DC25),1),1,TRUE,0)</f>
        <v/>
      </c>
      <c r="DE25" s="18"/>
      <c r="DF25" s="19"/>
      <c r="DG25" s="33" t="str" cm="1">
        <f t="array" ref="DG25">_xlfn.IFS($D25="","",AND(DE25=$C25,DF25=$D25),3,($C25-$D25)/MAX(ABS($C25-$D25),1)=(DE25-DF25)/MAX(ABS(DE25-DF25),1),1,TRUE,0)</f>
        <v/>
      </c>
      <c r="DH25" s="18"/>
      <c r="DI25" s="19"/>
      <c r="DJ25" s="33" t="str" cm="1">
        <f t="array" ref="DJ25">_xlfn.IFS($D25="","",AND(DH25=$C25,DI25=$D25),3,($C25-$D25)/MAX(ABS($C25-$D25),1)=(DH25-DI25)/MAX(ABS(DH25-DI25),1),1,TRUE,0)</f>
        <v/>
      </c>
      <c r="DK25" s="18"/>
      <c r="DL25" s="19"/>
      <c r="DM25" s="33" t="str" cm="1">
        <f t="array" ref="DM25">_xlfn.IFS($D25="","",AND(DK25=$C25,DL25=$D25),3,($C25-$D25)/MAX(ABS($C25-$D25),1)=(DK25-DL25)/MAX(ABS(DK25-DL25),1),1,TRUE,0)</f>
        <v/>
      </c>
      <c r="DN25" s="18"/>
      <c r="DO25" s="19"/>
      <c r="DP25" s="33" t="str" cm="1">
        <f t="array" ref="DP25">_xlfn.IFS($D25="","",AND(DN25=$C25,DO25=$D25),3,($C25-$D25)/MAX(ABS($C25-$D25),1)=(DN25-DO25)/MAX(ABS(DN25-DO25),1),1,TRUE,0)</f>
        <v/>
      </c>
      <c r="DQ25" s="18"/>
      <c r="DR25" s="19"/>
      <c r="DS25" s="33" t="str" cm="1">
        <f t="array" ref="DS25">_xlfn.IFS($D25="","",AND(DQ25=$C25,DR25=$D25),3,($C25-$D25)/MAX(ABS($C25-$D25),1)=(DQ25-DR25)/MAX(ABS(DQ25-DR25),1),1,TRUE,0)</f>
        <v/>
      </c>
      <c r="DT25" s="18"/>
      <c r="DU25" s="19"/>
      <c r="DV25" s="33" t="str" cm="1">
        <f t="array" ref="DV25">_xlfn.IFS($D25="","",AND(DT25=$C25,DU25=$D25),3,($C25-$D25)/MAX(ABS($C25-$D25),1)=(DT25-DU25)/MAX(ABS(DT25-DU25),1),1,TRUE,0)</f>
        <v/>
      </c>
      <c r="DW25" s="18"/>
      <c r="DX25" s="19"/>
      <c r="DY25" s="33" t="str" cm="1">
        <f t="array" ref="DY25">_xlfn.IFS($D25="","",AND(DW25=$C25,DX25=$D25),3,($C25-$D25)/MAX(ABS($C25-$D25),1)=(DW25-DX25)/MAX(ABS(DW25-DX25),1),1,TRUE,0)</f>
        <v/>
      </c>
      <c r="DZ25" s="18"/>
      <c r="EA25" s="19"/>
      <c r="EB25" s="33" t="str" cm="1">
        <f t="array" ref="EB25">_xlfn.IFS($D25="","",AND(DZ25=$C25,EA25=$D25),3,($C25-$D25)/MAX(ABS($C25-$D25),1)=(DZ25-EA25)/MAX(ABS(DZ25-EA25),1),1,TRUE,0)</f>
        <v/>
      </c>
      <c r="EC25" s="18"/>
      <c r="ED25" s="19"/>
      <c r="EE25" s="33" t="str" cm="1">
        <f t="array" ref="EE25">_xlfn.IFS($D25="","",AND(EC25=$C25,ED25=$D25),3,($C25-$D25)/MAX(ABS($C25-$D25),1)=(EC25-ED25)/MAX(ABS(EC25-ED25),1),1,TRUE,0)</f>
        <v/>
      </c>
      <c r="EF25" s="18"/>
      <c r="EG25" s="19"/>
      <c r="EH25" s="33" t="str" cm="1">
        <f t="array" ref="EH25">_xlfn.IFS($D25="","",AND(EF25=$C25,EG25=$D25),3,($C25-$D25)/MAX(ABS($C25-$D25),1)=(EF25-EG25)/MAX(ABS(EF25-EG25),1),1,TRUE,0)</f>
        <v/>
      </c>
      <c r="EI25" s="43"/>
      <c r="EJ25" s="44"/>
      <c r="EK25" s="33" t="str" cm="1">
        <f t="array" ref="EK25">_xlfn.IFS($D25="","",AND(EI25=$C25,EJ25=$D25),3,($C25-$D25)/MAX(ABS($C25-$D25),1)=(EI25-EJ25)/MAX(ABS(EI25-EJ25),1),1,TRUE,0)</f>
        <v/>
      </c>
      <c r="EL25" s="18"/>
      <c r="EM25" s="19"/>
      <c r="EN25" s="33" t="str" cm="1">
        <f t="array" ref="EN25">_xlfn.IFS($D25="","",AND(EL25=$C25,EM25=$D25),3,($C25-$D25)/MAX(ABS($C25-$D25),1)=(EL25-EM25)/MAX(ABS(EL25-EM25),1),1,TRUE,0)</f>
        <v/>
      </c>
      <c r="EO25" s="18"/>
      <c r="EP25" s="19"/>
      <c r="EQ25" s="33" t="str" cm="1">
        <f t="array" ref="EQ25">_xlfn.IFS($D25="","",AND(EO25=$C25,EP25=$D25),3,($C25-$D25)/MAX(ABS($C25-$D25),1)=(EO25-EP25)/MAX(ABS(EO25-EP25),1),1,TRUE,0)</f>
        <v/>
      </c>
      <c r="ER25" s="18"/>
      <c r="ES25" s="19"/>
      <c r="ET25" s="33" t="str" cm="1">
        <f t="array" ref="ET25">_xlfn.IFS($D25="","",AND(ER25=$C25,ES25=$D25),3,($C25-$D25)/MAX(ABS($C25-$D25),1)=(ER25-ES25)/MAX(ABS(ER25-ES25),1),1,TRUE,0)</f>
        <v/>
      </c>
      <c r="EU25" s="18"/>
      <c r="EV25" s="19"/>
      <c r="EW25" s="33" t="str" cm="1">
        <f t="array" ref="EW25">_xlfn.IFS($D25="","",AND(EU25=$C25,EV25=$D25),3,($C25-$D25)/MAX(ABS($C25-$D25),1)=(EU25-EV25)/MAX(ABS(EU25-EV25),1),1,TRUE,0)</f>
        <v/>
      </c>
      <c r="EX25" s="18"/>
      <c r="EY25" s="19"/>
      <c r="EZ25" s="33" t="str" cm="1">
        <f t="array" ref="EZ25">_xlfn.IFS($D25="","",AND(EX25=$C25,EY25=$D25),3,($C25-$D25)/MAX(ABS($C25-$D25),1)=(EX25-EY25)/MAX(ABS(EX25-EY25),1),1,TRUE,0)</f>
        <v/>
      </c>
      <c r="FA25" s="18"/>
      <c r="FB25" s="19"/>
      <c r="FC25" s="33" t="str" cm="1">
        <f t="array" ref="FC25">_xlfn.IFS($D25="","",AND(FA25=$C25,FB25=$D25),3,($C25-$D25)/MAX(ABS($C25-$D25),1)=(FA25-FB25)/MAX(ABS(FA25-FB25),1),1,TRUE,0)</f>
        <v/>
      </c>
      <c r="FD25" s="18"/>
      <c r="FE25" s="19"/>
      <c r="FF25" s="33" t="str" cm="1">
        <f t="array" ref="FF25">_xlfn.IFS($D25="","",AND(FD25=$C25,FE25=$D25),3,($C25-$D25)/MAX(ABS($C25-$D25),1)=(FD25-FE25)/MAX(ABS(FD25-FE25),1),1,TRUE,0)</f>
        <v/>
      </c>
      <c r="FG25" s="18"/>
      <c r="FH25" s="19"/>
      <c r="FI25" s="33" t="str" cm="1">
        <f t="array" ref="FI25">_xlfn.IFS($D25="","",AND(FG25=$C25,FH25=$D25),3,($C25-$D25)/MAX(ABS($C25-$D25),1)=(FG25-FH25)/MAX(ABS(FG25-FH25),1),1,TRUE,0)</f>
        <v/>
      </c>
      <c r="FJ25" s="18"/>
      <c r="FK25" s="19"/>
      <c r="FL25" s="33" t="str" cm="1">
        <f t="array" ref="FL25">_xlfn.IFS($D25="","",AND(FJ25=$C25,FK25=$D25),3,($C25-$D25)/MAX(ABS($C25-$D25),1)=(FJ25-FK25)/MAX(ABS(FJ25-FK25),1),1,TRUE,0)</f>
        <v/>
      </c>
      <c r="FM25" s="18"/>
      <c r="FN25" s="19"/>
      <c r="FO25" s="33" t="str" cm="1">
        <f t="array" ref="FO25">_xlfn.IFS($D25="","",AND(FM25=$C25,FN25=$D25),3,($C25-$D25)/MAX(ABS($C25-$D25),1)=(FM25-FN25)/MAX(ABS(FM25-FN25),1),1,TRUE,0)</f>
        <v/>
      </c>
      <c r="FP25" s="18"/>
      <c r="FQ25" s="19"/>
      <c r="FR25" s="33" t="str" cm="1">
        <f t="array" ref="FR25">_xlfn.IFS($D25="","",AND(FP25=$C25,FQ25=$D25),3,($C25-$D25)/MAX(ABS($C25-$D25),1)=(FP25-FQ25)/MAX(ABS(FP25-FQ25),1),1,TRUE,0)</f>
        <v/>
      </c>
      <c r="FS25" s="18"/>
      <c r="FT25" s="19"/>
      <c r="FU25" s="33" t="str" cm="1">
        <f t="array" ref="FU25">_xlfn.IFS($D25="","",AND(FS25=$C25,FT25=$D25),3,($C25-$D25)/MAX(ABS($C25-$D25),1)=(FS25-FT25)/MAX(ABS(FS25-FT25),1),1,TRUE,0)</f>
        <v/>
      </c>
      <c r="FV25" s="18"/>
      <c r="FW25" s="19"/>
      <c r="FX25" s="33" t="str" cm="1">
        <f t="array" ref="FX25">_xlfn.IFS($D25="","",AND(FV25=$C25,FW25=$D25),3,($C25-$D25)/MAX(ABS($C25-$D25),1)=(FV25-FW25)/MAX(ABS(FV25-FW25),1),1,TRUE,0)</f>
        <v/>
      </c>
      <c r="FY25" s="18"/>
      <c r="FZ25" s="19"/>
      <c r="GA25" s="33" t="str" cm="1">
        <f t="array" ref="GA25">_xlfn.IFS($D25="","",AND(FY25=$C25,FZ25=$D25),3,($C25-$D25)/MAX(ABS($C25-$D25),1)=(FY25-FZ25)/MAX(ABS(FY25-FZ25),1),1,TRUE,0)</f>
        <v/>
      </c>
      <c r="GB25" s="18"/>
      <c r="GC25" s="19"/>
      <c r="GD25" s="33" t="str" cm="1">
        <f t="array" ref="GD25">_xlfn.IFS($D25="","",AND(GB25=$C25,GC25=$D25),3,($C25-$D25)/MAX(ABS($C25-$D25),1)=(GB25-GC25)/MAX(ABS(GB25-GC25),1),1,TRUE,0)</f>
        <v/>
      </c>
      <c r="GE25" s="47"/>
      <c r="GF25" s="45"/>
      <c r="GG25" s="33" t="str" cm="1">
        <f t="array" ref="GG25">_xlfn.IFS($D25="","",AND(GE25=$C25,GF25=$D25),3,($C25-$D25)/MAX(ABS($C25-$D25),1)=(GE25-GF25)/MAX(ABS(GE25-GF25),1),1,TRUE,0)</f>
        <v/>
      </c>
      <c r="GH25" s="18"/>
      <c r="GI25" s="19"/>
      <c r="GJ25" s="33" t="str" cm="1">
        <f t="array" ref="GJ25">_xlfn.IFS($D25="","",AND(GH25=$C25,GI25=$D25),3,($C25-$D25)/MAX(ABS($C25-$D25),1)=(GH25-GI25)/MAX(ABS(GH25-GI25),1),1,TRUE,0)</f>
        <v/>
      </c>
      <c r="GK25" s="18"/>
      <c r="GL25" s="19"/>
      <c r="GM25" s="33" t="str" cm="1">
        <f t="array" ref="GM25">_xlfn.IFS($D25="","",AND(GK25=$C25,GL25=$D25),3,($C25-$D25)/MAX(ABS($C25-$D25),1)=(GK25-GL25)/MAX(ABS(GK25-GL25),1),1,TRUE,0)</f>
        <v/>
      </c>
      <c r="GN25" s="18"/>
      <c r="GO25" s="19"/>
      <c r="GP25" s="33" t="str" cm="1">
        <f t="array" ref="GP25">_xlfn.IFS($D25="","",AND(GN25=$C25,GO25=$D25),3,($C25-$D25)/MAX(ABS($C25-$D25),1)=(GN25-GO25)/MAX(ABS(GN25-GO25),1),1,TRUE,0)</f>
        <v/>
      </c>
      <c r="GQ25" s="18"/>
      <c r="GR25" s="19"/>
      <c r="GS25" s="33" t="str" cm="1">
        <f t="array" ref="GS25">_xlfn.IFS($D25="","",AND(GQ25=$C25,GR25=$D25),3,($C25-$D25)/MAX(ABS($C25-$D25),1)=(GQ25-GR25)/MAX(ABS(GQ25-GR25),1),1,TRUE,0)</f>
        <v/>
      </c>
      <c r="GT25" s="18"/>
      <c r="GU25" s="19"/>
      <c r="GV25" s="33" t="str" cm="1">
        <f t="array" ref="GV25">_xlfn.IFS($D25="","",AND(GT25=$C25,GU25=$D25),3,($C25-$D25)/MAX(ABS($C25-$D25),1)=(GT25-GU25)/MAX(ABS(GT25-GU25),1),1,TRUE,0)</f>
        <v/>
      </c>
      <c r="GW25" s="18"/>
      <c r="GX25" s="19"/>
      <c r="GY25" s="33" t="str" cm="1">
        <f t="array" ref="GY25">_xlfn.IFS($D25="","",AND(GW25=$C25,GX25=$D25),3,($C25-$D25)/MAX(ABS($C25-$D25),1)=(GW25-GX25)/MAX(ABS(GW25-GX25),1),1,TRUE,0)</f>
        <v/>
      </c>
      <c r="GZ25" s="18"/>
      <c r="HA25" s="19"/>
      <c r="HB25" s="33" t="str" cm="1">
        <f t="array" ref="HB25">_xlfn.IFS($D25="","",AND(GZ25=$C25,HA25=$D25),3,($C25-$D25)/MAX(ABS($C25-$D25),1)=(GZ25-HA25)/MAX(ABS(GZ25-HA25),1),1,TRUE,0)</f>
        <v/>
      </c>
      <c r="HC25" s="18"/>
      <c r="HD25" s="19"/>
      <c r="HE25" s="33" t="str" cm="1">
        <f t="array" ref="HE25">_xlfn.IFS($D25="","",AND(HC25=$C25,HD25=$D25),3,($C25-$D25)/MAX(ABS($C25-$D25),1)=(HC25-HD25)/MAX(ABS(HC25-HD25),1),1,TRUE,0)</f>
        <v/>
      </c>
      <c r="HF25" s="18"/>
      <c r="HG25" s="19"/>
      <c r="HH25" s="33" t="str" cm="1">
        <f t="array" ref="HH25">_xlfn.IFS($D25="","",AND(HF25=$C25,HG25=$D25),3,($C25-$D25)/MAX(ABS($C25-$D25),1)=(HF25-HG25)/MAX(ABS(HF25-HG25),1),1,TRUE,0)</f>
        <v/>
      </c>
      <c r="HI25" s="18"/>
      <c r="HJ25" s="19"/>
      <c r="HK25" s="33" t="str" cm="1">
        <f t="array" ref="HK25">_xlfn.IFS($D25="","",AND(HI25=$C25,HJ25=$D25),3,($C25-$D25)/MAX(ABS($C25-$D25),1)=(HI25-HJ25)/MAX(ABS(HI25-HJ25),1),1,TRUE,0)</f>
        <v/>
      </c>
      <c r="HL25" s="18"/>
      <c r="HM25" s="19"/>
      <c r="HN25" s="33" t="str" cm="1">
        <f t="array" ref="HN25">_xlfn.IFS($D25="","",AND(HL25=$C25,HM25=$D25),3,($C25-$D25)/MAX(ABS($C25-$D25),1)=(HL25-HM25)/MAX(ABS(HL25-HM25),1),1,TRUE,0)</f>
        <v/>
      </c>
      <c r="HO25" s="18"/>
      <c r="HP25" s="19"/>
      <c r="HQ25" s="33" t="str" cm="1">
        <f t="array" ref="HQ25">_xlfn.IFS($D25="","",AND(HO25=$C25,HP25=$D25),3,($C25-$D25)/MAX(ABS($C25-$D25),1)=(HO25-HP25)/MAX(ABS(HO25-HP25),1),1,TRUE,0)</f>
        <v/>
      </c>
      <c r="HR25" s="18"/>
      <c r="HS25" s="19"/>
      <c r="HT25" s="33" t="str" cm="1">
        <f t="array" ref="HT25">_xlfn.IFS($D25="","",AND(HR25=$C25,HS25=$D25),3,($C25-$D25)/MAX(ABS($C25-$D25),1)=(HR25-HS25)/MAX(ABS(HR25-HS25),1),1,TRUE,0)</f>
        <v/>
      </c>
      <c r="HU25" s="18"/>
      <c r="HV25" s="19"/>
      <c r="HW25" s="33" t="str" cm="1">
        <f t="array" ref="HW25">_xlfn.IFS($D25="","",AND(HU25=$C25,HV25=$D25),3,($C25-$D25)/MAX(ABS($C25-$D25),1)=(HU25-HV25)/MAX(ABS(HU25-HV25),1),1,TRUE,0)</f>
        <v/>
      </c>
      <c r="HX25" s="18"/>
      <c r="HY25" s="19"/>
      <c r="HZ25" s="33" t="str" cm="1">
        <f t="array" ref="HZ25">_xlfn.IFS($D25="","",AND(HX25=$C25,HY25=$D25),3,($C25-$D25)/MAX(ABS($C25-$D25),1)=(HX25-HY25)/MAX(ABS(HX25-HY25),1),1,TRUE,0)</f>
        <v/>
      </c>
      <c r="IA25" s="18"/>
      <c r="IB25" s="19"/>
      <c r="IC25" s="33" t="str" cm="1">
        <f t="array" ref="IC25">_xlfn.IFS($D25="","",AND(IA25=$C25,IB25=$D25),3,($C25-$D25)/MAX(ABS($C25-$D25),1)=(IA25-IB25)/MAX(ABS(IA25-IB25),1),1,TRUE,0)</f>
        <v/>
      </c>
      <c r="ID25" s="18"/>
      <c r="IE25" s="19"/>
      <c r="IF25" s="33" t="str" cm="1">
        <f t="array" ref="IF25">_xlfn.IFS($D25="","",AND(ID25=$C25,IE25=$D25),3,($C25-$D25)/MAX(ABS($C25-$D25),1)=(ID25-IE25)/MAX(ABS(ID25-IE25),1),1,TRUE,0)</f>
        <v/>
      </c>
      <c r="IG25" s="18"/>
      <c r="IH25" s="19"/>
      <c r="II25" s="33" t="str" cm="1">
        <f t="array" ref="II25">_xlfn.IFS($D25="","",AND(IG25=$C25,IH25=$D25),3,($C25-$D25)/MAX(ABS($C25-$D25),1)=(IG25-IH25)/MAX(ABS(IG25-IH25),1),1,TRUE,0)</f>
        <v/>
      </c>
      <c r="IJ25" s="18"/>
      <c r="IK25" s="19"/>
      <c r="IL25" s="33" t="str" cm="1">
        <f t="array" ref="IL25">_xlfn.IFS($D25="","",AND(IJ25=$C25,IK25=$D25),3,($C25-$D25)/MAX(ABS($C25-$D25),1)=(IJ25-IK25)/MAX(ABS(IJ25-IK25),1),1,TRUE,0)</f>
        <v/>
      </c>
      <c r="IM25" s="18"/>
      <c r="IN25" s="19"/>
      <c r="IO25" s="33" t="str" cm="1">
        <f t="array" ref="IO25">_xlfn.IFS($D25="","",AND(IM25=$C25,IN25=$D25),3,($C25-$D25)/MAX(ABS($C25-$D25),1)=(IM25-IN25)/MAX(ABS(IM25-IN25),1),1,TRUE,0)</f>
        <v/>
      </c>
      <c r="IP25" s="18"/>
      <c r="IQ25" s="19"/>
      <c r="IR25" s="33" t="str" cm="1">
        <f t="array" ref="IR25">_xlfn.IFS($D25="","",AND(IP25=$C25,IQ25=$D25),3,($C25-$D25)/MAX(ABS($C25-$D25),1)=(IP25-IQ25)/MAX(ABS(IP25-IQ25),1),1,TRUE,0)</f>
        <v/>
      </c>
      <c r="IS25" s="18"/>
      <c r="IT25" s="19"/>
      <c r="IU25" s="33" t="str" cm="1">
        <f t="array" ref="IU25">_xlfn.IFS($D25="","",AND(IS25=$C25,IT25=$D25),3,($C25-$D25)/MAX(ABS($C25-$D25),1)=(IS25-IT25)/MAX(ABS(IS25-IT25),1),1,TRUE,0)</f>
        <v/>
      </c>
      <c r="IV25" s="18"/>
      <c r="IW25" s="19"/>
      <c r="IX25" s="33" t="str" cm="1">
        <f t="array" ref="IX25">_xlfn.IFS($D25="","",AND(IV25=$C25,IW25=$D25),3,($C25-$D25)/MAX(ABS($C25-$D25),1)=(IV25-IW25)/MAX(ABS(IV25-IW25),1),1,TRUE,0)</f>
        <v/>
      </c>
      <c r="IY25" s="18"/>
      <c r="IZ25" s="19"/>
      <c r="JA25" s="33" t="str" cm="1">
        <f t="array" ref="JA25">_xlfn.IFS($D25="","",AND(IY25=$C25,IZ25=$D25),3,($C25-$D25)/MAX(ABS($C25-$D25),1)=(IY25-IZ25)/MAX(ABS(IY25-IZ25),1),1,TRUE,0)</f>
        <v/>
      </c>
      <c r="JB25" s="18"/>
      <c r="JC25" s="19"/>
      <c r="JD25" s="33" t="str" cm="1">
        <f t="array" ref="JD25">_xlfn.IFS($D25="","",AND(JB25=$C25,JC25=$D25),3,($C25-$D25)/MAX(ABS($C25-$D25),1)=(JB25-JC25)/MAX(ABS(JB25-JC25),1),1,TRUE,0)</f>
        <v/>
      </c>
    </row>
    <row r="26" spans="1:264" ht="15" thickBot="1" x14ac:dyDescent="0.35">
      <c r="A26" s="22">
        <v>46191</v>
      </c>
      <c r="B26" s="28" t="s">
        <v>49</v>
      </c>
      <c r="C26" s="53" t="str" cm="1">
        <f t="array" ref="C26">_xlfn.LET(
_xlpm.x,_xlfn.XLOOKUP(1,(Scores_Fixtures[Date]=A26)*(Scores_Fixtures[Home.1]=B26),Scores_Fixtures[Score.1],""),
IF(_xlpm.x="","",_xlpm.x)
)</f>
        <v/>
      </c>
      <c r="D26" s="53" t="str" cm="1">
        <f t="array" ref="D26">_xlfn.LET(
_xlpm.x,_xlfn.XLOOKUP(1,(Scores_Fixtures[Date]=A26)*(Scores_Fixtures[Home.1]=B26),Scores_Fixtures[Score.2],""),
IF(_xlpm.x="","",_xlpm.x)
)</f>
        <v/>
      </c>
      <c r="E26" s="12" t="s">
        <v>58</v>
      </c>
      <c r="F26" s="15"/>
      <c r="G26" s="53"/>
      <c r="H26" s="53"/>
      <c r="I26" s="33" t="str" cm="1">
        <f t="array" ref="I26">_xlfn.IFS($D26="","",AND(G26=$C26,H26=$D26),3,($C26-$D26)/MAX(ABS($C26-$D26),1)=(G26-H26)/MAX(ABS(G26-H26),1),1,TRUE,0)</f>
        <v/>
      </c>
      <c r="J26" s="18"/>
      <c r="K26" s="19"/>
      <c r="L26" s="33" t="str" cm="1">
        <f t="array" ref="L26">_xlfn.IFS($D26="","",AND(J26=$C26,K26=$D26),3,($C26-$D26)/MAX(ABS($C26-$D26),1)=(J26-K26)/MAX(ABS(J26-K26),1),1,TRUE,0)</f>
        <v/>
      </c>
      <c r="M26" s="18"/>
      <c r="N26" s="19"/>
      <c r="O26" s="33" t="str" cm="1">
        <f t="array" ref="O26">_xlfn.IFS($D26="","",AND(M26=$C26,N26=$D26),3,($C26-$D26)/MAX(ABS($C26-$D26),1)=(M26-N26)/MAX(ABS(M26-N26),1),1,TRUE,0)</f>
        <v/>
      </c>
      <c r="P26" s="18"/>
      <c r="Q26" s="19"/>
      <c r="R26" s="33" t="str" cm="1">
        <f t="array" ref="R26">_xlfn.IFS($D26="","",AND(P26=$C26,Q26=$D26),3,($C26-$D26)/MAX(ABS($C26-$D26),1)=(P26-Q26)/MAX(ABS(P26-Q26),1),1,TRUE,0)</f>
        <v/>
      </c>
      <c r="S26" s="18"/>
      <c r="T26" s="19"/>
      <c r="U26" s="33" t="str" cm="1">
        <f t="array" ref="U26">_xlfn.IFS($D26="","",AND(S26=$C26,T26=$D26),3,($C26-$D26)/MAX(ABS($C26-$D26),1)=(S26-T26)/MAX(ABS(S26-T26),1),1,TRUE,0)</f>
        <v/>
      </c>
      <c r="V26" s="18"/>
      <c r="W26" s="19"/>
      <c r="X26" s="33" t="str" cm="1">
        <f t="array" ref="X26">_xlfn.IFS($D26="","",AND(V26=$C26,W26=$D26),3,($C26-$D26)/MAX(ABS($C26-$D26),1)=(V26-W26)/MAX(ABS(V26-W26),1),1,TRUE,0)</f>
        <v/>
      </c>
      <c r="Y26" s="18"/>
      <c r="Z26" s="19"/>
      <c r="AA26" s="33" t="str" cm="1">
        <f t="array" ref="AA26">_xlfn.IFS($D26="","",AND(Y26=$C26,Z26=$D26),3,($C26-$D26)/MAX(ABS($C26-$D26),1)=(Y26-Z26)/MAX(ABS(Y26-Z26),1),1,TRUE,0)</f>
        <v/>
      </c>
      <c r="AB26" s="18"/>
      <c r="AC26" s="19"/>
      <c r="AD26" s="33" t="str" cm="1">
        <f t="array" ref="AD26">_xlfn.IFS($D26="","",AND(AB26=$C26,AC26=$D26),3,($C26-$D26)/MAX(ABS($C26-$D26),1)=(AB26-AC26)/MAX(ABS(AB26-AC26),1),1,TRUE,0)</f>
        <v/>
      </c>
      <c r="AE26" s="18"/>
      <c r="AF26" s="19"/>
      <c r="AG26" s="33" t="str" cm="1">
        <f t="array" ref="AG26">_xlfn.IFS($D26="","",AND(AE26=$C26,AF26=$D26),3,($C26-$D26)/MAX(ABS($C26-$D26),1)=(AE26-AF26)/MAX(ABS(AE26-AF26),1),1,TRUE,0)</f>
        <v/>
      </c>
      <c r="AH26" s="18"/>
      <c r="AI26" s="19"/>
      <c r="AJ26" s="33" t="str" cm="1">
        <f t="array" ref="AJ26">_xlfn.IFS($D26="","",AND(AH26=$C26,AI26=$D26),3,($C26-$D26)/MAX(ABS($C26-$D26),1)=(AH26-AI26)/MAX(ABS(AH26-AI26),1),1,TRUE,0)</f>
        <v/>
      </c>
      <c r="AK26" s="18"/>
      <c r="AL26" s="19"/>
      <c r="AM26" s="33" t="str" cm="1">
        <f t="array" ref="AM26">_xlfn.IFS($D26="","",AND(AK26=$C26,AL26=$D26),3,($C26-$D26)/MAX(ABS($C26-$D26),1)=(AK26-AL26)/MAX(ABS(AK26-AL26),1),1,TRUE,0)</f>
        <v/>
      </c>
      <c r="AN26" s="18"/>
      <c r="AO26" s="19"/>
      <c r="AP26" s="33" t="str" cm="1">
        <f t="array" ref="AP26">_xlfn.IFS($D26="","",AND(AN26=$C26,AO26=$D26),3,($C26-$D26)/MAX(ABS($C26-$D26),1)=(AN26-AO26)/MAX(ABS(AN26-AO26),1),1,TRUE,0)</f>
        <v/>
      </c>
      <c r="AQ26" s="18"/>
      <c r="AR26" s="19"/>
      <c r="AS26" s="33" t="str" cm="1">
        <f t="array" ref="AS26">_xlfn.IFS($D26="","",AND(AQ26=$C26,AR26=$D26),3,($C26-$D26)/MAX(ABS($C26-$D26),1)=(AQ26-AR26)/MAX(ABS(AQ26-AR26),1),1,TRUE,0)</f>
        <v/>
      </c>
      <c r="AT26" s="18"/>
      <c r="AU26" s="19"/>
      <c r="AV26" s="33" t="str" cm="1">
        <f t="array" ref="AV26">_xlfn.IFS($D26="","",AND(AT26=$C26,AU26=$D26),3,($C26-$D26)/MAX(ABS($C26-$D26),1)=(AT26-AU26)/MAX(ABS(AT26-AU26),1),1,TRUE,0)</f>
        <v/>
      </c>
      <c r="AW26" s="18"/>
      <c r="AX26" s="19"/>
      <c r="AY26" s="33" t="str" cm="1">
        <f t="array" ref="AY26">_xlfn.IFS($D26="","",AND(AW26=$C26,AX26=$D26),3,($C26-$D26)/MAX(ABS($C26-$D26),1)=(AW26-AX26)/MAX(ABS(AW26-AX26),1),1,TRUE,0)</f>
        <v/>
      </c>
      <c r="AZ26" s="18"/>
      <c r="BA26" s="19"/>
      <c r="BB26" s="33" t="str" cm="1">
        <f t="array" ref="BB26">_xlfn.IFS($D26="","",AND(AZ26=$C26,BA26=$D26),3,($C26-$D26)/MAX(ABS($C26-$D26),1)=(AZ26-BA26)/MAX(ABS(AZ26-BA26),1),1,TRUE,0)</f>
        <v/>
      </c>
      <c r="BC26" s="18"/>
      <c r="BD26" s="19"/>
      <c r="BE26" s="33" t="str" cm="1">
        <f t="array" ref="BE26">_xlfn.IFS($D26="","",AND(BC26=$C26,BD26=$D26),3,($C26-$D26)/MAX(ABS($C26-$D26),1)=(BC26-BD26)/MAX(ABS(BC26-BD26),1),1,TRUE,0)</f>
        <v/>
      </c>
      <c r="BF26" s="18"/>
      <c r="BG26" s="19"/>
      <c r="BH26" s="33" t="str" cm="1">
        <f t="array" ref="BH26">_xlfn.IFS($D26="","",AND(BF26=$C26,BG26=$D26),3,($C26-$D26)/MAX(ABS($C26-$D26),1)=(BF26-BG26)/MAX(ABS(BF26-BG26),1),1,TRUE,0)</f>
        <v/>
      </c>
      <c r="BI26" s="18"/>
      <c r="BJ26" s="19"/>
      <c r="BK26" s="33" t="str" cm="1">
        <f t="array" ref="BK26">_xlfn.IFS($D26="","",AND(BI26=$C26,BJ26=$D26),3,($C26-$D26)/MAX(ABS($C26-$D26),1)=(BI26-BJ26)/MAX(ABS(BI26-BJ26),1),1,TRUE,0)</f>
        <v/>
      </c>
      <c r="BL26" s="18"/>
      <c r="BM26" s="19"/>
      <c r="BN26" s="33" t="str" cm="1">
        <f t="array" ref="BN26">_xlfn.IFS($D26="","",AND(BL26=$C26,BM26=$D26),3,($C26-$D26)/MAX(ABS($C26-$D26),1)=(BL26-BM26)/MAX(ABS(BL26-BM26),1),1,TRUE,0)</f>
        <v/>
      </c>
      <c r="BO26" s="18"/>
      <c r="BP26" s="19"/>
      <c r="BQ26" s="33" t="str" cm="1">
        <f t="array" ref="BQ26">_xlfn.IFS($D26="","",AND(BO26=$C26,BP26=$D26),3,($C26-$D26)/MAX(ABS($C26-$D26),1)=(BO26-BP26)/MAX(ABS(BO26-BP26),1),1,TRUE,0)</f>
        <v/>
      </c>
      <c r="BR26" s="18"/>
      <c r="BS26" s="19"/>
      <c r="BT26" s="33" t="str" cm="1">
        <f t="array" ref="BT26">_xlfn.IFS($D26="","",AND(BR26=$C26,BS26=$D26),3,($C26-$D26)/MAX(ABS($C26-$D26),1)=(BR26-BS26)/MAX(ABS(BR26-BS26),1),1,TRUE,0)</f>
        <v/>
      </c>
      <c r="BU26" s="18"/>
      <c r="BV26" s="19"/>
      <c r="BW26" s="33" t="str" cm="1">
        <f t="array" ref="BW26">_xlfn.IFS($D26="","",AND(BU26=$C26,BV26=$D26),3,($C26-$D26)/MAX(ABS($C26-$D26),1)=(BU26-BV26)/MAX(ABS(BU26-BV26),1),1,TRUE,0)</f>
        <v/>
      </c>
      <c r="BX26" s="18"/>
      <c r="BY26" s="19"/>
      <c r="BZ26" s="33" t="str" cm="1">
        <f t="array" ref="BZ26">_xlfn.IFS($D26="","",AND(BX26=$C26,BY26=$D26),3,($C26-$D26)/MAX(ABS($C26-$D26),1)=(BX26-BY26)/MAX(ABS(BX26-BY26),1),1,TRUE,0)</f>
        <v/>
      </c>
      <c r="CA26" s="18"/>
      <c r="CB26" s="19"/>
      <c r="CC26" s="33" t="str" cm="1">
        <f t="array" ref="CC26">_xlfn.IFS($D26="","",AND(CA26=$C26,CB26=$D26),3,($C26-$D26)/MAX(ABS($C26-$D26),1)=(CA26-CB26)/MAX(ABS(CA26-CB26),1),1,TRUE,0)</f>
        <v/>
      </c>
      <c r="CD26" s="18"/>
      <c r="CE26" s="19"/>
      <c r="CF26" s="33" t="str" cm="1">
        <f t="array" ref="CF26">_xlfn.IFS($D26="","",AND(CD26=$C26,CE26=$D26),3,($C26-$D26)/MAX(ABS($C26-$D26),1)=(CD26-CE26)/MAX(ABS(CD26-CE26),1),1,TRUE,0)</f>
        <v/>
      </c>
      <c r="CG26" s="18"/>
      <c r="CH26" s="19"/>
      <c r="CI26" s="33" t="str" cm="1">
        <f t="array" ref="CI26">_xlfn.IFS($D26="","",AND(CG26=$C26,CH26=$D26),3,($C26-$D26)/MAX(ABS($C26-$D26),1)=(CG26-CH26)/MAX(ABS(CG26-CH26),1),1,TRUE,0)</f>
        <v/>
      </c>
      <c r="CJ26" s="18"/>
      <c r="CK26" s="19"/>
      <c r="CL26" s="33" t="str" cm="1">
        <f t="array" ref="CL26">_xlfn.IFS($D26="","",AND(CJ26=$C26,CK26=$D26),3,($C26-$D26)/MAX(ABS($C26-$D26),1)=(CJ26-CK26)/MAX(ABS(CJ26-CK26),1),1,TRUE,0)</f>
        <v/>
      </c>
      <c r="CM26" s="18"/>
      <c r="CN26" s="19"/>
      <c r="CO26" s="33" t="str" cm="1">
        <f t="array" ref="CO26">_xlfn.IFS($D26="","",AND(CM26=$C26,CN26=$D26),3,($C26-$D26)/MAX(ABS($C26-$D26),1)=(CM26-CN26)/MAX(ABS(CM26-CN26),1),1,TRUE,0)</f>
        <v/>
      </c>
      <c r="CP26" s="18"/>
      <c r="CQ26" s="19"/>
      <c r="CR26" s="33" t="str" cm="1">
        <f t="array" ref="CR26">_xlfn.IFS($D26="","",AND(CP26=$C26,CQ26=$D26),3,($C26-$D26)/MAX(ABS($C26-$D26),1)=(CP26-CQ26)/MAX(ABS(CP26-CQ26),1),1,TRUE,0)</f>
        <v/>
      </c>
      <c r="CS26" s="18"/>
      <c r="CT26" s="19"/>
      <c r="CU26" s="33" t="str" cm="1">
        <f t="array" ref="CU26">_xlfn.IFS($D26="","",AND(CS26=$C26,CT26=$D26),3,($C26-$D26)/MAX(ABS($C26-$D26),1)=(CS26-CT26)/MAX(ABS(CS26-CT26),1),1,TRUE,0)</f>
        <v/>
      </c>
      <c r="CV26" s="18"/>
      <c r="CW26" s="19"/>
      <c r="CX26" s="33" t="str" cm="1">
        <f t="array" ref="CX26">_xlfn.IFS($D26="","",AND(CV26=$C26,CW26=$D26),3,($C26-$D26)/MAX(ABS($C26-$D26),1)=(CV26-CW26)/MAX(ABS(CV26-CW26),1),1,TRUE,0)</f>
        <v/>
      </c>
      <c r="CY26" s="18"/>
      <c r="CZ26" s="19"/>
      <c r="DA26" s="33" t="str" cm="1">
        <f t="array" ref="DA26">_xlfn.IFS($D26="","",AND(CY26=$C26,CZ26=$D26),3,($C26-$D26)/MAX(ABS($C26-$D26),1)=(CY26-CZ26)/MAX(ABS(CY26-CZ26),1),1,TRUE,0)</f>
        <v/>
      </c>
      <c r="DB26" s="37"/>
      <c r="DC26" s="38"/>
      <c r="DD26" s="33" t="str" cm="1">
        <f t="array" ref="DD26">_xlfn.IFS($D26="","",AND(DB26=$C26,DC26=$D26),3,($C26-$D26)/MAX(ABS($C26-$D26),1)=(DB26-DC26)/MAX(ABS(DB26-DC26),1),1,TRUE,0)</f>
        <v/>
      </c>
      <c r="DE26" s="18"/>
      <c r="DF26" s="19"/>
      <c r="DG26" s="33" t="str" cm="1">
        <f t="array" ref="DG26">_xlfn.IFS($D26="","",AND(DE26=$C26,DF26=$D26),3,($C26-$D26)/MAX(ABS($C26-$D26),1)=(DE26-DF26)/MAX(ABS(DE26-DF26),1),1,TRUE,0)</f>
        <v/>
      </c>
      <c r="DH26" s="18"/>
      <c r="DI26" s="19"/>
      <c r="DJ26" s="33" t="str" cm="1">
        <f t="array" ref="DJ26">_xlfn.IFS($D26="","",AND(DH26=$C26,DI26=$D26),3,($C26-$D26)/MAX(ABS($C26-$D26),1)=(DH26-DI26)/MAX(ABS(DH26-DI26),1),1,TRUE,0)</f>
        <v/>
      </c>
      <c r="DK26" s="18"/>
      <c r="DL26" s="19"/>
      <c r="DM26" s="33" t="str" cm="1">
        <f t="array" ref="DM26">_xlfn.IFS($D26="","",AND(DK26=$C26,DL26=$D26),3,($C26-$D26)/MAX(ABS($C26-$D26),1)=(DK26-DL26)/MAX(ABS(DK26-DL26),1),1,TRUE,0)</f>
        <v/>
      </c>
      <c r="DN26" s="18"/>
      <c r="DO26" s="19"/>
      <c r="DP26" s="33" t="str" cm="1">
        <f t="array" ref="DP26">_xlfn.IFS($D26="","",AND(DN26=$C26,DO26=$D26),3,($C26-$D26)/MAX(ABS($C26-$D26),1)=(DN26-DO26)/MAX(ABS(DN26-DO26),1),1,TRUE,0)</f>
        <v/>
      </c>
      <c r="DQ26" s="18"/>
      <c r="DR26" s="19"/>
      <c r="DS26" s="33" t="str" cm="1">
        <f t="array" ref="DS26">_xlfn.IFS($D26="","",AND(DQ26=$C26,DR26=$D26),3,($C26-$D26)/MAX(ABS($C26-$D26),1)=(DQ26-DR26)/MAX(ABS(DQ26-DR26),1),1,TRUE,0)</f>
        <v/>
      </c>
      <c r="DT26" s="18"/>
      <c r="DU26" s="19"/>
      <c r="DV26" s="33" t="str" cm="1">
        <f t="array" ref="DV26">_xlfn.IFS($D26="","",AND(DT26=$C26,DU26=$D26),3,($C26-$D26)/MAX(ABS($C26-$D26),1)=(DT26-DU26)/MAX(ABS(DT26-DU26),1),1,TRUE,0)</f>
        <v/>
      </c>
      <c r="DW26" s="18"/>
      <c r="DX26" s="19"/>
      <c r="DY26" s="33" t="str" cm="1">
        <f t="array" ref="DY26">_xlfn.IFS($D26="","",AND(DW26=$C26,DX26=$D26),3,($C26-$D26)/MAX(ABS($C26-$D26),1)=(DW26-DX26)/MAX(ABS(DW26-DX26),1),1,TRUE,0)</f>
        <v/>
      </c>
      <c r="DZ26" s="18"/>
      <c r="EA26" s="19"/>
      <c r="EB26" s="33" t="str" cm="1">
        <f t="array" ref="EB26">_xlfn.IFS($D26="","",AND(DZ26=$C26,EA26=$D26),3,($C26-$D26)/MAX(ABS($C26-$D26),1)=(DZ26-EA26)/MAX(ABS(DZ26-EA26),1),1,TRUE,0)</f>
        <v/>
      </c>
      <c r="EC26" s="18"/>
      <c r="ED26" s="19"/>
      <c r="EE26" s="33" t="str" cm="1">
        <f t="array" ref="EE26">_xlfn.IFS($D26="","",AND(EC26=$C26,ED26=$D26),3,($C26-$D26)/MAX(ABS($C26-$D26),1)=(EC26-ED26)/MAX(ABS(EC26-ED26),1),1,TRUE,0)</f>
        <v/>
      </c>
      <c r="EF26" s="18"/>
      <c r="EG26" s="19"/>
      <c r="EH26" s="33" t="str" cm="1">
        <f t="array" ref="EH26">_xlfn.IFS($D26="","",AND(EF26=$C26,EG26=$D26),3,($C26-$D26)/MAX(ABS($C26-$D26),1)=(EF26-EG26)/MAX(ABS(EF26-EG26),1),1,TRUE,0)</f>
        <v/>
      </c>
      <c r="EI26" s="43"/>
      <c r="EJ26" s="44"/>
      <c r="EK26" s="33" t="str" cm="1">
        <f t="array" ref="EK26">_xlfn.IFS($D26="","",AND(EI26=$C26,EJ26=$D26),3,($C26-$D26)/MAX(ABS($C26-$D26),1)=(EI26-EJ26)/MAX(ABS(EI26-EJ26),1),1,TRUE,0)</f>
        <v/>
      </c>
      <c r="EL26" s="18"/>
      <c r="EM26" s="19"/>
      <c r="EN26" s="33" t="str" cm="1">
        <f t="array" ref="EN26">_xlfn.IFS($D26="","",AND(EL26=$C26,EM26=$D26),3,($C26-$D26)/MAX(ABS($C26-$D26),1)=(EL26-EM26)/MAX(ABS(EL26-EM26),1),1,TRUE,0)</f>
        <v/>
      </c>
      <c r="EO26" s="18"/>
      <c r="EP26" s="19"/>
      <c r="EQ26" s="33" t="str" cm="1">
        <f t="array" ref="EQ26">_xlfn.IFS($D26="","",AND(EO26=$C26,EP26=$D26),3,($C26-$D26)/MAX(ABS($C26-$D26),1)=(EO26-EP26)/MAX(ABS(EO26-EP26),1),1,TRUE,0)</f>
        <v/>
      </c>
      <c r="ER26" s="18"/>
      <c r="ES26" s="19"/>
      <c r="ET26" s="33" t="str" cm="1">
        <f t="array" ref="ET26">_xlfn.IFS($D26="","",AND(ER26=$C26,ES26=$D26),3,($C26-$D26)/MAX(ABS($C26-$D26),1)=(ER26-ES26)/MAX(ABS(ER26-ES26),1),1,TRUE,0)</f>
        <v/>
      </c>
      <c r="EU26" s="18"/>
      <c r="EV26" s="19"/>
      <c r="EW26" s="33" t="str" cm="1">
        <f t="array" ref="EW26">_xlfn.IFS($D26="","",AND(EU26=$C26,EV26=$D26),3,($C26-$D26)/MAX(ABS($C26-$D26),1)=(EU26-EV26)/MAX(ABS(EU26-EV26),1),1,TRUE,0)</f>
        <v/>
      </c>
      <c r="EX26" s="18"/>
      <c r="EY26" s="19"/>
      <c r="EZ26" s="33" t="str" cm="1">
        <f t="array" ref="EZ26">_xlfn.IFS($D26="","",AND(EX26=$C26,EY26=$D26),3,($C26-$D26)/MAX(ABS($C26-$D26),1)=(EX26-EY26)/MAX(ABS(EX26-EY26),1),1,TRUE,0)</f>
        <v/>
      </c>
      <c r="FA26" s="18"/>
      <c r="FB26" s="19"/>
      <c r="FC26" s="33" t="str" cm="1">
        <f t="array" ref="FC26">_xlfn.IFS($D26="","",AND(FA26=$C26,FB26=$D26),3,($C26-$D26)/MAX(ABS($C26-$D26),1)=(FA26-FB26)/MAX(ABS(FA26-FB26),1),1,TRUE,0)</f>
        <v/>
      </c>
      <c r="FD26" s="18"/>
      <c r="FE26" s="19"/>
      <c r="FF26" s="33" t="str" cm="1">
        <f t="array" ref="FF26">_xlfn.IFS($D26="","",AND(FD26=$C26,FE26=$D26),3,($C26-$D26)/MAX(ABS($C26-$D26),1)=(FD26-FE26)/MAX(ABS(FD26-FE26),1),1,TRUE,0)</f>
        <v/>
      </c>
      <c r="FG26" s="18"/>
      <c r="FH26" s="19"/>
      <c r="FI26" s="33" t="str" cm="1">
        <f t="array" ref="FI26">_xlfn.IFS($D26="","",AND(FG26=$C26,FH26=$D26),3,($C26-$D26)/MAX(ABS($C26-$D26),1)=(FG26-FH26)/MAX(ABS(FG26-FH26),1),1,TRUE,0)</f>
        <v/>
      </c>
      <c r="FJ26" s="18"/>
      <c r="FK26" s="19"/>
      <c r="FL26" s="33" t="str" cm="1">
        <f t="array" ref="FL26">_xlfn.IFS($D26="","",AND(FJ26=$C26,FK26=$D26),3,($C26-$D26)/MAX(ABS($C26-$D26),1)=(FJ26-FK26)/MAX(ABS(FJ26-FK26),1),1,TRUE,0)</f>
        <v/>
      </c>
      <c r="FM26" s="18"/>
      <c r="FN26" s="19"/>
      <c r="FO26" s="33" t="str" cm="1">
        <f t="array" ref="FO26">_xlfn.IFS($D26="","",AND(FM26=$C26,FN26=$D26),3,($C26-$D26)/MAX(ABS($C26-$D26),1)=(FM26-FN26)/MAX(ABS(FM26-FN26),1),1,TRUE,0)</f>
        <v/>
      </c>
      <c r="FP26" s="18"/>
      <c r="FQ26" s="19"/>
      <c r="FR26" s="33" t="str" cm="1">
        <f t="array" ref="FR26">_xlfn.IFS($D26="","",AND(FP26=$C26,FQ26=$D26),3,($C26-$D26)/MAX(ABS($C26-$D26),1)=(FP26-FQ26)/MAX(ABS(FP26-FQ26),1),1,TRUE,0)</f>
        <v/>
      </c>
      <c r="FS26" s="18"/>
      <c r="FT26" s="19"/>
      <c r="FU26" s="33" t="str" cm="1">
        <f t="array" ref="FU26">_xlfn.IFS($D26="","",AND(FS26=$C26,FT26=$D26),3,($C26-$D26)/MAX(ABS($C26-$D26),1)=(FS26-FT26)/MAX(ABS(FS26-FT26),1),1,TRUE,0)</f>
        <v/>
      </c>
      <c r="FV26" s="18"/>
      <c r="FW26" s="19"/>
      <c r="FX26" s="33" t="str" cm="1">
        <f t="array" ref="FX26">_xlfn.IFS($D26="","",AND(FV26=$C26,FW26=$D26),3,($C26-$D26)/MAX(ABS($C26-$D26),1)=(FV26-FW26)/MAX(ABS(FV26-FW26),1),1,TRUE,0)</f>
        <v/>
      </c>
      <c r="FY26" s="18"/>
      <c r="FZ26" s="19"/>
      <c r="GA26" s="33" t="str" cm="1">
        <f t="array" ref="GA26">_xlfn.IFS($D26="","",AND(FY26=$C26,FZ26=$D26),3,($C26-$D26)/MAX(ABS($C26-$D26),1)=(FY26-FZ26)/MAX(ABS(FY26-FZ26),1),1,TRUE,0)</f>
        <v/>
      </c>
      <c r="GB26" s="18"/>
      <c r="GC26" s="19"/>
      <c r="GD26" s="33" t="str" cm="1">
        <f t="array" ref="GD26">_xlfn.IFS($D26="","",AND(GB26=$C26,GC26=$D26),3,($C26-$D26)/MAX(ABS($C26-$D26),1)=(GB26-GC26)/MAX(ABS(GB26-GC26),1),1,TRUE,0)</f>
        <v/>
      </c>
      <c r="GE26" s="47"/>
      <c r="GF26" s="45"/>
      <c r="GG26" s="33" t="str" cm="1">
        <f t="array" ref="GG26">_xlfn.IFS($D26="","",AND(GE26=$C26,GF26=$D26),3,($C26-$D26)/MAX(ABS($C26-$D26),1)=(GE26-GF26)/MAX(ABS(GE26-GF26),1),1,TRUE,0)</f>
        <v/>
      </c>
      <c r="GH26" s="18"/>
      <c r="GI26" s="19"/>
      <c r="GJ26" s="33" t="str" cm="1">
        <f t="array" ref="GJ26">_xlfn.IFS($D26="","",AND(GH26=$C26,GI26=$D26),3,($C26-$D26)/MAX(ABS($C26-$D26),1)=(GH26-GI26)/MAX(ABS(GH26-GI26),1),1,TRUE,0)</f>
        <v/>
      </c>
      <c r="GK26" s="18"/>
      <c r="GL26" s="19"/>
      <c r="GM26" s="33" t="str" cm="1">
        <f t="array" ref="GM26">_xlfn.IFS($D26="","",AND(GK26=$C26,GL26=$D26),3,($C26-$D26)/MAX(ABS($C26-$D26),1)=(GK26-GL26)/MAX(ABS(GK26-GL26),1),1,TRUE,0)</f>
        <v/>
      </c>
      <c r="GN26" s="18"/>
      <c r="GO26" s="19"/>
      <c r="GP26" s="33" t="str" cm="1">
        <f t="array" ref="GP26">_xlfn.IFS($D26="","",AND(GN26=$C26,GO26=$D26),3,($C26-$D26)/MAX(ABS($C26-$D26),1)=(GN26-GO26)/MAX(ABS(GN26-GO26),1),1,TRUE,0)</f>
        <v/>
      </c>
      <c r="GQ26" s="18"/>
      <c r="GR26" s="19"/>
      <c r="GS26" s="33" t="str" cm="1">
        <f t="array" ref="GS26">_xlfn.IFS($D26="","",AND(GQ26=$C26,GR26=$D26),3,($C26-$D26)/MAX(ABS($C26-$D26),1)=(GQ26-GR26)/MAX(ABS(GQ26-GR26),1),1,TRUE,0)</f>
        <v/>
      </c>
      <c r="GT26" s="17"/>
      <c r="GU26" s="19"/>
      <c r="GV26" s="33" t="str" cm="1">
        <f t="array" ref="GV26">_xlfn.IFS($D26="","",AND(GT26=$C26,GU26=$D26),3,($C26-$D26)/MAX(ABS($C26-$D26),1)=(GT26-GU26)/MAX(ABS(GT26-GU26),1),1,TRUE,0)</f>
        <v/>
      </c>
      <c r="GW26" s="18"/>
      <c r="GX26" s="19"/>
      <c r="GY26" s="33" t="str" cm="1">
        <f t="array" ref="GY26">_xlfn.IFS($D26="","",AND(GW26=$C26,GX26=$D26),3,($C26-$D26)/MAX(ABS($C26-$D26),1)=(GW26-GX26)/MAX(ABS(GW26-GX26),1),1,TRUE,0)</f>
        <v/>
      </c>
      <c r="GZ26" s="18"/>
      <c r="HA26" s="19"/>
      <c r="HB26" s="33" t="str" cm="1">
        <f t="array" ref="HB26">_xlfn.IFS($D26="","",AND(GZ26=$C26,HA26=$D26),3,($C26-$D26)/MAX(ABS($C26-$D26),1)=(GZ26-HA26)/MAX(ABS(GZ26-HA26),1),1,TRUE,0)</f>
        <v/>
      </c>
      <c r="HC26" s="18"/>
      <c r="HD26" s="19"/>
      <c r="HE26" s="33" t="str" cm="1">
        <f t="array" ref="HE26">_xlfn.IFS($D26="","",AND(HC26=$C26,HD26=$D26),3,($C26-$D26)/MAX(ABS($C26-$D26),1)=(HC26-HD26)/MAX(ABS(HC26-HD26),1),1,TRUE,0)</f>
        <v/>
      </c>
      <c r="HF26" s="18"/>
      <c r="HG26" s="19"/>
      <c r="HH26" s="33" t="str" cm="1">
        <f t="array" ref="HH26">_xlfn.IFS($D26="","",AND(HF26=$C26,HG26=$D26),3,($C26-$D26)/MAX(ABS($C26-$D26),1)=(HF26-HG26)/MAX(ABS(HF26-HG26),1),1,TRUE,0)</f>
        <v/>
      </c>
      <c r="HI26" s="18"/>
      <c r="HJ26" s="19"/>
      <c r="HK26" s="33" t="str" cm="1">
        <f t="array" ref="HK26">_xlfn.IFS($D26="","",AND(HI26=$C26,HJ26=$D26),3,($C26-$D26)/MAX(ABS($C26-$D26),1)=(HI26-HJ26)/MAX(ABS(HI26-HJ26),1),1,TRUE,0)</f>
        <v/>
      </c>
      <c r="HL26" s="18"/>
      <c r="HM26" s="19"/>
      <c r="HN26" s="33" t="str" cm="1">
        <f t="array" ref="HN26">_xlfn.IFS($D26="","",AND(HL26=$C26,HM26=$D26),3,($C26-$D26)/MAX(ABS($C26-$D26),1)=(HL26-HM26)/MAX(ABS(HL26-HM26),1),1,TRUE,0)</f>
        <v/>
      </c>
      <c r="HO26" s="18"/>
      <c r="HP26" s="19"/>
      <c r="HQ26" s="33" t="str" cm="1">
        <f t="array" ref="HQ26">_xlfn.IFS($D26="","",AND(HO26=$C26,HP26=$D26),3,($C26-$D26)/MAX(ABS($C26-$D26),1)=(HO26-HP26)/MAX(ABS(HO26-HP26),1),1,TRUE,0)</f>
        <v/>
      </c>
      <c r="HR26" s="18"/>
      <c r="HS26" s="19"/>
      <c r="HT26" s="33" t="str" cm="1">
        <f t="array" ref="HT26">_xlfn.IFS($D26="","",AND(HR26=$C26,HS26=$D26),3,($C26-$D26)/MAX(ABS($C26-$D26),1)=(HR26-HS26)/MAX(ABS(HR26-HS26),1),1,TRUE,0)</f>
        <v/>
      </c>
      <c r="HU26" s="18"/>
      <c r="HV26" s="19"/>
      <c r="HW26" s="33" t="str" cm="1">
        <f t="array" ref="HW26">_xlfn.IFS($D26="","",AND(HU26=$C26,HV26=$D26),3,($C26-$D26)/MAX(ABS($C26-$D26),1)=(HU26-HV26)/MAX(ABS(HU26-HV26),1),1,TRUE,0)</f>
        <v/>
      </c>
      <c r="HX26" s="18"/>
      <c r="HY26" s="19"/>
      <c r="HZ26" s="33" t="str" cm="1">
        <f t="array" ref="HZ26">_xlfn.IFS($D26="","",AND(HX26=$C26,HY26=$D26),3,($C26-$D26)/MAX(ABS($C26-$D26),1)=(HX26-HY26)/MAX(ABS(HX26-HY26),1),1,TRUE,0)</f>
        <v/>
      </c>
      <c r="IA26" s="18"/>
      <c r="IB26" s="19"/>
      <c r="IC26" s="33" t="str" cm="1">
        <f t="array" ref="IC26">_xlfn.IFS($D26="","",AND(IA26=$C26,IB26=$D26),3,($C26-$D26)/MAX(ABS($C26-$D26),1)=(IA26-IB26)/MAX(ABS(IA26-IB26),1),1,TRUE,0)</f>
        <v/>
      </c>
      <c r="ID26" s="18"/>
      <c r="IE26" s="19"/>
      <c r="IF26" s="33" t="str" cm="1">
        <f t="array" ref="IF26">_xlfn.IFS($D26="","",AND(ID26=$C26,IE26=$D26),3,($C26-$D26)/MAX(ABS($C26-$D26),1)=(ID26-IE26)/MAX(ABS(ID26-IE26),1),1,TRUE,0)</f>
        <v/>
      </c>
      <c r="IG26" s="18"/>
      <c r="IH26" s="19"/>
      <c r="II26" s="33" t="str" cm="1">
        <f t="array" ref="II26">_xlfn.IFS($D26="","",AND(IG26=$C26,IH26=$D26),3,($C26-$D26)/MAX(ABS($C26-$D26),1)=(IG26-IH26)/MAX(ABS(IG26-IH26),1),1,TRUE,0)</f>
        <v/>
      </c>
      <c r="IJ26" s="18"/>
      <c r="IK26" s="19"/>
      <c r="IL26" s="33" t="str" cm="1">
        <f t="array" ref="IL26">_xlfn.IFS($D26="","",AND(IJ26=$C26,IK26=$D26),3,($C26-$D26)/MAX(ABS($C26-$D26),1)=(IJ26-IK26)/MAX(ABS(IJ26-IK26),1),1,TRUE,0)</f>
        <v/>
      </c>
      <c r="IM26" s="18"/>
      <c r="IN26" s="19"/>
      <c r="IO26" s="33" t="str" cm="1">
        <f t="array" ref="IO26">_xlfn.IFS($D26="","",AND(IM26=$C26,IN26=$D26),3,($C26-$D26)/MAX(ABS($C26-$D26),1)=(IM26-IN26)/MAX(ABS(IM26-IN26),1),1,TRUE,0)</f>
        <v/>
      </c>
      <c r="IP26" s="18"/>
      <c r="IQ26" s="19"/>
      <c r="IR26" s="33" t="str" cm="1">
        <f t="array" ref="IR26">_xlfn.IFS($D26="","",AND(IP26=$C26,IQ26=$D26),3,($C26-$D26)/MAX(ABS($C26-$D26),1)=(IP26-IQ26)/MAX(ABS(IP26-IQ26),1),1,TRUE,0)</f>
        <v/>
      </c>
      <c r="IS26" s="18"/>
      <c r="IT26" s="19"/>
      <c r="IU26" s="33" t="str" cm="1">
        <f t="array" ref="IU26">_xlfn.IFS($D26="","",AND(IS26=$C26,IT26=$D26),3,($C26-$D26)/MAX(ABS($C26-$D26),1)=(IS26-IT26)/MAX(ABS(IS26-IT26),1),1,TRUE,0)</f>
        <v/>
      </c>
      <c r="IV26" s="18"/>
      <c r="IW26" s="19"/>
      <c r="IX26" s="33" t="str" cm="1">
        <f t="array" ref="IX26">_xlfn.IFS($D26="","",AND(IV26=$C26,IW26=$D26),3,($C26-$D26)/MAX(ABS($C26-$D26),1)=(IV26-IW26)/MAX(ABS(IV26-IW26),1),1,TRUE,0)</f>
        <v/>
      </c>
      <c r="IY26" s="18"/>
      <c r="IZ26" s="19"/>
      <c r="JA26" s="33" t="str" cm="1">
        <f t="array" ref="JA26">_xlfn.IFS($D26="","",AND(IY26=$C26,IZ26=$D26),3,($C26-$D26)/MAX(ABS($C26-$D26),1)=(IY26-IZ26)/MAX(ABS(IY26-IZ26),1),1,TRUE,0)</f>
        <v/>
      </c>
      <c r="JB26" s="18"/>
      <c r="JC26" s="19"/>
      <c r="JD26" s="33" t="str" cm="1">
        <f t="array" ref="JD26">_xlfn.IFS($D26="","",AND(JB26=$C26,JC26=$D26),3,($C26-$D26)/MAX(ABS($C26-$D26),1)=(JB26-JC26)/MAX(ABS(JB26-JC26),1),1,TRUE,0)</f>
        <v/>
      </c>
    </row>
    <row r="27" spans="1:264" ht="15" thickBot="1" x14ac:dyDescent="0.35">
      <c r="A27" s="22">
        <v>46191</v>
      </c>
      <c r="B27" s="28" t="s">
        <v>33</v>
      </c>
      <c r="C27" s="53" t="str" cm="1">
        <f t="array" ref="C27">_xlfn.LET(
_xlpm.x,_xlfn.XLOOKUP(1,(Scores_Fixtures[Date]=A27)*(Scores_Fixtures[Home.1]=B27),Scores_Fixtures[Score.1],""),
IF(_xlpm.x="","",_xlpm.x)
)</f>
        <v/>
      </c>
      <c r="D27" s="53" t="str" cm="1">
        <f t="array" ref="D27">_xlfn.LET(
_xlpm.x,_xlfn.XLOOKUP(1,(Scores_Fixtures[Date]=A27)*(Scores_Fixtures[Home.1]=B27),Scores_Fixtures[Score.2],""),
IF(_xlpm.x="","",_xlpm.x)
)</f>
        <v/>
      </c>
      <c r="E27" s="12" t="s">
        <v>61</v>
      </c>
      <c r="F27" s="15"/>
      <c r="G27" s="53"/>
      <c r="H27" s="53"/>
      <c r="I27" s="33" t="str" cm="1">
        <f t="array" ref="I27">_xlfn.IFS($D27="","",AND(G27=$C27,H27=$D27),3,($C27-$D27)/MAX(ABS($C27-$D27),1)=(G27-H27)/MAX(ABS(G27-H27),1),1,TRUE,0)</f>
        <v/>
      </c>
      <c r="J27" s="18"/>
      <c r="K27" s="19"/>
      <c r="L27" s="33" t="str" cm="1">
        <f t="array" ref="L27">_xlfn.IFS($D27="","",AND(J27=$C27,K27=$D27),3,($C27-$D27)/MAX(ABS($C27-$D27),1)=(J27-K27)/MAX(ABS(J27-K27),1),1,TRUE,0)</f>
        <v/>
      </c>
      <c r="M27" s="18"/>
      <c r="N27" s="19"/>
      <c r="O27" s="33" t="str" cm="1">
        <f t="array" ref="O27">_xlfn.IFS($D27="","",AND(M27=$C27,N27=$D27),3,($C27-$D27)/MAX(ABS($C27-$D27),1)=(M27-N27)/MAX(ABS(M27-N27),1),1,TRUE,0)</f>
        <v/>
      </c>
      <c r="P27" s="18"/>
      <c r="Q27" s="19"/>
      <c r="R27" s="33" t="str" cm="1">
        <f t="array" ref="R27">_xlfn.IFS($D27="","",AND(P27=$C27,Q27=$D27),3,($C27-$D27)/MAX(ABS($C27-$D27),1)=(P27-Q27)/MAX(ABS(P27-Q27),1),1,TRUE,0)</f>
        <v/>
      </c>
      <c r="S27" s="18"/>
      <c r="T27" s="19"/>
      <c r="U27" s="33" t="str" cm="1">
        <f t="array" ref="U27">_xlfn.IFS($D27="","",AND(S27=$C27,T27=$D27),3,($C27-$D27)/MAX(ABS($C27-$D27),1)=(S27-T27)/MAX(ABS(S27-T27),1),1,TRUE,0)</f>
        <v/>
      </c>
      <c r="V27" s="18"/>
      <c r="W27" s="19"/>
      <c r="X27" s="33" t="str" cm="1">
        <f t="array" ref="X27">_xlfn.IFS($D27="","",AND(V27=$C27,W27=$D27),3,($C27-$D27)/MAX(ABS($C27-$D27),1)=(V27-W27)/MAX(ABS(V27-W27),1),1,TRUE,0)</f>
        <v/>
      </c>
      <c r="Y27" s="18"/>
      <c r="Z27" s="19"/>
      <c r="AA27" s="33" t="str" cm="1">
        <f t="array" ref="AA27">_xlfn.IFS($D27="","",AND(Y27=$C27,Z27=$D27),3,($C27-$D27)/MAX(ABS($C27-$D27),1)=(Y27-Z27)/MAX(ABS(Y27-Z27),1),1,TRUE,0)</f>
        <v/>
      </c>
      <c r="AB27" s="18"/>
      <c r="AC27" s="19"/>
      <c r="AD27" s="33" t="str" cm="1">
        <f t="array" ref="AD27">_xlfn.IFS($D27="","",AND(AB27=$C27,AC27=$D27),3,($C27-$D27)/MAX(ABS($C27-$D27),1)=(AB27-AC27)/MAX(ABS(AB27-AC27),1),1,TRUE,0)</f>
        <v/>
      </c>
      <c r="AE27" s="18"/>
      <c r="AF27" s="19"/>
      <c r="AG27" s="33" t="str" cm="1">
        <f t="array" ref="AG27">_xlfn.IFS($D27="","",AND(AE27=$C27,AF27=$D27),3,($C27-$D27)/MAX(ABS($C27-$D27),1)=(AE27-AF27)/MAX(ABS(AE27-AF27),1),1,TRUE,0)</f>
        <v/>
      </c>
      <c r="AH27" s="18"/>
      <c r="AI27" s="19"/>
      <c r="AJ27" s="33" t="str" cm="1">
        <f t="array" ref="AJ27">_xlfn.IFS($D27="","",AND(AH27=$C27,AI27=$D27),3,($C27-$D27)/MAX(ABS($C27-$D27),1)=(AH27-AI27)/MAX(ABS(AH27-AI27),1),1,TRUE,0)</f>
        <v/>
      </c>
      <c r="AK27" s="18"/>
      <c r="AL27" s="19"/>
      <c r="AM27" s="33" t="str" cm="1">
        <f t="array" ref="AM27">_xlfn.IFS($D27="","",AND(AK27=$C27,AL27=$D27),3,($C27-$D27)/MAX(ABS($C27-$D27),1)=(AK27-AL27)/MAX(ABS(AK27-AL27),1),1,TRUE,0)</f>
        <v/>
      </c>
      <c r="AN27" s="18"/>
      <c r="AO27" s="19"/>
      <c r="AP27" s="33" t="str" cm="1">
        <f t="array" ref="AP27">_xlfn.IFS($D27="","",AND(AN27=$C27,AO27=$D27),3,($C27-$D27)/MAX(ABS($C27-$D27),1)=(AN27-AO27)/MAX(ABS(AN27-AO27),1),1,TRUE,0)</f>
        <v/>
      </c>
      <c r="AQ27" s="18"/>
      <c r="AR27" s="19"/>
      <c r="AS27" s="33" t="str" cm="1">
        <f t="array" ref="AS27">_xlfn.IFS($D27="","",AND(AQ27=$C27,AR27=$D27),3,($C27-$D27)/MAX(ABS($C27-$D27),1)=(AQ27-AR27)/MAX(ABS(AQ27-AR27),1),1,TRUE,0)</f>
        <v/>
      </c>
      <c r="AT27" s="18"/>
      <c r="AU27" s="19"/>
      <c r="AV27" s="33" t="str" cm="1">
        <f t="array" ref="AV27">_xlfn.IFS($D27="","",AND(AT27=$C27,AU27=$D27),3,($C27-$D27)/MAX(ABS($C27-$D27),1)=(AT27-AU27)/MAX(ABS(AT27-AU27),1),1,TRUE,0)</f>
        <v/>
      </c>
      <c r="AW27" s="18"/>
      <c r="AX27" s="19"/>
      <c r="AY27" s="33" t="str" cm="1">
        <f t="array" ref="AY27">_xlfn.IFS($D27="","",AND(AW27=$C27,AX27=$D27),3,($C27-$D27)/MAX(ABS($C27-$D27),1)=(AW27-AX27)/MAX(ABS(AW27-AX27),1),1,TRUE,0)</f>
        <v/>
      </c>
      <c r="AZ27" s="18"/>
      <c r="BA27" s="19"/>
      <c r="BB27" s="33" t="str" cm="1">
        <f t="array" ref="BB27">_xlfn.IFS($D27="","",AND(AZ27=$C27,BA27=$D27),3,($C27-$D27)/MAX(ABS($C27-$D27),1)=(AZ27-BA27)/MAX(ABS(AZ27-BA27),1),1,TRUE,0)</f>
        <v/>
      </c>
      <c r="BC27" s="18"/>
      <c r="BD27" s="19"/>
      <c r="BE27" s="33" t="str" cm="1">
        <f t="array" ref="BE27">_xlfn.IFS($D27="","",AND(BC27=$C27,BD27=$D27),3,($C27-$D27)/MAX(ABS($C27-$D27),1)=(BC27-BD27)/MAX(ABS(BC27-BD27),1),1,TRUE,0)</f>
        <v/>
      </c>
      <c r="BF27" s="18"/>
      <c r="BG27" s="19"/>
      <c r="BH27" s="33" t="str" cm="1">
        <f t="array" ref="BH27">_xlfn.IFS($D27="","",AND(BF27=$C27,BG27=$D27),3,($C27-$D27)/MAX(ABS($C27-$D27),1)=(BF27-BG27)/MAX(ABS(BF27-BG27),1),1,TRUE,0)</f>
        <v/>
      </c>
      <c r="BI27" s="18"/>
      <c r="BJ27" s="19"/>
      <c r="BK27" s="33" t="str" cm="1">
        <f t="array" ref="BK27">_xlfn.IFS($D27="","",AND(BI27=$C27,BJ27=$D27),3,($C27-$D27)/MAX(ABS($C27-$D27),1)=(BI27-BJ27)/MAX(ABS(BI27-BJ27),1),1,TRUE,0)</f>
        <v/>
      </c>
      <c r="BL27" s="18"/>
      <c r="BM27" s="19"/>
      <c r="BN27" s="33" t="str" cm="1">
        <f t="array" ref="BN27">_xlfn.IFS($D27="","",AND(BL27=$C27,BM27=$D27),3,($C27-$D27)/MAX(ABS($C27-$D27),1)=(BL27-BM27)/MAX(ABS(BL27-BM27),1),1,TRUE,0)</f>
        <v/>
      </c>
      <c r="BO27" s="18"/>
      <c r="BP27" s="19"/>
      <c r="BQ27" s="33" t="str" cm="1">
        <f t="array" ref="BQ27">_xlfn.IFS($D27="","",AND(BO27=$C27,BP27=$D27),3,($C27-$D27)/MAX(ABS($C27-$D27),1)=(BO27-BP27)/MAX(ABS(BO27-BP27),1),1,TRUE,0)</f>
        <v/>
      </c>
      <c r="BR27" s="18"/>
      <c r="BS27" s="19"/>
      <c r="BT27" s="33" t="str" cm="1">
        <f t="array" ref="BT27">_xlfn.IFS($D27="","",AND(BR27=$C27,BS27=$D27),3,($C27-$D27)/MAX(ABS($C27-$D27),1)=(BR27-BS27)/MAX(ABS(BR27-BS27),1),1,TRUE,0)</f>
        <v/>
      </c>
      <c r="BU27" s="18"/>
      <c r="BV27" s="19"/>
      <c r="BW27" s="33" t="str" cm="1">
        <f t="array" ref="BW27">_xlfn.IFS($D27="","",AND(BU27=$C27,BV27=$D27),3,($C27-$D27)/MAX(ABS($C27-$D27),1)=(BU27-BV27)/MAX(ABS(BU27-BV27),1),1,TRUE,0)</f>
        <v/>
      </c>
      <c r="BX27" s="18"/>
      <c r="BY27" s="19"/>
      <c r="BZ27" s="33" t="str" cm="1">
        <f t="array" ref="BZ27">_xlfn.IFS($D27="","",AND(BX27=$C27,BY27=$D27),3,($C27-$D27)/MAX(ABS($C27-$D27),1)=(BX27-BY27)/MAX(ABS(BX27-BY27),1),1,TRUE,0)</f>
        <v/>
      </c>
      <c r="CA27" s="18"/>
      <c r="CB27" s="19"/>
      <c r="CC27" s="33" t="str" cm="1">
        <f t="array" ref="CC27">_xlfn.IFS($D27="","",AND(CA27=$C27,CB27=$D27),3,($C27-$D27)/MAX(ABS($C27-$D27),1)=(CA27-CB27)/MAX(ABS(CA27-CB27),1),1,TRUE,0)</f>
        <v/>
      </c>
      <c r="CD27" s="18"/>
      <c r="CE27" s="19"/>
      <c r="CF27" s="33" t="str" cm="1">
        <f t="array" ref="CF27">_xlfn.IFS($D27="","",AND(CD27=$C27,CE27=$D27),3,($C27-$D27)/MAX(ABS($C27-$D27),1)=(CD27-CE27)/MAX(ABS(CD27-CE27),1),1,TRUE,0)</f>
        <v/>
      </c>
      <c r="CG27" s="18"/>
      <c r="CH27" s="19"/>
      <c r="CI27" s="33" t="str" cm="1">
        <f t="array" ref="CI27">_xlfn.IFS($D27="","",AND(CG27=$C27,CH27=$D27),3,($C27-$D27)/MAX(ABS($C27-$D27),1)=(CG27-CH27)/MAX(ABS(CG27-CH27),1),1,TRUE,0)</f>
        <v/>
      </c>
      <c r="CJ27" s="18"/>
      <c r="CK27" s="19"/>
      <c r="CL27" s="33" t="str" cm="1">
        <f t="array" ref="CL27">_xlfn.IFS($D27="","",AND(CJ27=$C27,CK27=$D27),3,($C27-$D27)/MAX(ABS($C27-$D27),1)=(CJ27-CK27)/MAX(ABS(CJ27-CK27),1),1,TRUE,0)</f>
        <v/>
      </c>
      <c r="CM27" s="18"/>
      <c r="CN27" s="19"/>
      <c r="CO27" s="33" t="str" cm="1">
        <f t="array" ref="CO27">_xlfn.IFS($D27="","",AND(CM27=$C27,CN27=$D27),3,($C27-$D27)/MAX(ABS($C27-$D27),1)=(CM27-CN27)/MAX(ABS(CM27-CN27),1),1,TRUE,0)</f>
        <v/>
      </c>
      <c r="CP27" s="18"/>
      <c r="CQ27" s="19"/>
      <c r="CR27" s="33" t="str" cm="1">
        <f t="array" ref="CR27">_xlfn.IFS($D27="","",AND(CP27=$C27,CQ27=$D27),3,($C27-$D27)/MAX(ABS($C27-$D27),1)=(CP27-CQ27)/MAX(ABS(CP27-CQ27),1),1,TRUE,0)</f>
        <v/>
      </c>
      <c r="CS27" s="18"/>
      <c r="CT27" s="19"/>
      <c r="CU27" s="33" t="str" cm="1">
        <f t="array" ref="CU27">_xlfn.IFS($D27="","",AND(CS27=$C27,CT27=$D27),3,($C27-$D27)/MAX(ABS($C27-$D27),1)=(CS27-CT27)/MAX(ABS(CS27-CT27),1),1,TRUE,0)</f>
        <v/>
      </c>
      <c r="CV27" s="18"/>
      <c r="CW27" s="19"/>
      <c r="CX27" s="33" t="str" cm="1">
        <f t="array" ref="CX27">_xlfn.IFS($D27="","",AND(CV27=$C27,CW27=$D27),3,($C27-$D27)/MAX(ABS($C27-$D27),1)=(CV27-CW27)/MAX(ABS(CV27-CW27),1),1,TRUE,0)</f>
        <v/>
      </c>
      <c r="CY27" s="18"/>
      <c r="CZ27" s="19"/>
      <c r="DA27" s="33" t="str" cm="1">
        <f t="array" ref="DA27">_xlfn.IFS($D27="","",AND(CY27=$C27,CZ27=$D27),3,($C27-$D27)/MAX(ABS($C27-$D27),1)=(CY27-CZ27)/MAX(ABS(CY27-CZ27),1),1,TRUE,0)</f>
        <v/>
      </c>
      <c r="DB27" s="37"/>
      <c r="DC27" s="38"/>
      <c r="DD27" s="33" t="str" cm="1">
        <f t="array" ref="DD27">_xlfn.IFS($D27="","",AND(DB27=$C27,DC27=$D27),3,($C27-$D27)/MAX(ABS($C27-$D27),1)=(DB27-DC27)/MAX(ABS(DB27-DC27),1),1,TRUE,0)</f>
        <v/>
      </c>
      <c r="DE27" s="18"/>
      <c r="DF27" s="19"/>
      <c r="DG27" s="33" t="str" cm="1">
        <f t="array" ref="DG27">_xlfn.IFS($D27="","",AND(DE27=$C27,DF27=$D27),3,($C27-$D27)/MAX(ABS($C27-$D27),1)=(DE27-DF27)/MAX(ABS(DE27-DF27),1),1,TRUE,0)</f>
        <v/>
      </c>
      <c r="DH27" s="18"/>
      <c r="DI27" s="19"/>
      <c r="DJ27" s="33" t="str" cm="1">
        <f t="array" ref="DJ27">_xlfn.IFS($D27="","",AND(DH27=$C27,DI27=$D27),3,($C27-$D27)/MAX(ABS($C27-$D27),1)=(DH27-DI27)/MAX(ABS(DH27-DI27),1),1,TRUE,0)</f>
        <v/>
      </c>
      <c r="DK27" s="18"/>
      <c r="DL27" s="19"/>
      <c r="DM27" s="33" t="str" cm="1">
        <f t="array" ref="DM27">_xlfn.IFS($D27="","",AND(DK27=$C27,DL27=$D27),3,($C27-$D27)/MAX(ABS($C27-$D27),1)=(DK27-DL27)/MAX(ABS(DK27-DL27),1),1,TRUE,0)</f>
        <v/>
      </c>
      <c r="DN27" s="18"/>
      <c r="DO27" s="19"/>
      <c r="DP27" s="33" t="str" cm="1">
        <f t="array" ref="DP27">_xlfn.IFS($D27="","",AND(DN27=$C27,DO27=$D27),3,($C27-$D27)/MAX(ABS($C27-$D27),1)=(DN27-DO27)/MAX(ABS(DN27-DO27),1),1,TRUE,0)</f>
        <v/>
      </c>
      <c r="DQ27" s="18"/>
      <c r="DR27" s="19"/>
      <c r="DS27" s="33" t="str" cm="1">
        <f t="array" ref="DS27">_xlfn.IFS($D27="","",AND(DQ27=$C27,DR27=$D27),3,($C27-$D27)/MAX(ABS($C27-$D27),1)=(DQ27-DR27)/MAX(ABS(DQ27-DR27),1),1,TRUE,0)</f>
        <v/>
      </c>
      <c r="DT27" s="18"/>
      <c r="DU27" s="19"/>
      <c r="DV27" s="33" t="str" cm="1">
        <f t="array" ref="DV27">_xlfn.IFS($D27="","",AND(DT27=$C27,DU27=$D27),3,($C27-$D27)/MAX(ABS($C27-$D27),1)=(DT27-DU27)/MAX(ABS(DT27-DU27),1),1,TRUE,0)</f>
        <v/>
      </c>
      <c r="DW27" s="18"/>
      <c r="DX27" s="19"/>
      <c r="DY27" s="33" t="str" cm="1">
        <f t="array" ref="DY27">_xlfn.IFS($D27="","",AND(DW27=$C27,DX27=$D27),3,($C27-$D27)/MAX(ABS($C27-$D27),1)=(DW27-DX27)/MAX(ABS(DW27-DX27),1),1,TRUE,0)</f>
        <v/>
      </c>
      <c r="DZ27" s="18"/>
      <c r="EA27" s="19"/>
      <c r="EB27" s="33" t="str" cm="1">
        <f t="array" ref="EB27">_xlfn.IFS($D27="","",AND(DZ27=$C27,EA27=$D27),3,($C27-$D27)/MAX(ABS($C27-$D27),1)=(DZ27-EA27)/MAX(ABS(DZ27-EA27),1),1,TRUE,0)</f>
        <v/>
      </c>
      <c r="EC27" s="18"/>
      <c r="ED27" s="19"/>
      <c r="EE27" s="33" t="str" cm="1">
        <f t="array" ref="EE27">_xlfn.IFS($D27="","",AND(EC27=$C27,ED27=$D27),3,($C27-$D27)/MAX(ABS($C27-$D27),1)=(EC27-ED27)/MAX(ABS(EC27-ED27),1),1,TRUE,0)</f>
        <v/>
      </c>
      <c r="EF27" s="18"/>
      <c r="EG27" s="19"/>
      <c r="EH27" s="33" t="str" cm="1">
        <f t="array" ref="EH27">_xlfn.IFS($D27="","",AND(EF27=$C27,EG27=$D27),3,($C27-$D27)/MAX(ABS($C27-$D27),1)=(EF27-EG27)/MAX(ABS(EF27-EG27),1),1,TRUE,0)</f>
        <v/>
      </c>
      <c r="EI27" s="43"/>
      <c r="EJ27" s="44"/>
      <c r="EK27" s="33" t="str" cm="1">
        <f t="array" ref="EK27">_xlfn.IFS($D27="","",AND(EI27=$C27,EJ27=$D27),3,($C27-$D27)/MAX(ABS($C27-$D27),1)=(EI27-EJ27)/MAX(ABS(EI27-EJ27),1),1,TRUE,0)</f>
        <v/>
      </c>
      <c r="EL27" s="18"/>
      <c r="EM27" s="19"/>
      <c r="EN27" s="33" t="str" cm="1">
        <f t="array" ref="EN27">_xlfn.IFS($D27="","",AND(EL27=$C27,EM27=$D27),3,($C27-$D27)/MAX(ABS($C27-$D27),1)=(EL27-EM27)/MAX(ABS(EL27-EM27),1),1,TRUE,0)</f>
        <v/>
      </c>
      <c r="EO27" s="18"/>
      <c r="EP27" s="19"/>
      <c r="EQ27" s="33" t="str" cm="1">
        <f t="array" ref="EQ27">_xlfn.IFS($D27="","",AND(EO27=$C27,EP27=$D27),3,($C27-$D27)/MAX(ABS($C27-$D27),1)=(EO27-EP27)/MAX(ABS(EO27-EP27),1),1,TRUE,0)</f>
        <v/>
      </c>
      <c r="ER27" s="18"/>
      <c r="ES27" s="19"/>
      <c r="ET27" s="33" t="str" cm="1">
        <f t="array" ref="ET27">_xlfn.IFS($D27="","",AND(ER27=$C27,ES27=$D27),3,($C27-$D27)/MAX(ABS($C27-$D27),1)=(ER27-ES27)/MAX(ABS(ER27-ES27),1),1,TRUE,0)</f>
        <v/>
      </c>
      <c r="EU27" s="18"/>
      <c r="EV27" s="19"/>
      <c r="EW27" s="33" t="str" cm="1">
        <f t="array" ref="EW27">_xlfn.IFS($D27="","",AND(EU27=$C27,EV27=$D27),3,($C27-$D27)/MAX(ABS($C27-$D27),1)=(EU27-EV27)/MAX(ABS(EU27-EV27),1),1,TRUE,0)</f>
        <v/>
      </c>
      <c r="EX27" s="18"/>
      <c r="EY27" s="19"/>
      <c r="EZ27" s="33" t="str" cm="1">
        <f t="array" ref="EZ27">_xlfn.IFS($D27="","",AND(EX27=$C27,EY27=$D27),3,($C27-$D27)/MAX(ABS($C27-$D27),1)=(EX27-EY27)/MAX(ABS(EX27-EY27),1),1,TRUE,0)</f>
        <v/>
      </c>
      <c r="FA27" s="18"/>
      <c r="FB27" s="19"/>
      <c r="FC27" s="33" t="str" cm="1">
        <f t="array" ref="FC27">_xlfn.IFS($D27="","",AND(FA27=$C27,FB27=$D27),3,($C27-$D27)/MAX(ABS($C27-$D27),1)=(FA27-FB27)/MAX(ABS(FA27-FB27),1),1,TRUE,0)</f>
        <v/>
      </c>
      <c r="FD27" s="18"/>
      <c r="FE27" s="19"/>
      <c r="FF27" s="33" t="str" cm="1">
        <f t="array" ref="FF27">_xlfn.IFS($D27="","",AND(FD27=$C27,FE27=$D27),3,($C27-$D27)/MAX(ABS($C27-$D27),1)=(FD27-FE27)/MAX(ABS(FD27-FE27),1),1,TRUE,0)</f>
        <v/>
      </c>
      <c r="FG27" s="18"/>
      <c r="FH27" s="19"/>
      <c r="FI27" s="33" t="str" cm="1">
        <f t="array" ref="FI27">_xlfn.IFS($D27="","",AND(FG27=$C27,FH27=$D27),3,($C27-$D27)/MAX(ABS($C27-$D27),1)=(FG27-FH27)/MAX(ABS(FG27-FH27),1),1,TRUE,0)</f>
        <v/>
      </c>
      <c r="FJ27" s="18"/>
      <c r="FK27" s="19"/>
      <c r="FL27" s="33" t="str" cm="1">
        <f t="array" ref="FL27">_xlfn.IFS($D27="","",AND(FJ27=$C27,FK27=$D27),3,($C27-$D27)/MAX(ABS($C27-$D27),1)=(FJ27-FK27)/MAX(ABS(FJ27-FK27),1),1,TRUE,0)</f>
        <v/>
      </c>
      <c r="FM27" s="18"/>
      <c r="FN27" s="19"/>
      <c r="FO27" s="33" t="str" cm="1">
        <f t="array" ref="FO27">_xlfn.IFS($D27="","",AND(FM27=$C27,FN27=$D27),3,($C27-$D27)/MAX(ABS($C27-$D27),1)=(FM27-FN27)/MAX(ABS(FM27-FN27),1),1,TRUE,0)</f>
        <v/>
      </c>
      <c r="FP27" s="18"/>
      <c r="FQ27" s="19"/>
      <c r="FR27" s="33" t="str" cm="1">
        <f t="array" ref="FR27">_xlfn.IFS($D27="","",AND(FP27=$C27,FQ27=$D27),3,($C27-$D27)/MAX(ABS($C27-$D27),1)=(FP27-FQ27)/MAX(ABS(FP27-FQ27),1),1,TRUE,0)</f>
        <v/>
      </c>
      <c r="FS27" s="18"/>
      <c r="FT27" s="19"/>
      <c r="FU27" s="33" t="str" cm="1">
        <f t="array" ref="FU27">_xlfn.IFS($D27="","",AND(FS27=$C27,FT27=$D27),3,($C27-$D27)/MAX(ABS($C27-$D27),1)=(FS27-FT27)/MAX(ABS(FS27-FT27),1),1,TRUE,0)</f>
        <v/>
      </c>
      <c r="FV27" s="18"/>
      <c r="FW27" s="19"/>
      <c r="FX27" s="33" t="str" cm="1">
        <f t="array" ref="FX27">_xlfn.IFS($D27="","",AND(FV27=$C27,FW27=$D27),3,($C27-$D27)/MAX(ABS($C27-$D27),1)=(FV27-FW27)/MAX(ABS(FV27-FW27),1),1,TRUE,0)</f>
        <v/>
      </c>
      <c r="FY27" s="18"/>
      <c r="FZ27" s="19"/>
      <c r="GA27" s="33" t="str" cm="1">
        <f t="array" ref="GA27">_xlfn.IFS($D27="","",AND(FY27=$C27,FZ27=$D27),3,($C27-$D27)/MAX(ABS($C27-$D27),1)=(FY27-FZ27)/MAX(ABS(FY27-FZ27),1),1,TRUE,0)</f>
        <v/>
      </c>
      <c r="GB27" s="18"/>
      <c r="GC27" s="19"/>
      <c r="GD27" s="33" t="str" cm="1">
        <f t="array" ref="GD27">_xlfn.IFS($D27="","",AND(GB27=$C27,GC27=$D27),3,($C27-$D27)/MAX(ABS($C27-$D27),1)=(GB27-GC27)/MAX(ABS(GB27-GC27),1),1,TRUE,0)</f>
        <v/>
      </c>
      <c r="GE27" s="47"/>
      <c r="GF27" s="45"/>
      <c r="GG27" s="33" t="str" cm="1">
        <f t="array" ref="GG27">_xlfn.IFS($D27="","",AND(GE27=$C27,GF27=$D27),3,($C27-$D27)/MAX(ABS($C27-$D27),1)=(GE27-GF27)/MAX(ABS(GE27-GF27),1),1,TRUE,0)</f>
        <v/>
      </c>
      <c r="GH27" s="18"/>
      <c r="GI27" s="19"/>
      <c r="GJ27" s="33" t="str" cm="1">
        <f t="array" ref="GJ27">_xlfn.IFS($D27="","",AND(GH27=$C27,GI27=$D27),3,($C27-$D27)/MAX(ABS($C27-$D27),1)=(GH27-GI27)/MAX(ABS(GH27-GI27),1),1,TRUE,0)</f>
        <v/>
      </c>
      <c r="GK27" s="18"/>
      <c r="GL27" s="19"/>
      <c r="GM27" s="33" t="str" cm="1">
        <f t="array" ref="GM27">_xlfn.IFS($D27="","",AND(GK27=$C27,GL27=$D27),3,($C27-$D27)/MAX(ABS($C27-$D27),1)=(GK27-GL27)/MAX(ABS(GK27-GL27),1),1,TRUE,0)</f>
        <v/>
      </c>
      <c r="GN27" s="18"/>
      <c r="GO27" s="19"/>
      <c r="GP27" s="33" t="str" cm="1">
        <f t="array" ref="GP27">_xlfn.IFS($D27="","",AND(GN27=$C27,GO27=$D27),3,($C27-$D27)/MAX(ABS($C27-$D27),1)=(GN27-GO27)/MAX(ABS(GN27-GO27),1),1,TRUE,0)</f>
        <v/>
      </c>
      <c r="GQ27" s="18"/>
      <c r="GR27" s="19"/>
      <c r="GS27" s="33" t="str" cm="1">
        <f t="array" ref="GS27">_xlfn.IFS($D27="","",AND(GQ27=$C27,GR27=$D27),3,($C27-$D27)/MAX(ABS($C27-$D27),1)=(GQ27-GR27)/MAX(ABS(GQ27-GR27),1),1,TRUE,0)</f>
        <v/>
      </c>
      <c r="GT27" s="18"/>
      <c r="GU27" s="19"/>
      <c r="GV27" s="33" t="str" cm="1">
        <f t="array" ref="GV27">_xlfn.IFS($D27="","",AND(GT27=$C27,GU27=$D27),3,($C27-$D27)/MAX(ABS($C27-$D27),1)=(GT27-GU27)/MAX(ABS(GT27-GU27),1),1,TRUE,0)</f>
        <v/>
      </c>
      <c r="GW27" s="18"/>
      <c r="GX27" s="19"/>
      <c r="GY27" s="33" t="str" cm="1">
        <f t="array" ref="GY27">_xlfn.IFS($D27="","",AND(GW27=$C27,GX27=$D27),3,($C27-$D27)/MAX(ABS($C27-$D27),1)=(GW27-GX27)/MAX(ABS(GW27-GX27),1),1,TRUE,0)</f>
        <v/>
      </c>
      <c r="GZ27" s="18"/>
      <c r="HA27" s="19"/>
      <c r="HB27" s="33" t="str" cm="1">
        <f t="array" ref="HB27">_xlfn.IFS($D27="","",AND(GZ27=$C27,HA27=$D27),3,($C27-$D27)/MAX(ABS($C27-$D27),1)=(GZ27-HA27)/MAX(ABS(GZ27-HA27),1),1,TRUE,0)</f>
        <v/>
      </c>
      <c r="HC27" s="18"/>
      <c r="HD27" s="14"/>
      <c r="HE27" s="33" t="str" cm="1">
        <f t="array" ref="HE27">_xlfn.IFS($D27="","",AND(HC27=$C27,HD27=$D27),3,($C27-$D27)/MAX(ABS($C27-$D27),1)=(HC27-HD27)/MAX(ABS(HC27-HD27),1),1,TRUE,0)</f>
        <v/>
      </c>
      <c r="HF27" s="18"/>
      <c r="HG27" s="19"/>
      <c r="HH27" s="33" t="str" cm="1">
        <f t="array" ref="HH27">_xlfn.IFS($D27="","",AND(HF27=$C27,HG27=$D27),3,($C27-$D27)/MAX(ABS($C27-$D27),1)=(HF27-HG27)/MAX(ABS(HF27-HG27),1),1,TRUE,0)</f>
        <v/>
      </c>
      <c r="HI27" s="18"/>
      <c r="HJ27" s="19"/>
      <c r="HK27" s="33" t="str" cm="1">
        <f t="array" ref="HK27">_xlfn.IFS($D27="","",AND(HI27=$C27,HJ27=$D27),3,($C27-$D27)/MAX(ABS($C27-$D27),1)=(HI27-HJ27)/MAX(ABS(HI27-HJ27),1),1,TRUE,0)</f>
        <v/>
      </c>
      <c r="HL27" s="18"/>
      <c r="HM27" s="19"/>
      <c r="HN27" s="33" t="str" cm="1">
        <f t="array" ref="HN27">_xlfn.IFS($D27="","",AND(HL27=$C27,HM27=$D27),3,($C27-$D27)/MAX(ABS($C27-$D27),1)=(HL27-HM27)/MAX(ABS(HL27-HM27),1),1,TRUE,0)</f>
        <v/>
      </c>
      <c r="HO27" s="18"/>
      <c r="HP27" s="19"/>
      <c r="HQ27" s="33" t="str" cm="1">
        <f t="array" ref="HQ27">_xlfn.IFS($D27="","",AND(HO27=$C27,HP27=$D27),3,($C27-$D27)/MAX(ABS($C27-$D27),1)=(HO27-HP27)/MAX(ABS(HO27-HP27),1),1,TRUE,0)</f>
        <v/>
      </c>
      <c r="HR27" s="18"/>
      <c r="HS27" s="19"/>
      <c r="HT27" s="33" t="str" cm="1">
        <f t="array" ref="HT27">_xlfn.IFS($D27="","",AND(HR27=$C27,HS27=$D27),3,($C27-$D27)/MAX(ABS($C27-$D27),1)=(HR27-HS27)/MAX(ABS(HR27-HS27),1),1,TRUE,0)</f>
        <v/>
      </c>
      <c r="HU27" s="18"/>
      <c r="HV27" s="19"/>
      <c r="HW27" s="33" t="str" cm="1">
        <f t="array" ref="HW27">_xlfn.IFS($D27="","",AND(HU27=$C27,HV27=$D27),3,($C27-$D27)/MAX(ABS($C27-$D27),1)=(HU27-HV27)/MAX(ABS(HU27-HV27),1),1,TRUE,0)</f>
        <v/>
      </c>
      <c r="HX27" s="18"/>
      <c r="HY27" s="19"/>
      <c r="HZ27" s="33" t="str" cm="1">
        <f t="array" ref="HZ27">_xlfn.IFS($D27="","",AND(HX27=$C27,HY27=$D27),3,($C27-$D27)/MAX(ABS($C27-$D27),1)=(HX27-HY27)/MAX(ABS(HX27-HY27),1),1,TRUE,0)</f>
        <v/>
      </c>
      <c r="IA27" s="18"/>
      <c r="IB27" s="19"/>
      <c r="IC27" s="33" t="str" cm="1">
        <f t="array" ref="IC27">_xlfn.IFS($D27="","",AND(IA27=$C27,IB27=$D27),3,($C27-$D27)/MAX(ABS($C27-$D27),1)=(IA27-IB27)/MAX(ABS(IA27-IB27),1),1,TRUE,0)</f>
        <v/>
      </c>
      <c r="ID27" s="18"/>
      <c r="IE27" s="19"/>
      <c r="IF27" s="33" t="str" cm="1">
        <f t="array" ref="IF27">_xlfn.IFS($D27="","",AND(ID27=$C27,IE27=$D27),3,($C27-$D27)/MAX(ABS($C27-$D27),1)=(ID27-IE27)/MAX(ABS(ID27-IE27),1),1,TRUE,0)</f>
        <v/>
      </c>
      <c r="IG27" s="18"/>
      <c r="IH27" s="19"/>
      <c r="II27" s="33" t="str" cm="1">
        <f t="array" ref="II27">_xlfn.IFS($D27="","",AND(IG27=$C27,IH27=$D27),3,($C27-$D27)/MAX(ABS($C27-$D27),1)=(IG27-IH27)/MAX(ABS(IG27-IH27),1),1,TRUE,0)</f>
        <v/>
      </c>
      <c r="IJ27" s="18"/>
      <c r="IK27" s="19"/>
      <c r="IL27" s="33" t="str" cm="1">
        <f t="array" ref="IL27">_xlfn.IFS($D27="","",AND(IJ27=$C27,IK27=$D27),3,($C27-$D27)/MAX(ABS($C27-$D27),1)=(IJ27-IK27)/MAX(ABS(IJ27-IK27),1),1,TRUE,0)</f>
        <v/>
      </c>
      <c r="IM27" s="18"/>
      <c r="IN27" s="19"/>
      <c r="IO27" s="33" t="str" cm="1">
        <f t="array" ref="IO27">_xlfn.IFS($D27="","",AND(IM27=$C27,IN27=$D27),3,($C27-$D27)/MAX(ABS($C27-$D27),1)=(IM27-IN27)/MAX(ABS(IM27-IN27),1),1,TRUE,0)</f>
        <v/>
      </c>
      <c r="IP27" s="18"/>
      <c r="IQ27" s="19"/>
      <c r="IR27" s="33" t="str" cm="1">
        <f t="array" ref="IR27">_xlfn.IFS($D27="","",AND(IP27=$C27,IQ27=$D27),3,($C27-$D27)/MAX(ABS($C27-$D27),1)=(IP27-IQ27)/MAX(ABS(IP27-IQ27),1),1,TRUE,0)</f>
        <v/>
      </c>
      <c r="IS27" s="18"/>
      <c r="IT27" s="19"/>
      <c r="IU27" s="33" t="str" cm="1">
        <f t="array" ref="IU27">_xlfn.IFS($D27="","",AND(IS27=$C27,IT27=$D27),3,($C27-$D27)/MAX(ABS($C27-$D27),1)=(IS27-IT27)/MAX(ABS(IS27-IT27),1),1,TRUE,0)</f>
        <v/>
      </c>
      <c r="IV27" s="18"/>
      <c r="IW27" s="19"/>
      <c r="IX27" s="33" t="str" cm="1">
        <f t="array" ref="IX27">_xlfn.IFS($D27="","",AND(IV27=$C27,IW27=$D27),3,($C27-$D27)/MAX(ABS($C27-$D27),1)=(IV27-IW27)/MAX(ABS(IV27-IW27),1),1,TRUE,0)</f>
        <v/>
      </c>
      <c r="IY27" s="18"/>
      <c r="IZ27" s="19"/>
      <c r="JA27" s="33" t="str" cm="1">
        <f t="array" ref="JA27">_xlfn.IFS($D27="","",AND(IY27=$C27,IZ27=$D27),3,($C27-$D27)/MAX(ABS($C27-$D27),1)=(IY27-IZ27)/MAX(ABS(IY27-IZ27),1),1,TRUE,0)</f>
        <v/>
      </c>
      <c r="JB27" s="18"/>
      <c r="JC27" s="19"/>
      <c r="JD27" s="33" t="str" cm="1">
        <f t="array" ref="JD27">_xlfn.IFS($D27="","",AND(JB27=$C27,JC27=$D27),3,($C27-$D27)/MAX(ABS($C27-$D27),1)=(JB27-JC27)/MAX(ABS(JB27-JC27),1),1,TRUE,0)</f>
        <v/>
      </c>
    </row>
    <row r="28" spans="1:264" ht="15" thickBot="1" x14ac:dyDescent="0.35">
      <c r="A28" s="22">
        <v>46191</v>
      </c>
      <c r="B28" s="28" t="s">
        <v>16</v>
      </c>
      <c r="C28" s="53" t="str" cm="1">
        <f t="array" ref="C28">_xlfn.LET(
_xlpm.x,_xlfn.XLOOKUP(1,(Scores_Fixtures[Date]=A28)*(Scores_Fixtures[Home.1]=B28),Scores_Fixtures[Score.1],""),
IF(_xlpm.x="","",_xlpm.x)
)</f>
        <v/>
      </c>
      <c r="D28" s="53" t="str" cm="1">
        <f t="array" ref="D28">_xlfn.LET(
_xlpm.x,_xlfn.XLOOKUP(1,(Scores_Fixtures[Date]=A28)*(Scores_Fixtures[Home.1]=B28),Scores_Fixtures[Score.2],""),
IF(_xlpm.x="","",_xlpm.x)
)</f>
        <v/>
      </c>
      <c r="E28" s="12" t="s">
        <v>59</v>
      </c>
      <c r="F28" s="15"/>
      <c r="G28" s="53"/>
      <c r="H28" s="53"/>
      <c r="I28" s="33" t="str" cm="1">
        <f t="array" ref="I28">_xlfn.IFS($D28="","",AND(G28=$C28,H28=$D28),3,($C28-$D28)/MAX(ABS($C28-$D28),1)=(G28-H28)/MAX(ABS(G28-H28),1),1,TRUE,0)</f>
        <v/>
      </c>
      <c r="J28" s="18"/>
      <c r="K28" s="19"/>
      <c r="L28" s="33" t="str" cm="1">
        <f t="array" ref="L28">_xlfn.IFS($D28="","",AND(J28=$C28,K28=$D28),3,($C28-$D28)/MAX(ABS($C28-$D28),1)=(J28-K28)/MAX(ABS(J28-K28),1),1,TRUE,0)</f>
        <v/>
      </c>
      <c r="M28" s="18"/>
      <c r="N28" s="19"/>
      <c r="O28" s="33" t="str" cm="1">
        <f t="array" ref="O28">_xlfn.IFS($D28="","",AND(M28=$C28,N28=$D28),3,($C28-$D28)/MAX(ABS($C28-$D28),1)=(M28-N28)/MAX(ABS(M28-N28),1),1,TRUE,0)</f>
        <v/>
      </c>
      <c r="P28" s="18"/>
      <c r="Q28" s="19"/>
      <c r="R28" s="33" t="str" cm="1">
        <f t="array" ref="R28">_xlfn.IFS($D28="","",AND(P28=$C28,Q28=$D28),3,($C28-$D28)/MAX(ABS($C28-$D28),1)=(P28-Q28)/MAX(ABS(P28-Q28),1),1,TRUE,0)</f>
        <v/>
      </c>
      <c r="S28" s="18"/>
      <c r="T28" s="19"/>
      <c r="U28" s="33" t="str" cm="1">
        <f t="array" ref="U28">_xlfn.IFS($D28="","",AND(S28=$C28,T28=$D28),3,($C28-$D28)/MAX(ABS($C28-$D28),1)=(S28-T28)/MAX(ABS(S28-T28),1),1,TRUE,0)</f>
        <v/>
      </c>
      <c r="V28" s="18"/>
      <c r="W28" s="19"/>
      <c r="X28" s="33" t="str" cm="1">
        <f t="array" ref="X28">_xlfn.IFS($D28="","",AND(V28=$C28,W28=$D28),3,($C28-$D28)/MAX(ABS($C28-$D28),1)=(V28-W28)/MAX(ABS(V28-W28),1),1,TRUE,0)</f>
        <v/>
      </c>
      <c r="Y28" s="18"/>
      <c r="Z28" s="19"/>
      <c r="AA28" s="33" t="str" cm="1">
        <f t="array" ref="AA28">_xlfn.IFS($D28="","",AND(Y28=$C28,Z28=$D28),3,($C28-$D28)/MAX(ABS($C28-$D28),1)=(Y28-Z28)/MAX(ABS(Y28-Z28),1),1,TRUE,0)</f>
        <v/>
      </c>
      <c r="AB28" s="18"/>
      <c r="AC28" s="19"/>
      <c r="AD28" s="33" t="str" cm="1">
        <f t="array" ref="AD28">_xlfn.IFS($D28="","",AND(AB28=$C28,AC28=$D28),3,($C28-$D28)/MAX(ABS($C28-$D28),1)=(AB28-AC28)/MAX(ABS(AB28-AC28),1),1,TRUE,0)</f>
        <v/>
      </c>
      <c r="AE28" s="18"/>
      <c r="AF28" s="19"/>
      <c r="AG28" s="33" t="str" cm="1">
        <f t="array" ref="AG28">_xlfn.IFS($D28="","",AND(AE28=$C28,AF28=$D28),3,($C28-$D28)/MAX(ABS($C28-$D28),1)=(AE28-AF28)/MAX(ABS(AE28-AF28),1),1,TRUE,0)</f>
        <v/>
      </c>
      <c r="AH28" s="18"/>
      <c r="AI28" s="19"/>
      <c r="AJ28" s="33" t="str" cm="1">
        <f t="array" ref="AJ28">_xlfn.IFS($D28="","",AND(AH28=$C28,AI28=$D28),3,($C28-$D28)/MAX(ABS($C28-$D28),1)=(AH28-AI28)/MAX(ABS(AH28-AI28),1),1,TRUE,0)</f>
        <v/>
      </c>
      <c r="AK28" s="18"/>
      <c r="AL28" s="19"/>
      <c r="AM28" s="33" t="str" cm="1">
        <f t="array" ref="AM28">_xlfn.IFS($D28="","",AND(AK28=$C28,AL28=$D28),3,($C28-$D28)/MAX(ABS($C28-$D28),1)=(AK28-AL28)/MAX(ABS(AK28-AL28),1),1,TRUE,0)</f>
        <v/>
      </c>
      <c r="AN28" s="18"/>
      <c r="AO28" s="19"/>
      <c r="AP28" s="33" t="str" cm="1">
        <f t="array" ref="AP28">_xlfn.IFS($D28="","",AND(AN28=$C28,AO28=$D28),3,($C28-$D28)/MAX(ABS($C28-$D28),1)=(AN28-AO28)/MAX(ABS(AN28-AO28),1),1,TRUE,0)</f>
        <v/>
      </c>
      <c r="AQ28" s="18"/>
      <c r="AR28" s="19"/>
      <c r="AS28" s="33" t="str" cm="1">
        <f t="array" ref="AS28">_xlfn.IFS($D28="","",AND(AQ28=$C28,AR28=$D28),3,($C28-$D28)/MAX(ABS($C28-$D28),1)=(AQ28-AR28)/MAX(ABS(AQ28-AR28),1),1,TRUE,0)</f>
        <v/>
      </c>
      <c r="AT28" s="18"/>
      <c r="AU28" s="19"/>
      <c r="AV28" s="33" t="str" cm="1">
        <f t="array" ref="AV28">_xlfn.IFS($D28="","",AND(AT28=$C28,AU28=$D28),3,($C28-$D28)/MAX(ABS($C28-$D28),1)=(AT28-AU28)/MAX(ABS(AT28-AU28),1),1,TRUE,0)</f>
        <v/>
      </c>
      <c r="AW28" s="18"/>
      <c r="AX28" s="19"/>
      <c r="AY28" s="33" t="str" cm="1">
        <f t="array" ref="AY28">_xlfn.IFS($D28="","",AND(AW28=$C28,AX28=$D28),3,($C28-$D28)/MAX(ABS($C28-$D28),1)=(AW28-AX28)/MAX(ABS(AW28-AX28),1),1,TRUE,0)</f>
        <v/>
      </c>
      <c r="AZ28" s="18"/>
      <c r="BA28" s="19"/>
      <c r="BB28" s="33" t="str" cm="1">
        <f t="array" ref="BB28">_xlfn.IFS($D28="","",AND(AZ28=$C28,BA28=$D28),3,($C28-$D28)/MAX(ABS($C28-$D28),1)=(AZ28-BA28)/MAX(ABS(AZ28-BA28),1),1,TRUE,0)</f>
        <v/>
      </c>
      <c r="BC28" s="18"/>
      <c r="BD28" s="19"/>
      <c r="BE28" s="33" t="str" cm="1">
        <f t="array" ref="BE28">_xlfn.IFS($D28="","",AND(BC28=$C28,BD28=$D28),3,($C28-$D28)/MAX(ABS($C28-$D28),1)=(BC28-BD28)/MAX(ABS(BC28-BD28),1),1,TRUE,0)</f>
        <v/>
      </c>
      <c r="BF28" s="18"/>
      <c r="BG28" s="19"/>
      <c r="BH28" s="33" t="str" cm="1">
        <f t="array" ref="BH28">_xlfn.IFS($D28="","",AND(BF28=$C28,BG28=$D28),3,($C28-$D28)/MAX(ABS($C28-$D28),1)=(BF28-BG28)/MAX(ABS(BF28-BG28),1),1,TRUE,0)</f>
        <v/>
      </c>
      <c r="BI28" s="18"/>
      <c r="BJ28" s="19"/>
      <c r="BK28" s="33" t="str" cm="1">
        <f t="array" ref="BK28">_xlfn.IFS($D28="","",AND(BI28=$C28,BJ28=$D28),3,($C28-$D28)/MAX(ABS($C28-$D28),1)=(BI28-BJ28)/MAX(ABS(BI28-BJ28),1),1,TRUE,0)</f>
        <v/>
      </c>
      <c r="BL28" s="18"/>
      <c r="BM28" s="19"/>
      <c r="BN28" s="33" t="str" cm="1">
        <f t="array" ref="BN28">_xlfn.IFS($D28="","",AND(BL28=$C28,BM28=$D28),3,($C28-$D28)/MAX(ABS($C28-$D28),1)=(BL28-BM28)/MAX(ABS(BL28-BM28),1),1,TRUE,0)</f>
        <v/>
      </c>
      <c r="BO28" s="18"/>
      <c r="BP28" s="19"/>
      <c r="BQ28" s="33" t="str" cm="1">
        <f t="array" ref="BQ28">_xlfn.IFS($D28="","",AND(BO28=$C28,BP28=$D28),3,($C28-$D28)/MAX(ABS($C28-$D28),1)=(BO28-BP28)/MAX(ABS(BO28-BP28),1),1,TRUE,0)</f>
        <v/>
      </c>
      <c r="BR28" s="18"/>
      <c r="BS28" s="19"/>
      <c r="BT28" s="33" t="str" cm="1">
        <f t="array" ref="BT28">_xlfn.IFS($D28="","",AND(BR28=$C28,BS28=$D28),3,($C28-$D28)/MAX(ABS($C28-$D28),1)=(BR28-BS28)/MAX(ABS(BR28-BS28),1),1,TRUE,0)</f>
        <v/>
      </c>
      <c r="BU28" s="18"/>
      <c r="BV28" s="19"/>
      <c r="BW28" s="33" t="str" cm="1">
        <f t="array" ref="BW28">_xlfn.IFS($D28="","",AND(BU28=$C28,BV28=$D28),3,($C28-$D28)/MAX(ABS($C28-$D28),1)=(BU28-BV28)/MAX(ABS(BU28-BV28),1),1,TRUE,0)</f>
        <v/>
      </c>
      <c r="BX28" s="18"/>
      <c r="BY28" s="19"/>
      <c r="BZ28" s="33" t="str" cm="1">
        <f t="array" ref="BZ28">_xlfn.IFS($D28="","",AND(BX28=$C28,BY28=$D28),3,($C28-$D28)/MAX(ABS($C28-$D28),1)=(BX28-BY28)/MAX(ABS(BX28-BY28),1),1,TRUE,0)</f>
        <v/>
      </c>
      <c r="CA28" s="18"/>
      <c r="CB28" s="19"/>
      <c r="CC28" s="33" t="str" cm="1">
        <f t="array" ref="CC28">_xlfn.IFS($D28="","",AND(CA28=$C28,CB28=$D28),3,($C28-$D28)/MAX(ABS($C28-$D28),1)=(CA28-CB28)/MAX(ABS(CA28-CB28),1),1,TRUE,0)</f>
        <v/>
      </c>
      <c r="CD28" s="18"/>
      <c r="CE28" s="19"/>
      <c r="CF28" s="33" t="str" cm="1">
        <f t="array" ref="CF28">_xlfn.IFS($D28="","",AND(CD28=$C28,CE28=$D28),3,($C28-$D28)/MAX(ABS($C28-$D28),1)=(CD28-CE28)/MAX(ABS(CD28-CE28),1),1,TRUE,0)</f>
        <v/>
      </c>
      <c r="CG28" s="18"/>
      <c r="CH28" s="19"/>
      <c r="CI28" s="33" t="str" cm="1">
        <f t="array" ref="CI28">_xlfn.IFS($D28="","",AND(CG28=$C28,CH28=$D28),3,($C28-$D28)/MAX(ABS($C28-$D28),1)=(CG28-CH28)/MAX(ABS(CG28-CH28),1),1,TRUE,0)</f>
        <v/>
      </c>
      <c r="CJ28" s="18"/>
      <c r="CK28" s="19"/>
      <c r="CL28" s="33" t="str" cm="1">
        <f t="array" ref="CL28">_xlfn.IFS($D28="","",AND(CJ28=$C28,CK28=$D28),3,($C28-$D28)/MAX(ABS($C28-$D28),1)=(CJ28-CK28)/MAX(ABS(CJ28-CK28),1),1,TRUE,0)</f>
        <v/>
      </c>
      <c r="CM28" s="18"/>
      <c r="CN28" s="19"/>
      <c r="CO28" s="33" t="str" cm="1">
        <f t="array" ref="CO28">_xlfn.IFS($D28="","",AND(CM28=$C28,CN28=$D28),3,($C28-$D28)/MAX(ABS($C28-$D28),1)=(CM28-CN28)/MAX(ABS(CM28-CN28),1),1,TRUE,0)</f>
        <v/>
      </c>
      <c r="CP28" s="18"/>
      <c r="CQ28" s="19"/>
      <c r="CR28" s="33" t="str" cm="1">
        <f t="array" ref="CR28">_xlfn.IFS($D28="","",AND(CP28=$C28,CQ28=$D28),3,($C28-$D28)/MAX(ABS($C28-$D28),1)=(CP28-CQ28)/MAX(ABS(CP28-CQ28),1),1,TRUE,0)</f>
        <v/>
      </c>
      <c r="CS28" s="18"/>
      <c r="CT28" s="19"/>
      <c r="CU28" s="33" t="str" cm="1">
        <f t="array" ref="CU28">_xlfn.IFS($D28="","",AND(CS28=$C28,CT28=$D28),3,($C28-$D28)/MAX(ABS($C28-$D28),1)=(CS28-CT28)/MAX(ABS(CS28-CT28),1),1,TRUE,0)</f>
        <v/>
      </c>
      <c r="CV28" s="18"/>
      <c r="CW28" s="19"/>
      <c r="CX28" s="33" t="str" cm="1">
        <f t="array" ref="CX28">_xlfn.IFS($D28="","",AND(CV28=$C28,CW28=$D28),3,($C28-$D28)/MAX(ABS($C28-$D28),1)=(CV28-CW28)/MAX(ABS(CV28-CW28),1),1,TRUE,0)</f>
        <v/>
      </c>
      <c r="CY28" s="18"/>
      <c r="CZ28" s="19"/>
      <c r="DA28" s="33" t="str" cm="1">
        <f t="array" ref="DA28">_xlfn.IFS($D28="","",AND(CY28=$C28,CZ28=$D28),3,($C28-$D28)/MAX(ABS($C28-$D28),1)=(CY28-CZ28)/MAX(ABS(CY28-CZ28),1),1,TRUE,0)</f>
        <v/>
      </c>
      <c r="DB28" s="37"/>
      <c r="DC28" s="38"/>
      <c r="DD28" s="33" t="str" cm="1">
        <f t="array" ref="DD28">_xlfn.IFS($D28="","",AND(DB28=$C28,DC28=$D28),3,($C28-$D28)/MAX(ABS($C28-$D28),1)=(DB28-DC28)/MAX(ABS(DB28-DC28),1),1,TRUE,0)</f>
        <v/>
      </c>
      <c r="DE28" s="18"/>
      <c r="DF28" s="19"/>
      <c r="DG28" s="33" t="str" cm="1">
        <f t="array" ref="DG28">_xlfn.IFS($D28="","",AND(DE28=$C28,DF28=$D28),3,($C28-$D28)/MAX(ABS($C28-$D28),1)=(DE28-DF28)/MAX(ABS(DE28-DF28),1),1,TRUE,0)</f>
        <v/>
      </c>
      <c r="DH28" s="18"/>
      <c r="DI28" s="19"/>
      <c r="DJ28" s="33" t="str" cm="1">
        <f t="array" ref="DJ28">_xlfn.IFS($D28="","",AND(DH28=$C28,DI28=$D28),3,($C28-$D28)/MAX(ABS($C28-$D28),1)=(DH28-DI28)/MAX(ABS(DH28-DI28),1),1,TRUE,0)</f>
        <v/>
      </c>
      <c r="DK28" s="18"/>
      <c r="DL28" s="19"/>
      <c r="DM28" s="33" t="str" cm="1">
        <f t="array" ref="DM28">_xlfn.IFS($D28="","",AND(DK28=$C28,DL28=$D28),3,($C28-$D28)/MAX(ABS($C28-$D28),1)=(DK28-DL28)/MAX(ABS(DK28-DL28),1),1,TRUE,0)</f>
        <v/>
      </c>
      <c r="DN28" s="18"/>
      <c r="DO28" s="19"/>
      <c r="DP28" s="33" t="str" cm="1">
        <f t="array" ref="DP28">_xlfn.IFS($D28="","",AND(DN28=$C28,DO28=$D28),3,($C28-$D28)/MAX(ABS($C28-$D28),1)=(DN28-DO28)/MAX(ABS(DN28-DO28),1),1,TRUE,0)</f>
        <v/>
      </c>
      <c r="DQ28" s="18"/>
      <c r="DR28" s="19"/>
      <c r="DS28" s="33" t="str" cm="1">
        <f t="array" ref="DS28">_xlfn.IFS($D28="","",AND(DQ28=$C28,DR28=$D28),3,($C28-$D28)/MAX(ABS($C28-$D28),1)=(DQ28-DR28)/MAX(ABS(DQ28-DR28),1),1,TRUE,0)</f>
        <v/>
      </c>
      <c r="DT28" s="18"/>
      <c r="DU28" s="19"/>
      <c r="DV28" s="33" t="str" cm="1">
        <f t="array" ref="DV28">_xlfn.IFS($D28="","",AND(DT28=$C28,DU28=$D28),3,($C28-$D28)/MAX(ABS($C28-$D28),1)=(DT28-DU28)/MAX(ABS(DT28-DU28),1),1,TRUE,0)</f>
        <v/>
      </c>
      <c r="DW28" s="18"/>
      <c r="DX28" s="19"/>
      <c r="DY28" s="33" t="str" cm="1">
        <f t="array" ref="DY28">_xlfn.IFS($D28="","",AND(DW28=$C28,DX28=$D28),3,($C28-$D28)/MAX(ABS($C28-$D28),1)=(DW28-DX28)/MAX(ABS(DW28-DX28),1),1,TRUE,0)</f>
        <v/>
      </c>
      <c r="DZ28" s="18"/>
      <c r="EA28" s="19"/>
      <c r="EB28" s="33" t="str" cm="1">
        <f t="array" ref="EB28">_xlfn.IFS($D28="","",AND(DZ28=$C28,EA28=$D28),3,($C28-$D28)/MAX(ABS($C28-$D28),1)=(DZ28-EA28)/MAX(ABS(DZ28-EA28),1),1,TRUE,0)</f>
        <v/>
      </c>
      <c r="EC28" s="18"/>
      <c r="ED28" s="19"/>
      <c r="EE28" s="33" t="str" cm="1">
        <f t="array" ref="EE28">_xlfn.IFS($D28="","",AND(EC28=$C28,ED28=$D28),3,($C28-$D28)/MAX(ABS($C28-$D28),1)=(EC28-ED28)/MAX(ABS(EC28-ED28),1),1,TRUE,0)</f>
        <v/>
      </c>
      <c r="EF28" s="18"/>
      <c r="EG28" s="19"/>
      <c r="EH28" s="33" t="str" cm="1">
        <f t="array" ref="EH28">_xlfn.IFS($D28="","",AND(EF28=$C28,EG28=$D28),3,($C28-$D28)/MAX(ABS($C28-$D28),1)=(EF28-EG28)/MAX(ABS(EF28-EG28),1),1,TRUE,0)</f>
        <v/>
      </c>
      <c r="EI28" s="43"/>
      <c r="EJ28" s="44"/>
      <c r="EK28" s="33" t="str" cm="1">
        <f t="array" ref="EK28">_xlfn.IFS($D28="","",AND(EI28=$C28,EJ28=$D28),3,($C28-$D28)/MAX(ABS($C28-$D28),1)=(EI28-EJ28)/MAX(ABS(EI28-EJ28),1),1,TRUE,0)</f>
        <v/>
      </c>
      <c r="EL28" s="18"/>
      <c r="EM28" s="19"/>
      <c r="EN28" s="33" t="str" cm="1">
        <f t="array" ref="EN28">_xlfn.IFS($D28="","",AND(EL28=$C28,EM28=$D28),3,($C28-$D28)/MAX(ABS($C28-$D28),1)=(EL28-EM28)/MAX(ABS(EL28-EM28),1),1,TRUE,0)</f>
        <v/>
      </c>
      <c r="EO28" s="18"/>
      <c r="EP28" s="19"/>
      <c r="EQ28" s="33" t="str" cm="1">
        <f t="array" ref="EQ28">_xlfn.IFS($D28="","",AND(EO28=$C28,EP28=$D28),3,($C28-$D28)/MAX(ABS($C28-$D28),1)=(EO28-EP28)/MAX(ABS(EO28-EP28),1),1,TRUE,0)</f>
        <v/>
      </c>
      <c r="ER28" s="18"/>
      <c r="ES28" s="19"/>
      <c r="ET28" s="33" t="str" cm="1">
        <f t="array" ref="ET28">_xlfn.IFS($D28="","",AND(ER28=$C28,ES28=$D28),3,($C28-$D28)/MAX(ABS($C28-$D28),1)=(ER28-ES28)/MAX(ABS(ER28-ES28),1),1,TRUE,0)</f>
        <v/>
      </c>
      <c r="EU28" s="18"/>
      <c r="EV28" s="19"/>
      <c r="EW28" s="33" t="str" cm="1">
        <f t="array" ref="EW28">_xlfn.IFS($D28="","",AND(EU28=$C28,EV28=$D28),3,($C28-$D28)/MAX(ABS($C28-$D28),1)=(EU28-EV28)/MAX(ABS(EU28-EV28),1),1,TRUE,0)</f>
        <v/>
      </c>
      <c r="EX28" s="18"/>
      <c r="EY28" s="19"/>
      <c r="EZ28" s="33" t="str" cm="1">
        <f t="array" ref="EZ28">_xlfn.IFS($D28="","",AND(EX28=$C28,EY28=$D28),3,($C28-$D28)/MAX(ABS($C28-$D28),1)=(EX28-EY28)/MAX(ABS(EX28-EY28),1),1,TRUE,0)</f>
        <v/>
      </c>
      <c r="FA28" s="18"/>
      <c r="FB28" s="19"/>
      <c r="FC28" s="33" t="str" cm="1">
        <f t="array" ref="FC28">_xlfn.IFS($D28="","",AND(FA28=$C28,FB28=$D28),3,($C28-$D28)/MAX(ABS($C28-$D28),1)=(FA28-FB28)/MAX(ABS(FA28-FB28),1),1,TRUE,0)</f>
        <v/>
      </c>
      <c r="FD28" s="18"/>
      <c r="FE28" s="19"/>
      <c r="FF28" s="33" t="str" cm="1">
        <f t="array" ref="FF28">_xlfn.IFS($D28="","",AND(FD28=$C28,FE28=$D28),3,($C28-$D28)/MAX(ABS($C28-$D28),1)=(FD28-FE28)/MAX(ABS(FD28-FE28),1),1,TRUE,0)</f>
        <v/>
      </c>
      <c r="FG28" s="18"/>
      <c r="FH28" s="19"/>
      <c r="FI28" s="33" t="str" cm="1">
        <f t="array" ref="FI28">_xlfn.IFS($D28="","",AND(FG28=$C28,FH28=$D28),3,($C28-$D28)/MAX(ABS($C28-$D28),1)=(FG28-FH28)/MAX(ABS(FG28-FH28),1),1,TRUE,0)</f>
        <v/>
      </c>
      <c r="FJ28" s="18"/>
      <c r="FK28" s="19"/>
      <c r="FL28" s="33" t="str" cm="1">
        <f t="array" ref="FL28">_xlfn.IFS($D28="","",AND(FJ28=$C28,FK28=$D28),3,($C28-$D28)/MAX(ABS($C28-$D28),1)=(FJ28-FK28)/MAX(ABS(FJ28-FK28),1),1,TRUE,0)</f>
        <v/>
      </c>
      <c r="FM28" s="18"/>
      <c r="FN28" s="19"/>
      <c r="FO28" s="33" t="str" cm="1">
        <f t="array" ref="FO28">_xlfn.IFS($D28="","",AND(FM28=$C28,FN28=$D28),3,($C28-$D28)/MAX(ABS($C28-$D28),1)=(FM28-FN28)/MAX(ABS(FM28-FN28),1),1,TRUE,0)</f>
        <v/>
      </c>
      <c r="FP28" s="18"/>
      <c r="FQ28" s="19"/>
      <c r="FR28" s="33" t="str" cm="1">
        <f t="array" ref="FR28">_xlfn.IFS($D28="","",AND(FP28=$C28,FQ28=$D28),3,($C28-$D28)/MAX(ABS($C28-$D28),1)=(FP28-FQ28)/MAX(ABS(FP28-FQ28),1),1,TRUE,0)</f>
        <v/>
      </c>
      <c r="FS28" s="18"/>
      <c r="FT28" s="19"/>
      <c r="FU28" s="33" t="str" cm="1">
        <f t="array" ref="FU28">_xlfn.IFS($D28="","",AND(FS28=$C28,FT28=$D28),3,($C28-$D28)/MAX(ABS($C28-$D28),1)=(FS28-FT28)/MAX(ABS(FS28-FT28),1),1,TRUE,0)</f>
        <v/>
      </c>
      <c r="FV28" s="18"/>
      <c r="FW28" s="19"/>
      <c r="FX28" s="33" t="str" cm="1">
        <f t="array" ref="FX28">_xlfn.IFS($D28="","",AND(FV28=$C28,FW28=$D28),3,($C28-$D28)/MAX(ABS($C28-$D28),1)=(FV28-FW28)/MAX(ABS(FV28-FW28),1),1,TRUE,0)</f>
        <v/>
      </c>
      <c r="FY28" s="18"/>
      <c r="FZ28" s="19"/>
      <c r="GA28" s="33" t="str" cm="1">
        <f t="array" ref="GA28">_xlfn.IFS($D28="","",AND(FY28=$C28,FZ28=$D28),3,($C28-$D28)/MAX(ABS($C28-$D28),1)=(FY28-FZ28)/MAX(ABS(FY28-FZ28),1),1,TRUE,0)</f>
        <v/>
      </c>
      <c r="GB28" s="18"/>
      <c r="GC28" s="19"/>
      <c r="GD28" s="33" t="str" cm="1">
        <f t="array" ref="GD28">_xlfn.IFS($D28="","",AND(GB28=$C28,GC28=$D28),3,($C28-$D28)/MAX(ABS($C28-$D28),1)=(GB28-GC28)/MAX(ABS(GB28-GC28),1),1,TRUE,0)</f>
        <v/>
      </c>
      <c r="GE28" s="47"/>
      <c r="GF28" s="45"/>
      <c r="GG28" s="33" t="str" cm="1">
        <f t="array" ref="GG28">_xlfn.IFS($D28="","",AND(GE28=$C28,GF28=$D28),3,($C28-$D28)/MAX(ABS($C28-$D28),1)=(GE28-GF28)/MAX(ABS(GE28-GF28),1),1,TRUE,0)</f>
        <v/>
      </c>
      <c r="GH28" s="18"/>
      <c r="GI28" s="19"/>
      <c r="GJ28" s="33" t="str" cm="1">
        <f t="array" ref="GJ28">_xlfn.IFS($D28="","",AND(GH28=$C28,GI28=$D28),3,($C28-$D28)/MAX(ABS($C28-$D28),1)=(GH28-GI28)/MAX(ABS(GH28-GI28),1),1,TRUE,0)</f>
        <v/>
      </c>
      <c r="GK28" s="18"/>
      <c r="GL28" s="19"/>
      <c r="GM28" s="33" t="str" cm="1">
        <f t="array" ref="GM28">_xlfn.IFS($D28="","",AND(GK28=$C28,GL28=$D28),3,($C28-$D28)/MAX(ABS($C28-$D28),1)=(GK28-GL28)/MAX(ABS(GK28-GL28),1),1,TRUE,0)</f>
        <v/>
      </c>
      <c r="GN28" s="18"/>
      <c r="GO28" s="19"/>
      <c r="GP28" s="33" t="str" cm="1">
        <f t="array" ref="GP28">_xlfn.IFS($D28="","",AND(GN28=$C28,GO28=$D28),3,($C28-$D28)/MAX(ABS($C28-$D28),1)=(GN28-GO28)/MAX(ABS(GN28-GO28),1),1,TRUE,0)</f>
        <v/>
      </c>
      <c r="GQ28" s="18"/>
      <c r="GR28" s="19"/>
      <c r="GS28" s="33" t="str" cm="1">
        <f t="array" ref="GS28">_xlfn.IFS($D28="","",AND(GQ28=$C28,GR28=$D28),3,($C28-$D28)/MAX(ABS($C28-$D28),1)=(GQ28-GR28)/MAX(ABS(GQ28-GR28),1),1,TRUE,0)</f>
        <v/>
      </c>
      <c r="GT28" s="18"/>
      <c r="GU28" s="19"/>
      <c r="GV28" s="33" t="str" cm="1">
        <f t="array" ref="GV28">_xlfn.IFS($D28="","",AND(GT28=$C28,GU28=$D28),3,($C28-$D28)/MAX(ABS($C28-$D28),1)=(GT28-GU28)/MAX(ABS(GT28-GU28),1),1,TRUE,0)</f>
        <v/>
      </c>
      <c r="GW28" s="18"/>
      <c r="GX28" s="19"/>
      <c r="GY28" s="33" t="str" cm="1">
        <f t="array" ref="GY28">_xlfn.IFS($D28="","",AND(GW28=$C28,GX28=$D28),3,($C28-$D28)/MAX(ABS($C28-$D28),1)=(GW28-GX28)/MAX(ABS(GW28-GX28),1),1,TRUE,0)</f>
        <v/>
      </c>
      <c r="GZ28" s="18"/>
      <c r="HA28" s="19"/>
      <c r="HB28" s="33" t="str" cm="1">
        <f t="array" ref="HB28">_xlfn.IFS($D28="","",AND(GZ28=$C28,HA28=$D28),3,($C28-$D28)/MAX(ABS($C28-$D28),1)=(GZ28-HA28)/MAX(ABS(GZ28-HA28),1),1,TRUE,0)</f>
        <v/>
      </c>
      <c r="HC28" s="18"/>
      <c r="HD28" s="19"/>
      <c r="HE28" s="33" t="str" cm="1">
        <f t="array" ref="HE28">_xlfn.IFS($D28="","",AND(HC28=$C28,HD28=$D28),3,($C28-$D28)/MAX(ABS($C28-$D28),1)=(HC28-HD28)/MAX(ABS(HC28-HD28),1),1,TRUE,0)</f>
        <v/>
      </c>
      <c r="HF28" s="18"/>
      <c r="HG28" s="19"/>
      <c r="HH28" s="33" t="str" cm="1">
        <f t="array" ref="HH28">_xlfn.IFS($D28="","",AND(HF28=$C28,HG28=$D28),3,($C28-$D28)/MAX(ABS($C28-$D28),1)=(HF28-HG28)/MAX(ABS(HF28-HG28),1),1,TRUE,0)</f>
        <v/>
      </c>
      <c r="HI28" s="18"/>
      <c r="HJ28" s="19"/>
      <c r="HK28" s="33" t="str" cm="1">
        <f t="array" ref="HK28">_xlfn.IFS($D28="","",AND(HI28=$C28,HJ28=$D28),3,($C28-$D28)/MAX(ABS($C28-$D28),1)=(HI28-HJ28)/MAX(ABS(HI28-HJ28),1),1,TRUE,0)</f>
        <v/>
      </c>
      <c r="HL28" s="18"/>
      <c r="HM28" s="19"/>
      <c r="HN28" s="33" t="str" cm="1">
        <f t="array" ref="HN28">_xlfn.IFS($D28="","",AND(HL28=$C28,HM28=$D28),3,($C28-$D28)/MAX(ABS($C28-$D28),1)=(HL28-HM28)/MAX(ABS(HL28-HM28),1),1,TRUE,0)</f>
        <v/>
      </c>
      <c r="HO28" s="18"/>
      <c r="HP28" s="19"/>
      <c r="HQ28" s="33" t="str" cm="1">
        <f t="array" ref="HQ28">_xlfn.IFS($D28="","",AND(HO28=$C28,HP28=$D28),3,($C28-$D28)/MAX(ABS($C28-$D28),1)=(HO28-HP28)/MAX(ABS(HO28-HP28),1),1,TRUE,0)</f>
        <v/>
      </c>
      <c r="HR28" s="18"/>
      <c r="HS28" s="19"/>
      <c r="HT28" s="33" t="str" cm="1">
        <f t="array" ref="HT28">_xlfn.IFS($D28="","",AND(HR28=$C28,HS28=$D28),3,($C28-$D28)/MAX(ABS($C28-$D28),1)=(HR28-HS28)/MAX(ABS(HR28-HS28),1),1,TRUE,0)</f>
        <v/>
      </c>
      <c r="HU28" s="18"/>
      <c r="HV28" s="19"/>
      <c r="HW28" s="33" t="str" cm="1">
        <f t="array" ref="HW28">_xlfn.IFS($D28="","",AND(HU28=$C28,HV28=$D28),3,($C28-$D28)/MAX(ABS($C28-$D28),1)=(HU28-HV28)/MAX(ABS(HU28-HV28),1),1,TRUE,0)</f>
        <v/>
      </c>
      <c r="HX28" s="18"/>
      <c r="HY28" s="19"/>
      <c r="HZ28" s="33" t="str" cm="1">
        <f t="array" ref="HZ28">_xlfn.IFS($D28="","",AND(HX28=$C28,HY28=$D28),3,($C28-$D28)/MAX(ABS($C28-$D28),1)=(HX28-HY28)/MAX(ABS(HX28-HY28),1),1,TRUE,0)</f>
        <v/>
      </c>
      <c r="IA28" s="18"/>
      <c r="IB28" s="19"/>
      <c r="IC28" s="33" t="str" cm="1">
        <f t="array" ref="IC28">_xlfn.IFS($D28="","",AND(IA28=$C28,IB28=$D28),3,($C28-$D28)/MAX(ABS($C28-$D28),1)=(IA28-IB28)/MAX(ABS(IA28-IB28),1),1,TRUE,0)</f>
        <v/>
      </c>
      <c r="ID28" s="18"/>
      <c r="IE28" s="19"/>
      <c r="IF28" s="33" t="str" cm="1">
        <f t="array" ref="IF28">_xlfn.IFS($D28="","",AND(ID28=$C28,IE28=$D28),3,($C28-$D28)/MAX(ABS($C28-$D28),1)=(ID28-IE28)/MAX(ABS(ID28-IE28),1),1,TRUE,0)</f>
        <v/>
      </c>
      <c r="IG28" s="18"/>
      <c r="IH28" s="19"/>
      <c r="II28" s="33" t="str" cm="1">
        <f t="array" ref="II28">_xlfn.IFS($D28="","",AND(IG28=$C28,IH28=$D28),3,($C28-$D28)/MAX(ABS($C28-$D28),1)=(IG28-IH28)/MAX(ABS(IG28-IH28),1),1,TRUE,0)</f>
        <v/>
      </c>
      <c r="IJ28" s="18"/>
      <c r="IK28" s="19"/>
      <c r="IL28" s="33" t="str" cm="1">
        <f t="array" ref="IL28">_xlfn.IFS($D28="","",AND(IJ28=$C28,IK28=$D28),3,($C28-$D28)/MAX(ABS($C28-$D28),1)=(IJ28-IK28)/MAX(ABS(IJ28-IK28),1),1,TRUE,0)</f>
        <v/>
      </c>
      <c r="IM28" s="18"/>
      <c r="IN28" s="19"/>
      <c r="IO28" s="33" t="str" cm="1">
        <f t="array" ref="IO28">_xlfn.IFS($D28="","",AND(IM28=$C28,IN28=$D28),3,($C28-$D28)/MAX(ABS($C28-$D28),1)=(IM28-IN28)/MAX(ABS(IM28-IN28),1),1,TRUE,0)</f>
        <v/>
      </c>
      <c r="IP28" s="18"/>
      <c r="IQ28" s="19"/>
      <c r="IR28" s="33" t="str" cm="1">
        <f t="array" ref="IR28">_xlfn.IFS($D28="","",AND(IP28=$C28,IQ28=$D28),3,($C28-$D28)/MAX(ABS($C28-$D28),1)=(IP28-IQ28)/MAX(ABS(IP28-IQ28),1),1,TRUE,0)</f>
        <v/>
      </c>
      <c r="IS28" s="18"/>
      <c r="IT28" s="19"/>
      <c r="IU28" s="33" t="str" cm="1">
        <f t="array" ref="IU28">_xlfn.IFS($D28="","",AND(IS28=$C28,IT28=$D28),3,($C28-$D28)/MAX(ABS($C28-$D28),1)=(IS28-IT28)/MAX(ABS(IS28-IT28),1),1,TRUE,0)</f>
        <v/>
      </c>
      <c r="IV28" s="18"/>
      <c r="IW28" s="19"/>
      <c r="IX28" s="33" t="str" cm="1">
        <f t="array" ref="IX28">_xlfn.IFS($D28="","",AND(IV28=$C28,IW28=$D28),3,($C28-$D28)/MAX(ABS($C28-$D28),1)=(IV28-IW28)/MAX(ABS(IV28-IW28),1),1,TRUE,0)</f>
        <v/>
      </c>
      <c r="IY28" s="18"/>
      <c r="IZ28" s="19"/>
      <c r="JA28" s="33" t="str" cm="1">
        <f t="array" ref="JA28">_xlfn.IFS($D28="","",AND(IY28=$C28,IZ28=$D28),3,($C28-$D28)/MAX(ABS($C28-$D28),1)=(IY28-IZ28)/MAX(ABS(IY28-IZ28),1),1,TRUE,0)</f>
        <v/>
      </c>
      <c r="JB28" s="18"/>
      <c r="JC28" s="19"/>
      <c r="JD28" s="33" t="str" cm="1">
        <f t="array" ref="JD28">_xlfn.IFS($D28="","",AND(JB28=$C28,JC28=$D28),3,($C28-$D28)/MAX(ABS($C28-$D28),1)=(JB28-JC28)/MAX(ABS(JB28-JC28),1),1,TRUE,0)</f>
        <v/>
      </c>
    </row>
    <row r="29" spans="1:264" ht="15" thickBot="1" x14ac:dyDescent="0.35">
      <c r="A29" s="22">
        <v>46192</v>
      </c>
      <c r="B29" s="28" t="s">
        <v>36</v>
      </c>
      <c r="C29" s="53" t="str" cm="1">
        <f t="array" ref="C29">_xlfn.LET(
_xlpm.x,_xlfn.XLOOKUP(1,(Scores_Fixtures[Date]=A29)*(Scores_Fixtures[Home.1]=B29),Scores_Fixtures[Score.1],""),
IF(_xlpm.x="","",_xlpm.x)
)</f>
        <v/>
      </c>
      <c r="D29" s="53" t="str" cm="1">
        <f t="array" ref="D29">_xlfn.LET(
_xlpm.x,_xlfn.XLOOKUP(1,(Scores_Fixtures[Date]=A29)*(Scores_Fixtures[Home.1]=B29),Scores_Fixtures[Score.2],""),
IF(_xlpm.x="","",_xlpm.x)
)</f>
        <v/>
      </c>
      <c r="E29" s="12" t="s">
        <v>38</v>
      </c>
      <c r="F29" s="15"/>
      <c r="G29" s="53"/>
      <c r="H29" s="53"/>
      <c r="I29" s="33" t="str" cm="1">
        <f t="array" ref="I29">_xlfn.IFS($D29="","",AND(G29=$C29,H29=$D29),3,($C29-$D29)/MAX(ABS($C29-$D29),1)=(G29-H29)/MAX(ABS(G29-H29),1),1,TRUE,0)</f>
        <v/>
      </c>
      <c r="J29" s="18"/>
      <c r="K29" s="19"/>
      <c r="L29" s="33" t="str" cm="1">
        <f t="array" ref="L29">_xlfn.IFS($D29="","",AND(J29=$C29,K29=$D29),3,($C29-$D29)/MAX(ABS($C29-$D29),1)=(J29-K29)/MAX(ABS(J29-K29),1),1,TRUE,0)</f>
        <v/>
      </c>
      <c r="M29" s="18"/>
      <c r="N29" s="19"/>
      <c r="O29" s="33" t="str" cm="1">
        <f t="array" ref="O29">_xlfn.IFS($D29="","",AND(M29=$C29,N29=$D29),3,($C29-$D29)/MAX(ABS($C29-$D29),1)=(M29-N29)/MAX(ABS(M29-N29),1),1,TRUE,0)</f>
        <v/>
      </c>
      <c r="P29" s="18"/>
      <c r="Q29" s="19"/>
      <c r="R29" s="33" t="str" cm="1">
        <f t="array" ref="R29">_xlfn.IFS($D29="","",AND(P29=$C29,Q29=$D29),3,($C29-$D29)/MAX(ABS($C29-$D29),1)=(P29-Q29)/MAX(ABS(P29-Q29),1),1,TRUE,0)</f>
        <v/>
      </c>
      <c r="S29" s="18"/>
      <c r="T29" s="19"/>
      <c r="U29" s="33" t="str" cm="1">
        <f t="array" ref="U29">_xlfn.IFS($D29="","",AND(S29=$C29,T29=$D29),3,($C29-$D29)/MAX(ABS($C29-$D29),1)=(S29-T29)/MAX(ABS(S29-T29),1),1,TRUE,0)</f>
        <v/>
      </c>
      <c r="V29" s="18"/>
      <c r="W29" s="19"/>
      <c r="X29" s="33" t="str" cm="1">
        <f t="array" ref="X29">_xlfn.IFS($D29="","",AND(V29=$C29,W29=$D29),3,($C29-$D29)/MAX(ABS($C29-$D29),1)=(V29-W29)/MAX(ABS(V29-W29),1),1,TRUE,0)</f>
        <v/>
      </c>
      <c r="Y29" s="18"/>
      <c r="Z29" s="19"/>
      <c r="AA29" s="33" t="str" cm="1">
        <f t="array" ref="AA29">_xlfn.IFS($D29="","",AND(Y29=$C29,Z29=$D29),3,($C29-$D29)/MAX(ABS($C29-$D29),1)=(Y29-Z29)/MAX(ABS(Y29-Z29),1),1,TRUE,0)</f>
        <v/>
      </c>
      <c r="AB29" s="18"/>
      <c r="AC29" s="19"/>
      <c r="AD29" s="33" t="str" cm="1">
        <f t="array" ref="AD29">_xlfn.IFS($D29="","",AND(AB29=$C29,AC29=$D29),3,($C29-$D29)/MAX(ABS($C29-$D29),1)=(AB29-AC29)/MAX(ABS(AB29-AC29),1),1,TRUE,0)</f>
        <v/>
      </c>
      <c r="AE29" s="18"/>
      <c r="AF29" s="19"/>
      <c r="AG29" s="33" t="str" cm="1">
        <f t="array" ref="AG29">_xlfn.IFS($D29="","",AND(AE29=$C29,AF29=$D29),3,($C29-$D29)/MAX(ABS($C29-$D29),1)=(AE29-AF29)/MAX(ABS(AE29-AF29),1),1,TRUE,0)</f>
        <v/>
      </c>
      <c r="AH29" s="18"/>
      <c r="AI29" s="19"/>
      <c r="AJ29" s="33" t="str" cm="1">
        <f t="array" ref="AJ29">_xlfn.IFS($D29="","",AND(AH29=$C29,AI29=$D29),3,($C29-$D29)/MAX(ABS($C29-$D29),1)=(AH29-AI29)/MAX(ABS(AH29-AI29),1),1,TRUE,0)</f>
        <v/>
      </c>
      <c r="AK29" s="18"/>
      <c r="AL29" s="19"/>
      <c r="AM29" s="33" t="str" cm="1">
        <f t="array" ref="AM29">_xlfn.IFS($D29="","",AND(AK29=$C29,AL29=$D29),3,($C29-$D29)/MAX(ABS($C29-$D29),1)=(AK29-AL29)/MAX(ABS(AK29-AL29),1),1,TRUE,0)</f>
        <v/>
      </c>
      <c r="AN29" s="18"/>
      <c r="AO29" s="19"/>
      <c r="AP29" s="33" t="str" cm="1">
        <f t="array" ref="AP29">_xlfn.IFS($D29="","",AND(AN29=$C29,AO29=$D29),3,($C29-$D29)/MAX(ABS($C29-$D29),1)=(AN29-AO29)/MAX(ABS(AN29-AO29),1),1,TRUE,0)</f>
        <v/>
      </c>
      <c r="AQ29" s="18"/>
      <c r="AR29" s="19"/>
      <c r="AS29" s="33" t="str" cm="1">
        <f t="array" ref="AS29">_xlfn.IFS($D29="","",AND(AQ29=$C29,AR29=$D29),3,($C29-$D29)/MAX(ABS($C29-$D29),1)=(AQ29-AR29)/MAX(ABS(AQ29-AR29),1),1,TRUE,0)</f>
        <v/>
      </c>
      <c r="AT29" s="18"/>
      <c r="AU29" s="19"/>
      <c r="AV29" s="33" t="str" cm="1">
        <f t="array" ref="AV29">_xlfn.IFS($D29="","",AND(AT29=$C29,AU29=$D29),3,($C29-$D29)/MAX(ABS($C29-$D29),1)=(AT29-AU29)/MAX(ABS(AT29-AU29),1),1,TRUE,0)</f>
        <v/>
      </c>
      <c r="AW29" s="18"/>
      <c r="AX29" s="19"/>
      <c r="AY29" s="33" t="str" cm="1">
        <f t="array" ref="AY29">_xlfn.IFS($D29="","",AND(AW29=$C29,AX29=$D29),3,($C29-$D29)/MAX(ABS($C29-$D29),1)=(AW29-AX29)/MAX(ABS(AW29-AX29),1),1,TRUE,0)</f>
        <v/>
      </c>
      <c r="AZ29" s="18"/>
      <c r="BA29" s="19"/>
      <c r="BB29" s="33" t="str" cm="1">
        <f t="array" ref="BB29">_xlfn.IFS($D29="","",AND(AZ29=$C29,BA29=$D29),3,($C29-$D29)/MAX(ABS($C29-$D29),1)=(AZ29-BA29)/MAX(ABS(AZ29-BA29),1),1,TRUE,0)</f>
        <v/>
      </c>
      <c r="BC29" s="18"/>
      <c r="BD29" s="19"/>
      <c r="BE29" s="33" t="str" cm="1">
        <f t="array" ref="BE29">_xlfn.IFS($D29="","",AND(BC29=$C29,BD29=$D29),3,($C29-$D29)/MAX(ABS($C29-$D29),1)=(BC29-BD29)/MAX(ABS(BC29-BD29),1),1,TRUE,0)</f>
        <v/>
      </c>
      <c r="BF29" s="18"/>
      <c r="BG29" s="19"/>
      <c r="BH29" s="33" t="str" cm="1">
        <f t="array" ref="BH29">_xlfn.IFS($D29="","",AND(BF29=$C29,BG29=$D29),3,($C29-$D29)/MAX(ABS($C29-$D29),1)=(BF29-BG29)/MAX(ABS(BF29-BG29),1),1,TRUE,0)</f>
        <v/>
      </c>
      <c r="BI29" s="18"/>
      <c r="BJ29" s="19"/>
      <c r="BK29" s="33" t="str" cm="1">
        <f t="array" ref="BK29">_xlfn.IFS($D29="","",AND(BI29=$C29,BJ29=$D29),3,($C29-$D29)/MAX(ABS($C29-$D29),1)=(BI29-BJ29)/MAX(ABS(BI29-BJ29),1),1,TRUE,0)</f>
        <v/>
      </c>
      <c r="BL29" s="18"/>
      <c r="BM29" s="19"/>
      <c r="BN29" s="33" t="str" cm="1">
        <f t="array" ref="BN29">_xlfn.IFS($D29="","",AND(BL29=$C29,BM29=$D29),3,($C29-$D29)/MAX(ABS($C29-$D29),1)=(BL29-BM29)/MAX(ABS(BL29-BM29),1),1,TRUE,0)</f>
        <v/>
      </c>
      <c r="BO29" s="18"/>
      <c r="BP29" s="19"/>
      <c r="BQ29" s="33" t="str" cm="1">
        <f t="array" ref="BQ29">_xlfn.IFS($D29="","",AND(BO29=$C29,BP29=$D29),3,($C29-$D29)/MAX(ABS($C29-$D29),1)=(BO29-BP29)/MAX(ABS(BO29-BP29),1),1,TRUE,0)</f>
        <v/>
      </c>
      <c r="BR29" s="18"/>
      <c r="BS29" s="19"/>
      <c r="BT29" s="33" t="str" cm="1">
        <f t="array" ref="BT29">_xlfn.IFS($D29="","",AND(BR29=$C29,BS29=$D29),3,($C29-$D29)/MAX(ABS($C29-$D29),1)=(BR29-BS29)/MAX(ABS(BR29-BS29),1),1,TRUE,0)</f>
        <v/>
      </c>
      <c r="BU29" s="18"/>
      <c r="BV29" s="19"/>
      <c r="BW29" s="33" t="str" cm="1">
        <f t="array" ref="BW29">_xlfn.IFS($D29="","",AND(BU29=$C29,BV29=$D29),3,($C29-$D29)/MAX(ABS($C29-$D29),1)=(BU29-BV29)/MAX(ABS(BU29-BV29),1),1,TRUE,0)</f>
        <v/>
      </c>
      <c r="BX29" s="18"/>
      <c r="BY29" s="19"/>
      <c r="BZ29" s="33" t="str" cm="1">
        <f t="array" ref="BZ29">_xlfn.IFS($D29="","",AND(BX29=$C29,BY29=$D29),3,($C29-$D29)/MAX(ABS($C29-$D29),1)=(BX29-BY29)/MAX(ABS(BX29-BY29),1),1,TRUE,0)</f>
        <v/>
      </c>
      <c r="CA29" s="18"/>
      <c r="CB29" s="19"/>
      <c r="CC29" s="33" t="str" cm="1">
        <f t="array" ref="CC29">_xlfn.IFS($D29="","",AND(CA29=$C29,CB29=$D29),3,($C29-$D29)/MAX(ABS($C29-$D29),1)=(CA29-CB29)/MAX(ABS(CA29-CB29),1),1,TRUE,0)</f>
        <v/>
      </c>
      <c r="CD29" s="18"/>
      <c r="CE29" s="19"/>
      <c r="CF29" s="33" t="str" cm="1">
        <f t="array" ref="CF29">_xlfn.IFS($D29="","",AND(CD29=$C29,CE29=$D29),3,($C29-$D29)/MAX(ABS($C29-$D29),1)=(CD29-CE29)/MAX(ABS(CD29-CE29),1),1,TRUE,0)</f>
        <v/>
      </c>
      <c r="CG29" s="18"/>
      <c r="CH29" s="19"/>
      <c r="CI29" s="33" t="str" cm="1">
        <f t="array" ref="CI29">_xlfn.IFS($D29="","",AND(CG29=$C29,CH29=$D29),3,($C29-$D29)/MAX(ABS($C29-$D29),1)=(CG29-CH29)/MAX(ABS(CG29-CH29),1),1,TRUE,0)</f>
        <v/>
      </c>
      <c r="CJ29" s="18"/>
      <c r="CK29" s="19"/>
      <c r="CL29" s="33" t="str" cm="1">
        <f t="array" ref="CL29">_xlfn.IFS($D29="","",AND(CJ29=$C29,CK29=$D29),3,($C29-$D29)/MAX(ABS($C29-$D29),1)=(CJ29-CK29)/MAX(ABS(CJ29-CK29),1),1,TRUE,0)</f>
        <v/>
      </c>
      <c r="CM29" s="18"/>
      <c r="CN29" s="19"/>
      <c r="CO29" s="33" t="str" cm="1">
        <f t="array" ref="CO29">_xlfn.IFS($D29="","",AND(CM29=$C29,CN29=$D29),3,($C29-$D29)/MAX(ABS($C29-$D29),1)=(CM29-CN29)/MAX(ABS(CM29-CN29),1),1,TRUE,0)</f>
        <v/>
      </c>
      <c r="CP29" s="18"/>
      <c r="CQ29" s="19"/>
      <c r="CR29" s="33" t="str" cm="1">
        <f t="array" ref="CR29">_xlfn.IFS($D29="","",AND(CP29=$C29,CQ29=$D29),3,($C29-$D29)/MAX(ABS($C29-$D29),1)=(CP29-CQ29)/MAX(ABS(CP29-CQ29),1),1,TRUE,0)</f>
        <v/>
      </c>
      <c r="CS29" s="18"/>
      <c r="CT29" s="19"/>
      <c r="CU29" s="33" t="str" cm="1">
        <f t="array" ref="CU29">_xlfn.IFS($D29="","",AND(CS29=$C29,CT29=$D29),3,($C29-$D29)/MAX(ABS($C29-$D29),1)=(CS29-CT29)/MAX(ABS(CS29-CT29),1),1,TRUE,0)</f>
        <v/>
      </c>
      <c r="CV29" s="18"/>
      <c r="CW29" s="19"/>
      <c r="CX29" s="33" t="str" cm="1">
        <f t="array" ref="CX29">_xlfn.IFS($D29="","",AND(CV29=$C29,CW29=$D29),3,($C29-$D29)/MAX(ABS($C29-$D29),1)=(CV29-CW29)/MAX(ABS(CV29-CW29),1),1,TRUE,0)</f>
        <v/>
      </c>
      <c r="CY29" s="18"/>
      <c r="CZ29" s="19"/>
      <c r="DA29" s="33" t="str" cm="1">
        <f t="array" ref="DA29">_xlfn.IFS($D29="","",AND(CY29=$C29,CZ29=$D29),3,($C29-$D29)/MAX(ABS($C29-$D29),1)=(CY29-CZ29)/MAX(ABS(CY29-CZ29),1),1,TRUE,0)</f>
        <v/>
      </c>
      <c r="DB29" s="37"/>
      <c r="DC29" s="38"/>
      <c r="DD29" s="33" t="str" cm="1">
        <f t="array" ref="DD29">_xlfn.IFS($D29="","",AND(DB29=$C29,DC29=$D29),3,($C29-$D29)/MAX(ABS($C29-$D29),1)=(DB29-DC29)/MAX(ABS(DB29-DC29),1),1,TRUE,0)</f>
        <v/>
      </c>
      <c r="DE29" s="18"/>
      <c r="DF29" s="19"/>
      <c r="DG29" s="33" t="str" cm="1">
        <f t="array" ref="DG29">_xlfn.IFS($D29="","",AND(DE29=$C29,DF29=$D29),3,($C29-$D29)/MAX(ABS($C29-$D29),1)=(DE29-DF29)/MAX(ABS(DE29-DF29),1),1,TRUE,0)</f>
        <v/>
      </c>
      <c r="DH29" s="18"/>
      <c r="DI29" s="19"/>
      <c r="DJ29" s="33" t="str" cm="1">
        <f t="array" ref="DJ29">_xlfn.IFS($D29="","",AND(DH29=$C29,DI29=$D29),3,($C29-$D29)/MAX(ABS($C29-$D29),1)=(DH29-DI29)/MAX(ABS(DH29-DI29),1),1,TRUE,0)</f>
        <v/>
      </c>
      <c r="DK29" s="18"/>
      <c r="DL29" s="19"/>
      <c r="DM29" s="33" t="str" cm="1">
        <f t="array" ref="DM29">_xlfn.IFS($D29="","",AND(DK29=$C29,DL29=$D29),3,($C29-$D29)/MAX(ABS($C29-$D29),1)=(DK29-DL29)/MAX(ABS(DK29-DL29),1),1,TRUE,0)</f>
        <v/>
      </c>
      <c r="DN29" s="18"/>
      <c r="DO29" s="19"/>
      <c r="DP29" s="33" t="str" cm="1">
        <f t="array" ref="DP29">_xlfn.IFS($D29="","",AND(DN29=$C29,DO29=$D29),3,($C29-$D29)/MAX(ABS($C29-$D29),1)=(DN29-DO29)/MAX(ABS(DN29-DO29),1),1,TRUE,0)</f>
        <v/>
      </c>
      <c r="DQ29" s="18"/>
      <c r="DR29" s="19"/>
      <c r="DS29" s="33" t="str" cm="1">
        <f t="array" ref="DS29">_xlfn.IFS($D29="","",AND(DQ29=$C29,DR29=$D29),3,($C29-$D29)/MAX(ABS($C29-$D29),1)=(DQ29-DR29)/MAX(ABS(DQ29-DR29),1),1,TRUE,0)</f>
        <v/>
      </c>
      <c r="DT29" s="18"/>
      <c r="DU29" s="19"/>
      <c r="DV29" s="33" t="str" cm="1">
        <f t="array" ref="DV29">_xlfn.IFS($D29="","",AND(DT29=$C29,DU29=$D29),3,($C29-$D29)/MAX(ABS($C29-$D29),1)=(DT29-DU29)/MAX(ABS(DT29-DU29),1),1,TRUE,0)</f>
        <v/>
      </c>
      <c r="DW29" s="18"/>
      <c r="DX29" s="19"/>
      <c r="DY29" s="33" t="str" cm="1">
        <f t="array" ref="DY29">_xlfn.IFS($D29="","",AND(DW29=$C29,DX29=$D29),3,($C29-$D29)/MAX(ABS($C29-$D29),1)=(DW29-DX29)/MAX(ABS(DW29-DX29),1),1,TRUE,0)</f>
        <v/>
      </c>
      <c r="DZ29" s="18"/>
      <c r="EA29" s="19"/>
      <c r="EB29" s="33" t="str" cm="1">
        <f t="array" ref="EB29">_xlfn.IFS($D29="","",AND(DZ29=$C29,EA29=$D29),3,($C29-$D29)/MAX(ABS($C29-$D29),1)=(DZ29-EA29)/MAX(ABS(DZ29-EA29),1),1,TRUE,0)</f>
        <v/>
      </c>
      <c r="EC29" s="18"/>
      <c r="ED29" s="19"/>
      <c r="EE29" s="33" t="str" cm="1">
        <f t="array" ref="EE29">_xlfn.IFS($D29="","",AND(EC29=$C29,ED29=$D29),3,($C29-$D29)/MAX(ABS($C29-$D29),1)=(EC29-ED29)/MAX(ABS(EC29-ED29),1),1,TRUE,0)</f>
        <v/>
      </c>
      <c r="EF29" s="18"/>
      <c r="EG29" s="19"/>
      <c r="EH29" s="33" t="str" cm="1">
        <f t="array" ref="EH29">_xlfn.IFS($D29="","",AND(EF29=$C29,EG29=$D29),3,($C29-$D29)/MAX(ABS($C29-$D29),1)=(EF29-EG29)/MAX(ABS(EF29-EG29),1),1,TRUE,0)</f>
        <v/>
      </c>
      <c r="EI29" s="43"/>
      <c r="EJ29" s="44"/>
      <c r="EK29" s="33" t="str" cm="1">
        <f t="array" ref="EK29">_xlfn.IFS($D29="","",AND(EI29=$C29,EJ29=$D29),3,($C29-$D29)/MAX(ABS($C29-$D29),1)=(EI29-EJ29)/MAX(ABS(EI29-EJ29),1),1,TRUE,0)</f>
        <v/>
      </c>
      <c r="EL29" s="18"/>
      <c r="EM29" s="19"/>
      <c r="EN29" s="33" t="str" cm="1">
        <f t="array" ref="EN29">_xlfn.IFS($D29="","",AND(EL29=$C29,EM29=$D29),3,($C29-$D29)/MAX(ABS($C29-$D29),1)=(EL29-EM29)/MAX(ABS(EL29-EM29),1),1,TRUE,0)</f>
        <v/>
      </c>
      <c r="EO29" s="18"/>
      <c r="EP29" s="19"/>
      <c r="EQ29" s="33" t="str" cm="1">
        <f t="array" ref="EQ29">_xlfn.IFS($D29="","",AND(EO29=$C29,EP29=$D29),3,($C29-$D29)/MAX(ABS($C29-$D29),1)=(EO29-EP29)/MAX(ABS(EO29-EP29),1),1,TRUE,0)</f>
        <v/>
      </c>
      <c r="ER29" s="18"/>
      <c r="ES29" s="19"/>
      <c r="ET29" s="33" t="str" cm="1">
        <f t="array" ref="ET29">_xlfn.IFS($D29="","",AND(ER29=$C29,ES29=$D29),3,($C29-$D29)/MAX(ABS($C29-$D29),1)=(ER29-ES29)/MAX(ABS(ER29-ES29),1),1,TRUE,0)</f>
        <v/>
      </c>
      <c r="EU29" s="18"/>
      <c r="EV29" s="19"/>
      <c r="EW29" s="33" t="str" cm="1">
        <f t="array" ref="EW29">_xlfn.IFS($D29="","",AND(EU29=$C29,EV29=$D29),3,($C29-$D29)/MAX(ABS($C29-$D29),1)=(EU29-EV29)/MAX(ABS(EU29-EV29),1),1,TRUE,0)</f>
        <v/>
      </c>
      <c r="EX29" s="18"/>
      <c r="EY29" s="19"/>
      <c r="EZ29" s="33" t="str" cm="1">
        <f t="array" ref="EZ29">_xlfn.IFS($D29="","",AND(EX29=$C29,EY29=$D29),3,($C29-$D29)/MAX(ABS($C29-$D29),1)=(EX29-EY29)/MAX(ABS(EX29-EY29),1),1,TRUE,0)</f>
        <v/>
      </c>
      <c r="FA29" s="18"/>
      <c r="FB29" s="19"/>
      <c r="FC29" s="33" t="str" cm="1">
        <f t="array" ref="FC29">_xlfn.IFS($D29="","",AND(FA29=$C29,FB29=$D29),3,($C29-$D29)/MAX(ABS($C29-$D29),1)=(FA29-FB29)/MAX(ABS(FA29-FB29),1),1,TRUE,0)</f>
        <v/>
      </c>
      <c r="FD29" s="18"/>
      <c r="FE29" s="19"/>
      <c r="FF29" s="33" t="str" cm="1">
        <f t="array" ref="FF29">_xlfn.IFS($D29="","",AND(FD29=$C29,FE29=$D29),3,($C29-$D29)/MAX(ABS($C29-$D29),1)=(FD29-FE29)/MAX(ABS(FD29-FE29),1),1,TRUE,0)</f>
        <v/>
      </c>
      <c r="FG29" s="18"/>
      <c r="FH29" s="19"/>
      <c r="FI29" s="33" t="str" cm="1">
        <f t="array" ref="FI29">_xlfn.IFS($D29="","",AND(FG29=$C29,FH29=$D29),3,($C29-$D29)/MAX(ABS($C29-$D29),1)=(FG29-FH29)/MAX(ABS(FG29-FH29),1),1,TRUE,0)</f>
        <v/>
      </c>
      <c r="FJ29" s="18"/>
      <c r="FK29" s="19"/>
      <c r="FL29" s="33" t="str" cm="1">
        <f t="array" ref="FL29">_xlfn.IFS($D29="","",AND(FJ29=$C29,FK29=$D29),3,($C29-$D29)/MAX(ABS($C29-$D29),1)=(FJ29-FK29)/MAX(ABS(FJ29-FK29),1),1,TRUE,0)</f>
        <v/>
      </c>
      <c r="FM29" s="18"/>
      <c r="FN29" s="19"/>
      <c r="FO29" s="33" t="str" cm="1">
        <f t="array" ref="FO29">_xlfn.IFS($D29="","",AND(FM29=$C29,FN29=$D29),3,($C29-$D29)/MAX(ABS($C29-$D29),1)=(FM29-FN29)/MAX(ABS(FM29-FN29),1),1,TRUE,0)</f>
        <v/>
      </c>
      <c r="FP29" s="18"/>
      <c r="FQ29" s="19"/>
      <c r="FR29" s="33" t="str" cm="1">
        <f t="array" ref="FR29">_xlfn.IFS($D29="","",AND(FP29=$C29,FQ29=$D29),3,($C29-$D29)/MAX(ABS($C29-$D29),1)=(FP29-FQ29)/MAX(ABS(FP29-FQ29),1),1,TRUE,0)</f>
        <v/>
      </c>
      <c r="FS29" s="18"/>
      <c r="FT29" s="19"/>
      <c r="FU29" s="33" t="str" cm="1">
        <f t="array" ref="FU29">_xlfn.IFS($D29="","",AND(FS29=$C29,FT29=$D29),3,($C29-$D29)/MAX(ABS($C29-$D29),1)=(FS29-FT29)/MAX(ABS(FS29-FT29),1),1,TRUE,0)</f>
        <v/>
      </c>
      <c r="FV29" s="18"/>
      <c r="FW29" s="19"/>
      <c r="FX29" s="33" t="str" cm="1">
        <f t="array" ref="FX29">_xlfn.IFS($D29="","",AND(FV29=$C29,FW29=$D29),3,($C29-$D29)/MAX(ABS($C29-$D29),1)=(FV29-FW29)/MAX(ABS(FV29-FW29),1),1,TRUE,0)</f>
        <v/>
      </c>
      <c r="FY29" s="18"/>
      <c r="FZ29" s="19"/>
      <c r="GA29" s="33" t="str" cm="1">
        <f t="array" ref="GA29">_xlfn.IFS($D29="","",AND(FY29=$C29,FZ29=$D29),3,($C29-$D29)/MAX(ABS($C29-$D29),1)=(FY29-FZ29)/MAX(ABS(FY29-FZ29),1),1,TRUE,0)</f>
        <v/>
      </c>
      <c r="GB29" s="18"/>
      <c r="GC29" s="19"/>
      <c r="GD29" s="33" t="str" cm="1">
        <f t="array" ref="GD29">_xlfn.IFS($D29="","",AND(GB29=$C29,GC29=$D29),3,($C29-$D29)/MAX(ABS($C29-$D29),1)=(GB29-GC29)/MAX(ABS(GB29-GC29),1),1,TRUE,0)</f>
        <v/>
      </c>
      <c r="GE29" s="47"/>
      <c r="GF29" s="45"/>
      <c r="GG29" s="33" t="str" cm="1">
        <f t="array" ref="GG29">_xlfn.IFS($D29="","",AND(GE29=$C29,GF29=$D29),3,($C29-$D29)/MAX(ABS($C29-$D29),1)=(GE29-GF29)/MAX(ABS(GE29-GF29),1),1,TRUE,0)</f>
        <v/>
      </c>
      <c r="GH29" s="18"/>
      <c r="GI29" s="19"/>
      <c r="GJ29" s="33" t="str" cm="1">
        <f t="array" ref="GJ29">_xlfn.IFS($D29="","",AND(GH29=$C29,GI29=$D29),3,($C29-$D29)/MAX(ABS($C29-$D29),1)=(GH29-GI29)/MAX(ABS(GH29-GI29),1),1,TRUE,0)</f>
        <v/>
      </c>
      <c r="GK29" s="18"/>
      <c r="GL29" s="19"/>
      <c r="GM29" s="33" t="str" cm="1">
        <f t="array" ref="GM29">_xlfn.IFS($D29="","",AND(GK29=$C29,GL29=$D29),3,($C29-$D29)/MAX(ABS($C29-$D29),1)=(GK29-GL29)/MAX(ABS(GK29-GL29),1),1,TRUE,0)</f>
        <v/>
      </c>
      <c r="GN29" s="18"/>
      <c r="GO29" s="19"/>
      <c r="GP29" s="33" t="str" cm="1">
        <f t="array" ref="GP29">_xlfn.IFS($D29="","",AND(GN29=$C29,GO29=$D29),3,($C29-$D29)/MAX(ABS($C29-$D29),1)=(GN29-GO29)/MAX(ABS(GN29-GO29),1),1,TRUE,0)</f>
        <v/>
      </c>
      <c r="GQ29" s="18"/>
      <c r="GR29" s="19"/>
      <c r="GS29" s="33" t="str" cm="1">
        <f t="array" ref="GS29">_xlfn.IFS($D29="","",AND(GQ29=$C29,GR29=$D29),3,($C29-$D29)/MAX(ABS($C29-$D29),1)=(GQ29-GR29)/MAX(ABS(GQ29-GR29),1),1,TRUE,0)</f>
        <v/>
      </c>
      <c r="GT29" s="18"/>
      <c r="GU29" s="19"/>
      <c r="GV29" s="33" t="str" cm="1">
        <f t="array" ref="GV29">_xlfn.IFS($D29="","",AND(GT29=$C29,GU29=$D29),3,($C29-$D29)/MAX(ABS($C29-$D29),1)=(GT29-GU29)/MAX(ABS(GT29-GU29),1),1,TRUE,0)</f>
        <v/>
      </c>
      <c r="GW29" s="18"/>
      <c r="GX29" s="19"/>
      <c r="GY29" s="33" t="str" cm="1">
        <f t="array" ref="GY29">_xlfn.IFS($D29="","",AND(GW29=$C29,GX29=$D29),3,($C29-$D29)/MAX(ABS($C29-$D29),1)=(GW29-GX29)/MAX(ABS(GW29-GX29),1),1,TRUE,0)</f>
        <v/>
      </c>
      <c r="GZ29" s="18"/>
      <c r="HA29" s="19"/>
      <c r="HB29" s="33" t="str" cm="1">
        <f t="array" ref="HB29">_xlfn.IFS($D29="","",AND(GZ29=$C29,HA29=$D29),3,($C29-$D29)/MAX(ABS($C29-$D29),1)=(GZ29-HA29)/MAX(ABS(GZ29-HA29),1),1,TRUE,0)</f>
        <v/>
      </c>
      <c r="HC29" s="18"/>
      <c r="HD29" s="19"/>
      <c r="HE29" s="33" t="str" cm="1">
        <f t="array" ref="HE29">_xlfn.IFS($D29="","",AND(HC29=$C29,HD29=$D29),3,($C29-$D29)/MAX(ABS($C29-$D29),1)=(HC29-HD29)/MAX(ABS(HC29-HD29),1),1,TRUE,0)</f>
        <v/>
      </c>
      <c r="HF29" s="18"/>
      <c r="HG29" s="19"/>
      <c r="HH29" s="33" t="str" cm="1">
        <f t="array" ref="HH29">_xlfn.IFS($D29="","",AND(HF29=$C29,HG29=$D29),3,($C29-$D29)/MAX(ABS($C29-$D29),1)=(HF29-HG29)/MAX(ABS(HF29-HG29),1),1,TRUE,0)</f>
        <v/>
      </c>
      <c r="HI29" s="18"/>
      <c r="HJ29" s="19"/>
      <c r="HK29" s="33" t="str" cm="1">
        <f t="array" ref="HK29">_xlfn.IFS($D29="","",AND(HI29=$C29,HJ29=$D29),3,($C29-$D29)/MAX(ABS($C29-$D29),1)=(HI29-HJ29)/MAX(ABS(HI29-HJ29),1),1,TRUE,0)</f>
        <v/>
      </c>
      <c r="HL29" s="18"/>
      <c r="HM29" s="19"/>
      <c r="HN29" s="33" t="str" cm="1">
        <f t="array" ref="HN29">_xlfn.IFS($D29="","",AND(HL29=$C29,HM29=$D29),3,($C29-$D29)/MAX(ABS($C29-$D29),1)=(HL29-HM29)/MAX(ABS(HL29-HM29),1),1,TRUE,0)</f>
        <v/>
      </c>
      <c r="HO29" s="18"/>
      <c r="HP29" s="19"/>
      <c r="HQ29" s="33" t="str" cm="1">
        <f t="array" ref="HQ29">_xlfn.IFS($D29="","",AND(HO29=$C29,HP29=$D29),3,($C29-$D29)/MAX(ABS($C29-$D29),1)=(HO29-HP29)/MAX(ABS(HO29-HP29),1),1,TRUE,0)</f>
        <v/>
      </c>
      <c r="HR29" s="18"/>
      <c r="HS29" s="19"/>
      <c r="HT29" s="33" t="str" cm="1">
        <f t="array" ref="HT29">_xlfn.IFS($D29="","",AND(HR29=$C29,HS29=$D29),3,($C29-$D29)/MAX(ABS($C29-$D29),1)=(HR29-HS29)/MAX(ABS(HR29-HS29),1),1,TRUE,0)</f>
        <v/>
      </c>
      <c r="HU29" s="18"/>
      <c r="HV29" s="19"/>
      <c r="HW29" s="33" t="str" cm="1">
        <f t="array" ref="HW29">_xlfn.IFS($D29="","",AND(HU29=$C29,HV29=$D29),3,($C29-$D29)/MAX(ABS($C29-$D29),1)=(HU29-HV29)/MAX(ABS(HU29-HV29),1),1,TRUE,0)</f>
        <v/>
      </c>
      <c r="HX29" s="18"/>
      <c r="HY29" s="19"/>
      <c r="HZ29" s="33" t="str" cm="1">
        <f t="array" ref="HZ29">_xlfn.IFS($D29="","",AND(HX29=$C29,HY29=$D29),3,($C29-$D29)/MAX(ABS($C29-$D29),1)=(HX29-HY29)/MAX(ABS(HX29-HY29),1),1,TRUE,0)</f>
        <v/>
      </c>
      <c r="IA29" s="18"/>
      <c r="IB29" s="19"/>
      <c r="IC29" s="33" t="str" cm="1">
        <f t="array" ref="IC29">_xlfn.IFS($D29="","",AND(IA29=$C29,IB29=$D29),3,($C29-$D29)/MAX(ABS($C29-$D29),1)=(IA29-IB29)/MAX(ABS(IA29-IB29),1),1,TRUE,0)</f>
        <v/>
      </c>
      <c r="ID29" s="18"/>
      <c r="IE29" s="19"/>
      <c r="IF29" s="33" t="str" cm="1">
        <f t="array" ref="IF29">_xlfn.IFS($D29="","",AND(ID29=$C29,IE29=$D29),3,($C29-$D29)/MAX(ABS($C29-$D29),1)=(ID29-IE29)/MAX(ABS(ID29-IE29),1),1,TRUE,0)</f>
        <v/>
      </c>
      <c r="IG29" s="18"/>
      <c r="IH29" s="19"/>
      <c r="II29" s="33" t="str" cm="1">
        <f t="array" ref="II29">_xlfn.IFS($D29="","",AND(IG29=$C29,IH29=$D29),3,($C29-$D29)/MAX(ABS($C29-$D29),1)=(IG29-IH29)/MAX(ABS(IG29-IH29),1),1,TRUE,0)</f>
        <v/>
      </c>
      <c r="IJ29" s="18"/>
      <c r="IK29" s="19"/>
      <c r="IL29" s="33" t="str" cm="1">
        <f t="array" ref="IL29">_xlfn.IFS($D29="","",AND(IJ29=$C29,IK29=$D29),3,($C29-$D29)/MAX(ABS($C29-$D29),1)=(IJ29-IK29)/MAX(ABS(IJ29-IK29),1),1,TRUE,0)</f>
        <v/>
      </c>
      <c r="IM29" s="18"/>
      <c r="IN29" s="19"/>
      <c r="IO29" s="33" t="str" cm="1">
        <f t="array" ref="IO29">_xlfn.IFS($D29="","",AND(IM29=$C29,IN29=$D29),3,($C29-$D29)/MAX(ABS($C29-$D29),1)=(IM29-IN29)/MAX(ABS(IM29-IN29),1),1,TRUE,0)</f>
        <v/>
      </c>
      <c r="IP29" s="18"/>
      <c r="IQ29" s="19"/>
      <c r="IR29" s="33" t="str" cm="1">
        <f t="array" ref="IR29">_xlfn.IFS($D29="","",AND(IP29=$C29,IQ29=$D29),3,($C29-$D29)/MAX(ABS($C29-$D29),1)=(IP29-IQ29)/MAX(ABS(IP29-IQ29),1),1,TRUE,0)</f>
        <v/>
      </c>
      <c r="IS29" s="18"/>
      <c r="IT29" s="19"/>
      <c r="IU29" s="33" t="str" cm="1">
        <f t="array" ref="IU29">_xlfn.IFS($D29="","",AND(IS29=$C29,IT29=$D29),3,($C29-$D29)/MAX(ABS($C29-$D29),1)=(IS29-IT29)/MAX(ABS(IS29-IT29),1),1,TRUE,0)</f>
        <v/>
      </c>
      <c r="IV29" s="18"/>
      <c r="IW29" s="19"/>
      <c r="IX29" s="33" t="str" cm="1">
        <f t="array" ref="IX29">_xlfn.IFS($D29="","",AND(IV29=$C29,IW29=$D29),3,($C29-$D29)/MAX(ABS($C29-$D29),1)=(IV29-IW29)/MAX(ABS(IV29-IW29),1),1,TRUE,0)</f>
        <v/>
      </c>
      <c r="IY29" s="18"/>
      <c r="IZ29" s="19"/>
      <c r="JA29" s="33" t="str" cm="1">
        <f t="array" ref="JA29">_xlfn.IFS($D29="","",AND(IY29=$C29,IZ29=$D29),3,($C29-$D29)/MAX(ABS($C29-$D29),1)=(IY29-IZ29)/MAX(ABS(IY29-IZ29),1),1,TRUE,0)</f>
        <v/>
      </c>
      <c r="JB29" s="18"/>
      <c r="JC29" s="19"/>
      <c r="JD29" s="33" t="str" cm="1">
        <f t="array" ref="JD29">_xlfn.IFS($D29="","",AND(JB29=$C29,JC29=$D29),3,($C29-$D29)/MAX(ABS($C29-$D29),1)=(JB29-JC29)/MAX(ABS(JB29-JC29),1),1,TRUE,0)</f>
        <v/>
      </c>
    </row>
    <row r="30" spans="1:264" ht="15" thickBot="1" x14ac:dyDescent="0.35">
      <c r="A30" s="22">
        <v>46192</v>
      </c>
      <c r="B30" s="28" t="s">
        <v>34</v>
      </c>
      <c r="C30" s="53" t="str" cm="1">
        <f t="array" ref="C30">_xlfn.LET(
_xlpm.x,_xlfn.XLOOKUP(1,(Scores_Fixtures[Date]=A30)*(Scores_Fixtures[Home.1]=B30),Scores_Fixtures[Score.1],""),
IF(_xlpm.x="","",_xlpm.x)
)</f>
        <v/>
      </c>
      <c r="D30" s="53" t="str" cm="1">
        <f t="array" ref="D30">_xlfn.LET(
_xlpm.x,_xlfn.XLOOKUP(1,(Scores_Fixtures[Date]=A30)*(Scores_Fixtures[Home.1]=B30),Scores_Fixtures[Score.2],""),
IF(_xlpm.x="","",_xlpm.x)
)</f>
        <v/>
      </c>
      <c r="E30" s="12" t="s">
        <v>35</v>
      </c>
      <c r="F30" s="15"/>
      <c r="G30" s="53"/>
      <c r="H30" s="53"/>
      <c r="I30" s="33" t="str" cm="1">
        <f t="array" ref="I30">_xlfn.IFS($D30="","",AND(G30=$C30,H30=$D30),3,($C30-$D30)/MAX(ABS($C30-$D30),1)=(G30-H30)/MAX(ABS(G30-H30),1),1,TRUE,0)</f>
        <v/>
      </c>
      <c r="J30" s="18"/>
      <c r="K30" s="19"/>
      <c r="L30" s="33" t="str" cm="1">
        <f t="array" ref="L30">_xlfn.IFS($D30="","",AND(J30=$C30,K30=$D30),3,($C30-$D30)/MAX(ABS($C30-$D30),1)=(J30-K30)/MAX(ABS(J30-K30),1),1,TRUE,0)</f>
        <v/>
      </c>
      <c r="M30" s="18"/>
      <c r="N30" s="19"/>
      <c r="O30" s="33" t="str" cm="1">
        <f t="array" ref="O30">_xlfn.IFS($D30="","",AND(M30=$C30,N30=$D30),3,($C30-$D30)/MAX(ABS($C30-$D30),1)=(M30-N30)/MAX(ABS(M30-N30),1),1,TRUE,0)</f>
        <v/>
      </c>
      <c r="P30" s="18"/>
      <c r="Q30" s="19"/>
      <c r="R30" s="33" t="str" cm="1">
        <f t="array" ref="R30">_xlfn.IFS($D30="","",AND(P30=$C30,Q30=$D30),3,($C30-$D30)/MAX(ABS($C30-$D30),1)=(P30-Q30)/MAX(ABS(P30-Q30),1),1,TRUE,0)</f>
        <v/>
      </c>
      <c r="S30" s="18"/>
      <c r="T30" s="19"/>
      <c r="U30" s="33" t="str" cm="1">
        <f t="array" ref="U30">_xlfn.IFS($D30="","",AND(S30=$C30,T30=$D30),3,($C30-$D30)/MAX(ABS($C30-$D30),1)=(S30-T30)/MAX(ABS(S30-T30),1),1,TRUE,0)</f>
        <v/>
      </c>
      <c r="V30" s="18"/>
      <c r="W30" s="19"/>
      <c r="X30" s="33" t="str" cm="1">
        <f t="array" ref="X30">_xlfn.IFS($D30="","",AND(V30=$C30,W30=$D30),3,($C30-$D30)/MAX(ABS($C30-$D30),1)=(V30-W30)/MAX(ABS(V30-W30),1),1,TRUE,0)</f>
        <v/>
      </c>
      <c r="Y30" s="18"/>
      <c r="Z30" s="19"/>
      <c r="AA30" s="33" t="str" cm="1">
        <f t="array" ref="AA30">_xlfn.IFS($D30="","",AND(Y30=$C30,Z30=$D30),3,($C30-$D30)/MAX(ABS($C30-$D30),1)=(Y30-Z30)/MAX(ABS(Y30-Z30),1),1,TRUE,0)</f>
        <v/>
      </c>
      <c r="AB30" s="18"/>
      <c r="AC30" s="19"/>
      <c r="AD30" s="33" t="str" cm="1">
        <f t="array" ref="AD30">_xlfn.IFS($D30="","",AND(AB30=$C30,AC30=$D30),3,($C30-$D30)/MAX(ABS($C30-$D30),1)=(AB30-AC30)/MAX(ABS(AB30-AC30),1),1,TRUE,0)</f>
        <v/>
      </c>
      <c r="AE30" s="18"/>
      <c r="AF30" s="19"/>
      <c r="AG30" s="33" t="str" cm="1">
        <f t="array" ref="AG30">_xlfn.IFS($D30="","",AND(AE30=$C30,AF30=$D30),3,($C30-$D30)/MAX(ABS($C30-$D30),1)=(AE30-AF30)/MAX(ABS(AE30-AF30),1),1,TRUE,0)</f>
        <v/>
      </c>
      <c r="AH30" s="18"/>
      <c r="AI30" s="19"/>
      <c r="AJ30" s="33" t="str" cm="1">
        <f t="array" ref="AJ30">_xlfn.IFS($D30="","",AND(AH30=$C30,AI30=$D30),3,($C30-$D30)/MAX(ABS($C30-$D30),1)=(AH30-AI30)/MAX(ABS(AH30-AI30),1),1,TRUE,0)</f>
        <v/>
      </c>
      <c r="AK30" s="18"/>
      <c r="AL30" s="19"/>
      <c r="AM30" s="33" t="str" cm="1">
        <f t="array" ref="AM30">_xlfn.IFS($D30="","",AND(AK30=$C30,AL30=$D30),3,($C30-$D30)/MAX(ABS($C30-$D30),1)=(AK30-AL30)/MAX(ABS(AK30-AL30),1),1,TRUE,0)</f>
        <v/>
      </c>
      <c r="AN30" s="18"/>
      <c r="AO30" s="19"/>
      <c r="AP30" s="33" t="str" cm="1">
        <f t="array" ref="AP30">_xlfn.IFS($D30="","",AND(AN30=$C30,AO30=$D30),3,($C30-$D30)/MAX(ABS($C30-$D30),1)=(AN30-AO30)/MAX(ABS(AN30-AO30),1),1,TRUE,0)</f>
        <v/>
      </c>
      <c r="AQ30" s="18"/>
      <c r="AR30" s="19"/>
      <c r="AS30" s="33" t="str" cm="1">
        <f t="array" ref="AS30">_xlfn.IFS($D30="","",AND(AQ30=$C30,AR30=$D30),3,($C30-$D30)/MAX(ABS($C30-$D30),1)=(AQ30-AR30)/MAX(ABS(AQ30-AR30),1),1,TRUE,0)</f>
        <v/>
      </c>
      <c r="AT30" s="18"/>
      <c r="AU30" s="19"/>
      <c r="AV30" s="33" t="str" cm="1">
        <f t="array" ref="AV30">_xlfn.IFS($D30="","",AND(AT30=$C30,AU30=$D30),3,($C30-$D30)/MAX(ABS($C30-$D30),1)=(AT30-AU30)/MAX(ABS(AT30-AU30),1),1,TRUE,0)</f>
        <v/>
      </c>
      <c r="AW30" s="18"/>
      <c r="AX30" s="19"/>
      <c r="AY30" s="33" t="str" cm="1">
        <f t="array" ref="AY30">_xlfn.IFS($D30="","",AND(AW30=$C30,AX30=$D30),3,($C30-$D30)/MAX(ABS($C30-$D30),1)=(AW30-AX30)/MAX(ABS(AW30-AX30),1),1,TRUE,0)</f>
        <v/>
      </c>
      <c r="AZ30" s="18"/>
      <c r="BA30" s="19"/>
      <c r="BB30" s="33" t="str" cm="1">
        <f t="array" ref="BB30">_xlfn.IFS($D30="","",AND(AZ30=$C30,BA30=$D30),3,($C30-$D30)/MAX(ABS($C30-$D30),1)=(AZ30-BA30)/MAX(ABS(AZ30-BA30),1),1,TRUE,0)</f>
        <v/>
      </c>
      <c r="BC30" s="18"/>
      <c r="BD30" s="19"/>
      <c r="BE30" s="33" t="str" cm="1">
        <f t="array" ref="BE30">_xlfn.IFS($D30="","",AND(BC30=$C30,BD30=$D30),3,($C30-$D30)/MAX(ABS($C30-$D30),1)=(BC30-BD30)/MAX(ABS(BC30-BD30),1),1,TRUE,0)</f>
        <v/>
      </c>
      <c r="BF30" s="18"/>
      <c r="BG30" s="19"/>
      <c r="BH30" s="33" t="str" cm="1">
        <f t="array" ref="BH30">_xlfn.IFS($D30="","",AND(BF30=$C30,BG30=$D30),3,($C30-$D30)/MAX(ABS($C30-$D30),1)=(BF30-BG30)/MAX(ABS(BF30-BG30),1),1,TRUE,0)</f>
        <v/>
      </c>
      <c r="BI30" s="18"/>
      <c r="BJ30" s="19"/>
      <c r="BK30" s="33" t="str" cm="1">
        <f t="array" ref="BK30">_xlfn.IFS($D30="","",AND(BI30=$C30,BJ30=$D30),3,($C30-$D30)/MAX(ABS($C30-$D30),1)=(BI30-BJ30)/MAX(ABS(BI30-BJ30),1),1,TRUE,0)</f>
        <v/>
      </c>
      <c r="BL30" s="18"/>
      <c r="BM30" s="19"/>
      <c r="BN30" s="33" t="str" cm="1">
        <f t="array" ref="BN30">_xlfn.IFS($D30="","",AND(BL30=$C30,BM30=$D30),3,($C30-$D30)/MAX(ABS($C30-$D30),1)=(BL30-BM30)/MAX(ABS(BL30-BM30),1),1,TRUE,0)</f>
        <v/>
      </c>
      <c r="BO30" s="18"/>
      <c r="BP30" s="19"/>
      <c r="BQ30" s="33" t="str" cm="1">
        <f t="array" ref="BQ30">_xlfn.IFS($D30="","",AND(BO30=$C30,BP30=$D30),3,($C30-$D30)/MAX(ABS($C30-$D30),1)=(BO30-BP30)/MAX(ABS(BO30-BP30),1),1,TRUE,0)</f>
        <v/>
      </c>
      <c r="BR30" s="18"/>
      <c r="BS30" s="19"/>
      <c r="BT30" s="33" t="str" cm="1">
        <f t="array" ref="BT30">_xlfn.IFS($D30="","",AND(BR30=$C30,BS30=$D30),3,($C30-$D30)/MAX(ABS($C30-$D30),1)=(BR30-BS30)/MAX(ABS(BR30-BS30),1),1,TRUE,0)</f>
        <v/>
      </c>
      <c r="BU30" s="18"/>
      <c r="BV30" s="19"/>
      <c r="BW30" s="33" t="str" cm="1">
        <f t="array" ref="BW30">_xlfn.IFS($D30="","",AND(BU30=$C30,BV30=$D30),3,($C30-$D30)/MAX(ABS($C30-$D30),1)=(BU30-BV30)/MAX(ABS(BU30-BV30),1),1,TRUE,0)</f>
        <v/>
      </c>
      <c r="BX30" s="18"/>
      <c r="BY30" s="19"/>
      <c r="BZ30" s="33" t="str" cm="1">
        <f t="array" ref="BZ30">_xlfn.IFS($D30="","",AND(BX30=$C30,BY30=$D30),3,($C30-$D30)/MAX(ABS($C30-$D30),1)=(BX30-BY30)/MAX(ABS(BX30-BY30),1),1,TRUE,0)</f>
        <v/>
      </c>
      <c r="CA30" s="18"/>
      <c r="CB30" s="19"/>
      <c r="CC30" s="33" t="str" cm="1">
        <f t="array" ref="CC30">_xlfn.IFS($D30="","",AND(CA30=$C30,CB30=$D30),3,($C30-$D30)/MAX(ABS($C30-$D30),1)=(CA30-CB30)/MAX(ABS(CA30-CB30),1),1,TRUE,0)</f>
        <v/>
      </c>
      <c r="CD30" s="18"/>
      <c r="CE30" s="19"/>
      <c r="CF30" s="33" t="str" cm="1">
        <f t="array" ref="CF30">_xlfn.IFS($D30="","",AND(CD30=$C30,CE30=$D30),3,($C30-$D30)/MAX(ABS($C30-$D30),1)=(CD30-CE30)/MAX(ABS(CD30-CE30),1),1,TRUE,0)</f>
        <v/>
      </c>
      <c r="CG30" s="18"/>
      <c r="CH30" s="19"/>
      <c r="CI30" s="33" t="str" cm="1">
        <f t="array" ref="CI30">_xlfn.IFS($D30="","",AND(CG30=$C30,CH30=$D30),3,($C30-$D30)/MAX(ABS($C30-$D30),1)=(CG30-CH30)/MAX(ABS(CG30-CH30),1),1,TRUE,0)</f>
        <v/>
      </c>
      <c r="CJ30" s="18"/>
      <c r="CK30" s="19"/>
      <c r="CL30" s="33" t="str" cm="1">
        <f t="array" ref="CL30">_xlfn.IFS($D30="","",AND(CJ30=$C30,CK30=$D30),3,($C30-$D30)/MAX(ABS($C30-$D30),1)=(CJ30-CK30)/MAX(ABS(CJ30-CK30),1),1,TRUE,0)</f>
        <v/>
      </c>
      <c r="CM30" s="18"/>
      <c r="CN30" s="19"/>
      <c r="CO30" s="33" t="str" cm="1">
        <f t="array" ref="CO30">_xlfn.IFS($D30="","",AND(CM30=$C30,CN30=$D30),3,($C30-$D30)/MAX(ABS($C30-$D30),1)=(CM30-CN30)/MAX(ABS(CM30-CN30),1),1,TRUE,0)</f>
        <v/>
      </c>
      <c r="CP30" s="18"/>
      <c r="CQ30" s="19"/>
      <c r="CR30" s="33" t="str" cm="1">
        <f t="array" ref="CR30">_xlfn.IFS($D30="","",AND(CP30=$C30,CQ30=$D30),3,($C30-$D30)/MAX(ABS($C30-$D30),1)=(CP30-CQ30)/MAX(ABS(CP30-CQ30),1),1,TRUE,0)</f>
        <v/>
      </c>
      <c r="CS30" s="18"/>
      <c r="CT30" s="19"/>
      <c r="CU30" s="33" t="str" cm="1">
        <f t="array" ref="CU30">_xlfn.IFS($D30="","",AND(CS30=$C30,CT30=$D30),3,($C30-$D30)/MAX(ABS($C30-$D30),1)=(CS30-CT30)/MAX(ABS(CS30-CT30),1),1,TRUE,0)</f>
        <v/>
      </c>
      <c r="CV30" s="18"/>
      <c r="CW30" s="19"/>
      <c r="CX30" s="33" t="str" cm="1">
        <f t="array" ref="CX30">_xlfn.IFS($D30="","",AND(CV30=$C30,CW30=$D30),3,($C30-$D30)/MAX(ABS($C30-$D30),1)=(CV30-CW30)/MAX(ABS(CV30-CW30),1),1,TRUE,0)</f>
        <v/>
      </c>
      <c r="CY30" s="18"/>
      <c r="CZ30" s="19"/>
      <c r="DA30" s="33" t="str" cm="1">
        <f t="array" ref="DA30">_xlfn.IFS($D30="","",AND(CY30=$C30,CZ30=$D30),3,($C30-$D30)/MAX(ABS($C30-$D30),1)=(CY30-CZ30)/MAX(ABS(CY30-CZ30),1),1,TRUE,0)</f>
        <v/>
      </c>
      <c r="DB30" s="37"/>
      <c r="DC30" s="38"/>
      <c r="DD30" s="33" t="str" cm="1">
        <f t="array" ref="DD30">_xlfn.IFS($D30="","",AND(DB30=$C30,DC30=$D30),3,($C30-$D30)/MAX(ABS($C30-$D30),1)=(DB30-DC30)/MAX(ABS(DB30-DC30),1),1,TRUE,0)</f>
        <v/>
      </c>
      <c r="DE30" s="18"/>
      <c r="DF30" s="19"/>
      <c r="DG30" s="33" t="str" cm="1">
        <f t="array" ref="DG30">_xlfn.IFS($D30="","",AND(DE30=$C30,DF30=$D30),3,($C30-$D30)/MAX(ABS($C30-$D30),1)=(DE30-DF30)/MAX(ABS(DE30-DF30),1),1,TRUE,0)</f>
        <v/>
      </c>
      <c r="DH30" s="18"/>
      <c r="DI30" s="19"/>
      <c r="DJ30" s="33" t="str" cm="1">
        <f t="array" ref="DJ30">_xlfn.IFS($D30="","",AND(DH30=$C30,DI30=$D30),3,($C30-$D30)/MAX(ABS($C30-$D30),1)=(DH30-DI30)/MAX(ABS(DH30-DI30),1),1,TRUE,0)</f>
        <v/>
      </c>
      <c r="DK30" s="18"/>
      <c r="DL30" s="19"/>
      <c r="DM30" s="33" t="str" cm="1">
        <f t="array" ref="DM30">_xlfn.IFS($D30="","",AND(DK30=$C30,DL30=$D30),3,($C30-$D30)/MAX(ABS($C30-$D30),1)=(DK30-DL30)/MAX(ABS(DK30-DL30),1),1,TRUE,0)</f>
        <v/>
      </c>
      <c r="DN30" s="18"/>
      <c r="DO30" s="19"/>
      <c r="DP30" s="33" t="str" cm="1">
        <f t="array" ref="DP30">_xlfn.IFS($D30="","",AND(DN30=$C30,DO30=$D30),3,($C30-$D30)/MAX(ABS($C30-$D30),1)=(DN30-DO30)/MAX(ABS(DN30-DO30),1),1,TRUE,0)</f>
        <v/>
      </c>
      <c r="DQ30" s="18"/>
      <c r="DR30" s="19"/>
      <c r="DS30" s="33" t="str" cm="1">
        <f t="array" ref="DS30">_xlfn.IFS($D30="","",AND(DQ30=$C30,DR30=$D30),3,($C30-$D30)/MAX(ABS($C30-$D30),1)=(DQ30-DR30)/MAX(ABS(DQ30-DR30),1),1,TRUE,0)</f>
        <v/>
      </c>
      <c r="DT30" s="18"/>
      <c r="DU30" s="19"/>
      <c r="DV30" s="33" t="str" cm="1">
        <f t="array" ref="DV30">_xlfn.IFS($D30="","",AND(DT30=$C30,DU30=$D30),3,($C30-$D30)/MAX(ABS($C30-$D30),1)=(DT30-DU30)/MAX(ABS(DT30-DU30),1),1,TRUE,0)</f>
        <v/>
      </c>
      <c r="DW30" s="18"/>
      <c r="DX30" s="19"/>
      <c r="DY30" s="33" t="str" cm="1">
        <f t="array" ref="DY30">_xlfn.IFS($D30="","",AND(DW30=$C30,DX30=$D30),3,($C30-$D30)/MAX(ABS($C30-$D30),1)=(DW30-DX30)/MAX(ABS(DW30-DX30),1),1,TRUE,0)</f>
        <v/>
      </c>
      <c r="DZ30" s="18"/>
      <c r="EA30" s="19"/>
      <c r="EB30" s="33" t="str" cm="1">
        <f t="array" ref="EB30">_xlfn.IFS($D30="","",AND(DZ30=$C30,EA30=$D30),3,($C30-$D30)/MAX(ABS($C30-$D30),1)=(DZ30-EA30)/MAX(ABS(DZ30-EA30),1),1,TRUE,0)</f>
        <v/>
      </c>
      <c r="EC30" s="18"/>
      <c r="ED30" s="19"/>
      <c r="EE30" s="33" t="str" cm="1">
        <f t="array" ref="EE30">_xlfn.IFS($D30="","",AND(EC30=$C30,ED30=$D30),3,($C30-$D30)/MAX(ABS($C30-$D30),1)=(EC30-ED30)/MAX(ABS(EC30-ED30),1),1,TRUE,0)</f>
        <v/>
      </c>
      <c r="EF30" s="18"/>
      <c r="EG30" s="19"/>
      <c r="EH30" s="33" t="str" cm="1">
        <f t="array" ref="EH30">_xlfn.IFS($D30="","",AND(EF30=$C30,EG30=$D30),3,($C30-$D30)/MAX(ABS($C30-$D30),1)=(EF30-EG30)/MAX(ABS(EF30-EG30),1),1,TRUE,0)</f>
        <v/>
      </c>
      <c r="EI30" s="43"/>
      <c r="EJ30" s="44"/>
      <c r="EK30" s="33" t="str" cm="1">
        <f t="array" ref="EK30">_xlfn.IFS($D30="","",AND(EI30=$C30,EJ30=$D30),3,($C30-$D30)/MAX(ABS($C30-$D30),1)=(EI30-EJ30)/MAX(ABS(EI30-EJ30),1),1,TRUE,0)</f>
        <v/>
      </c>
      <c r="EL30" s="18"/>
      <c r="EM30" s="19"/>
      <c r="EN30" s="33" t="str" cm="1">
        <f t="array" ref="EN30">_xlfn.IFS($D30="","",AND(EL30=$C30,EM30=$D30),3,($C30-$D30)/MAX(ABS($C30-$D30),1)=(EL30-EM30)/MAX(ABS(EL30-EM30),1),1,TRUE,0)</f>
        <v/>
      </c>
      <c r="EO30" s="18"/>
      <c r="EP30" s="19"/>
      <c r="EQ30" s="33" t="str" cm="1">
        <f t="array" ref="EQ30">_xlfn.IFS($D30="","",AND(EO30=$C30,EP30=$D30),3,($C30-$D30)/MAX(ABS($C30-$D30),1)=(EO30-EP30)/MAX(ABS(EO30-EP30),1),1,TRUE,0)</f>
        <v/>
      </c>
      <c r="ER30" s="18"/>
      <c r="ES30" s="19"/>
      <c r="ET30" s="33" t="str" cm="1">
        <f t="array" ref="ET30">_xlfn.IFS($D30="","",AND(ER30=$C30,ES30=$D30),3,($C30-$D30)/MAX(ABS($C30-$D30),1)=(ER30-ES30)/MAX(ABS(ER30-ES30),1),1,TRUE,0)</f>
        <v/>
      </c>
      <c r="EU30" s="18"/>
      <c r="EV30" s="19"/>
      <c r="EW30" s="33" t="str" cm="1">
        <f t="array" ref="EW30">_xlfn.IFS($D30="","",AND(EU30=$C30,EV30=$D30),3,($C30-$D30)/MAX(ABS($C30-$D30),1)=(EU30-EV30)/MAX(ABS(EU30-EV30),1),1,TRUE,0)</f>
        <v/>
      </c>
      <c r="EX30" s="18"/>
      <c r="EY30" s="19"/>
      <c r="EZ30" s="33" t="str" cm="1">
        <f t="array" ref="EZ30">_xlfn.IFS($D30="","",AND(EX30=$C30,EY30=$D30),3,($C30-$D30)/MAX(ABS($C30-$D30),1)=(EX30-EY30)/MAX(ABS(EX30-EY30),1),1,TRUE,0)</f>
        <v/>
      </c>
      <c r="FA30" s="18"/>
      <c r="FB30" s="19"/>
      <c r="FC30" s="33" t="str" cm="1">
        <f t="array" ref="FC30">_xlfn.IFS($D30="","",AND(FA30=$C30,FB30=$D30),3,($C30-$D30)/MAX(ABS($C30-$D30),1)=(FA30-FB30)/MAX(ABS(FA30-FB30),1),1,TRUE,0)</f>
        <v/>
      </c>
      <c r="FD30" s="18"/>
      <c r="FE30" s="19"/>
      <c r="FF30" s="33" t="str" cm="1">
        <f t="array" ref="FF30">_xlfn.IFS($D30="","",AND(FD30=$C30,FE30=$D30),3,($C30-$D30)/MAX(ABS($C30-$D30),1)=(FD30-FE30)/MAX(ABS(FD30-FE30),1),1,TRUE,0)</f>
        <v/>
      </c>
      <c r="FG30" s="18"/>
      <c r="FH30" s="19"/>
      <c r="FI30" s="33" t="str" cm="1">
        <f t="array" ref="FI30">_xlfn.IFS($D30="","",AND(FG30=$C30,FH30=$D30),3,($C30-$D30)/MAX(ABS($C30-$D30),1)=(FG30-FH30)/MAX(ABS(FG30-FH30),1),1,TRUE,0)</f>
        <v/>
      </c>
      <c r="FJ30" s="18"/>
      <c r="FK30" s="19"/>
      <c r="FL30" s="33" t="str" cm="1">
        <f t="array" ref="FL30">_xlfn.IFS($D30="","",AND(FJ30=$C30,FK30=$D30),3,($C30-$D30)/MAX(ABS($C30-$D30),1)=(FJ30-FK30)/MAX(ABS(FJ30-FK30),1),1,TRUE,0)</f>
        <v/>
      </c>
      <c r="FM30" s="18"/>
      <c r="FN30" s="19"/>
      <c r="FO30" s="33" t="str" cm="1">
        <f t="array" ref="FO30">_xlfn.IFS($D30="","",AND(FM30=$C30,FN30=$D30),3,($C30-$D30)/MAX(ABS($C30-$D30),1)=(FM30-FN30)/MAX(ABS(FM30-FN30),1),1,TRUE,0)</f>
        <v/>
      </c>
      <c r="FP30" s="18"/>
      <c r="FQ30" s="19"/>
      <c r="FR30" s="33" t="str" cm="1">
        <f t="array" ref="FR30">_xlfn.IFS($D30="","",AND(FP30=$C30,FQ30=$D30),3,($C30-$D30)/MAX(ABS($C30-$D30),1)=(FP30-FQ30)/MAX(ABS(FP30-FQ30),1),1,TRUE,0)</f>
        <v/>
      </c>
      <c r="FS30" s="18"/>
      <c r="FT30" s="19"/>
      <c r="FU30" s="33" t="str" cm="1">
        <f t="array" ref="FU30">_xlfn.IFS($D30="","",AND(FS30=$C30,FT30=$D30),3,($C30-$D30)/MAX(ABS($C30-$D30),1)=(FS30-FT30)/MAX(ABS(FS30-FT30),1),1,TRUE,0)</f>
        <v/>
      </c>
      <c r="FV30" s="18"/>
      <c r="FW30" s="19"/>
      <c r="FX30" s="33" t="str" cm="1">
        <f t="array" ref="FX30">_xlfn.IFS($D30="","",AND(FV30=$C30,FW30=$D30),3,($C30-$D30)/MAX(ABS($C30-$D30),1)=(FV30-FW30)/MAX(ABS(FV30-FW30),1),1,TRUE,0)</f>
        <v/>
      </c>
      <c r="FY30" s="18"/>
      <c r="FZ30" s="19"/>
      <c r="GA30" s="33" t="str" cm="1">
        <f t="array" ref="GA30">_xlfn.IFS($D30="","",AND(FY30=$C30,FZ30=$D30),3,($C30-$D30)/MAX(ABS($C30-$D30),1)=(FY30-FZ30)/MAX(ABS(FY30-FZ30),1),1,TRUE,0)</f>
        <v/>
      </c>
      <c r="GB30" s="18"/>
      <c r="GC30" s="19"/>
      <c r="GD30" s="33" t="str" cm="1">
        <f t="array" ref="GD30">_xlfn.IFS($D30="","",AND(GB30=$C30,GC30=$D30),3,($C30-$D30)/MAX(ABS($C30-$D30),1)=(GB30-GC30)/MAX(ABS(GB30-GC30),1),1,TRUE,0)</f>
        <v/>
      </c>
      <c r="GE30" s="47"/>
      <c r="GF30" s="45"/>
      <c r="GG30" s="33" t="str" cm="1">
        <f t="array" ref="GG30">_xlfn.IFS($D30="","",AND(GE30=$C30,GF30=$D30),3,($C30-$D30)/MAX(ABS($C30-$D30),1)=(GE30-GF30)/MAX(ABS(GE30-GF30),1),1,TRUE,0)</f>
        <v/>
      </c>
      <c r="GH30" s="18"/>
      <c r="GI30" s="19"/>
      <c r="GJ30" s="33" t="str" cm="1">
        <f t="array" ref="GJ30">_xlfn.IFS($D30="","",AND(GH30=$C30,GI30=$D30),3,($C30-$D30)/MAX(ABS($C30-$D30),1)=(GH30-GI30)/MAX(ABS(GH30-GI30),1),1,TRUE,0)</f>
        <v/>
      </c>
      <c r="GK30" s="18"/>
      <c r="GL30" s="19"/>
      <c r="GM30" s="33" t="str" cm="1">
        <f t="array" ref="GM30">_xlfn.IFS($D30="","",AND(GK30=$C30,GL30=$D30),3,($C30-$D30)/MAX(ABS($C30-$D30),1)=(GK30-GL30)/MAX(ABS(GK30-GL30),1),1,TRUE,0)</f>
        <v/>
      </c>
      <c r="GN30" s="18"/>
      <c r="GO30" s="19"/>
      <c r="GP30" s="33" t="str" cm="1">
        <f t="array" ref="GP30">_xlfn.IFS($D30="","",AND(GN30=$C30,GO30=$D30),3,($C30-$D30)/MAX(ABS($C30-$D30),1)=(GN30-GO30)/MAX(ABS(GN30-GO30),1),1,TRUE,0)</f>
        <v/>
      </c>
      <c r="GQ30" s="18"/>
      <c r="GR30" s="19"/>
      <c r="GS30" s="33" t="str" cm="1">
        <f t="array" ref="GS30">_xlfn.IFS($D30="","",AND(GQ30=$C30,GR30=$D30),3,($C30-$D30)/MAX(ABS($C30-$D30),1)=(GQ30-GR30)/MAX(ABS(GQ30-GR30),1),1,TRUE,0)</f>
        <v/>
      </c>
      <c r="GT30" s="18"/>
      <c r="GU30" s="19"/>
      <c r="GV30" s="33" t="str" cm="1">
        <f t="array" ref="GV30">_xlfn.IFS($D30="","",AND(GT30=$C30,GU30=$D30),3,($C30-$D30)/MAX(ABS($C30-$D30),1)=(GT30-GU30)/MAX(ABS(GT30-GU30),1),1,TRUE,0)</f>
        <v/>
      </c>
      <c r="GW30" s="18"/>
      <c r="GX30" s="19"/>
      <c r="GY30" s="33" t="str" cm="1">
        <f t="array" ref="GY30">_xlfn.IFS($D30="","",AND(GW30=$C30,GX30=$D30),3,($C30-$D30)/MAX(ABS($C30-$D30),1)=(GW30-GX30)/MAX(ABS(GW30-GX30),1),1,TRUE,0)</f>
        <v/>
      </c>
      <c r="GZ30" s="18"/>
      <c r="HA30" s="19"/>
      <c r="HB30" s="33" t="str" cm="1">
        <f t="array" ref="HB30">_xlfn.IFS($D30="","",AND(GZ30=$C30,HA30=$D30),3,($C30-$D30)/MAX(ABS($C30-$D30),1)=(GZ30-HA30)/MAX(ABS(GZ30-HA30),1),1,TRUE,0)</f>
        <v/>
      </c>
      <c r="HC30" s="18"/>
      <c r="HD30" s="19"/>
      <c r="HE30" s="33" t="str" cm="1">
        <f t="array" ref="HE30">_xlfn.IFS($D30="","",AND(HC30=$C30,HD30=$D30),3,($C30-$D30)/MAX(ABS($C30-$D30),1)=(HC30-HD30)/MAX(ABS(HC30-HD30),1),1,TRUE,0)</f>
        <v/>
      </c>
      <c r="HF30" s="18"/>
      <c r="HG30" s="19"/>
      <c r="HH30" s="33" t="str" cm="1">
        <f t="array" ref="HH30">_xlfn.IFS($D30="","",AND(HF30=$C30,HG30=$D30),3,($C30-$D30)/MAX(ABS($C30-$D30),1)=(HF30-HG30)/MAX(ABS(HF30-HG30),1),1,TRUE,0)</f>
        <v/>
      </c>
      <c r="HI30" s="18"/>
      <c r="HJ30" s="19"/>
      <c r="HK30" s="33" t="str" cm="1">
        <f t="array" ref="HK30">_xlfn.IFS($D30="","",AND(HI30=$C30,HJ30=$D30),3,($C30-$D30)/MAX(ABS($C30-$D30),1)=(HI30-HJ30)/MAX(ABS(HI30-HJ30),1),1,TRUE,0)</f>
        <v/>
      </c>
      <c r="HL30" s="18"/>
      <c r="HM30" s="19"/>
      <c r="HN30" s="33" t="str" cm="1">
        <f t="array" ref="HN30">_xlfn.IFS($D30="","",AND(HL30=$C30,HM30=$D30),3,($C30-$D30)/MAX(ABS($C30-$D30),1)=(HL30-HM30)/MAX(ABS(HL30-HM30),1),1,TRUE,0)</f>
        <v/>
      </c>
      <c r="HO30" s="18"/>
      <c r="HP30" s="19"/>
      <c r="HQ30" s="33" t="str" cm="1">
        <f t="array" ref="HQ30">_xlfn.IFS($D30="","",AND(HO30=$C30,HP30=$D30),3,($C30-$D30)/MAX(ABS($C30-$D30),1)=(HO30-HP30)/MAX(ABS(HO30-HP30),1),1,TRUE,0)</f>
        <v/>
      </c>
      <c r="HR30" s="18"/>
      <c r="HS30" s="19"/>
      <c r="HT30" s="33" t="str" cm="1">
        <f t="array" ref="HT30">_xlfn.IFS($D30="","",AND(HR30=$C30,HS30=$D30),3,($C30-$D30)/MAX(ABS($C30-$D30),1)=(HR30-HS30)/MAX(ABS(HR30-HS30),1),1,TRUE,0)</f>
        <v/>
      </c>
      <c r="HU30" s="18"/>
      <c r="HV30" s="19"/>
      <c r="HW30" s="33" t="str" cm="1">
        <f t="array" ref="HW30">_xlfn.IFS($D30="","",AND(HU30=$C30,HV30=$D30),3,($C30-$D30)/MAX(ABS($C30-$D30),1)=(HU30-HV30)/MAX(ABS(HU30-HV30),1),1,TRUE,0)</f>
        <v/>
      </c>
      <c r="HX30" s="18"/>
      <c r="HY30" s="19"/>
      <c r="HZ30" s="33" t="str" cm="1">
        <f t="array" ref="HZ30">_xlfn.IFS($D30="","",AND(HX30=$C30,HY30=$D30),3,($C30-$D30)/MAX(ABS($C30-$D30),1)=(HX30-HY30)/MAX(ABS(HX30-HY30),1),1,TRUE,0)</f>
        <v/>
      </c>
      <c r="IA30" s="18"/>
      <c r="IB30" s="19"/>
      <c r="IC30" s="33" t="str" cm="1">
        <f t="array" ref="IC30">_xlfn.IFS($D30="","",AND(IA30=$C30,IB30=$D30),3,($C30-$D30)/MAX(ABS($C30-$D30),1)=(IA30-IB30)/MAX(ABS(IA30-IB30),1),1,TRUE,0)</f>
        <v/>
      </c>
      <c r="ID30" s="18"/>
      <c r="IE30" s="19"/>
      <c r="IF30" s="33" t="str" cm="1">
        <f t="array" ref="IF30">_xlfn.IFS($D30="","",AND(ID30=$C30,IE30=$D30),3,($C30-$D30)/MAX(ABS($C30-$D30),1)=(ID30-IE30)/MAX(ABS(ID30-IE30),1),1,TRUE,0)</f>
        <v/>
      </c>
      <c r="IG30" s="18"/>
      <c r="IH30" s="19"/>
      <c r="II30" s="33" t="str" cm="1">
        <f t="array" ref="II30">_xlfn.IFS($D30="","",AND(IG30=$C30,IH30=$D30),3,($C30-$D30)/MAX(ABS($C30-$D30),1)=(IG30-IH30)/MAX(ABS(IG30-IH30),1),1,TRUE,0)</f>
        <v/>
      </c>
      <c r="IJ30" s="18"/>
      <c r="IK30" s="19"/>
      <c r="IL30" s="33" t="str" cm="1">
        <f t="array" ref="IL30">_xlfn.IFS($D30="","",AND(IJ30=$C30,IK30=$D30),3,($C30-$D30)/MAX(ABS($C30-$D30),1)=(IJ30-IK30)/MAX(ABS(IJ30-IK30),1),1,TRUE,0)</f>
        <v/>
      </c>
      <c r="IM30" s="18"/>
      <c r="IN30" s="19"/>
      <c r="IO30" s="33" t="str" cm="1">
        <f t="array" ref="IO30">_xlfn.IFS($D30="","",AND(IM30=$C30,IN30=$D30),3,($C30-$D30)/MAX(ABS($C30-$D30),1)=(IM30-IN30)/MAX(ABS(IM30-IN30),1),1,TRUE,0)</f>
        <v/>
      </c>
      <c r="IP30" s="18"/>
      <c r="IQ30" s="19"/>
      <c r="IR30" s="33" t="str" cm="1">
        <f t="array" ref="IR30">_xlfn.IFS($D30="","",AND(IP30=$C30,IQ30=$D30),3,($C30-$D30)/MAX(ABS($C30-$D30),1)=(IP30-IQ30)/MAX(ABS(IP30-IQ30),1),1,TRUE,0)</f>
        <v/>
      </c>
      <c r="IS30" s="18"/>
      <c r="IT30" s="19"/>
      <c r="IU30" s="33" t="str" cm="1">
        <f t="array" ref="IU30">_xlfn.IFS($D30="","",AND(IS30=$C30,IT30=$D30),3,($C30-$D30)/MAX(ABS($C30-$D30),1)=(IS30-IT30)/MAX(ABS(IS30-IT30),1),1,TRUE,0)</f>
        <v/>
      </c>
      <c r="IV30" s="18"/>
      <c r="IW30" s="19"/>
      <c r="IX30" s="33" t="str" cm="1">
        <f t="array" ref="IX30">_xlfn.IFS($D30="","",AND(IV30=$C30,IW30=$D30),3,($C30-$D30)/MAX(ABS($C30-$D30),1)=(IV30-IW30)/MAX(ABS(IV30-IW30),1),1,TRUE,0)</f>
        <v/>
      </c>
      <c r="IY30" s="18"/>
      <c r="IZ30" s="19"/>
      <c r="JA30" s="33" t="str" cm="1">
        <f t="array" ref="JA30">_xlfn.IFS($D30="","",AND(IY30=$C30,IZ30=$D30),3,($C30-$D30)/MAX(ABS($C30-$D30),1)=(IY30-IZ30)/MAX(ABS(IY30-IZ30),1),1,TRUE,0)</f>
        <v/>
      </c>
      <c r="JB30" s="18"/>
      <c r="JC30" s="19"/>
      <c r="JD30" s="33" t="str" cm="1">
        <f t="array" ref="JD30">_xlfn.IFS($D30="","",AND(JB30=$C30,JC30=$D30),3,($C30-$D30)/MAX(ABS($C30-$D30),1)=(JB30-JC30)/MAX(ABS(JB30-JC30),1),1,TRUE,0)</f>
        <v/>
      </c>
    </row>
    <row r="31" spans="1:264" ht="15" thickBot="1" x14ac:dyDescent="0.35">
      <c r="A31" s="22">
        <v>46192</v>
      </c>
      <c r="B31" s="28" t="s">
        <v>37</v>
      </c>
      <c r="C31" s="53" t="str" cm="1">
        <f t="array" ref="C31">_xlfn.LET(
_xlpm.x,_xlfn.XLOOKUP(1,(Scores_Fixtures[Date]=A31)*(Scores_Fixtures[Home.1]=B31),Scores_Fixtures[Score.1],""),
IF(_xlpm.x="","",_xlpm.x)
)</f>
        <v/>
      </c>
      <c r="D31" s="53" t="str" cm="1">
        <f t="array" ref="D31">_xlfn.LET(
_xlpm.x,_xlfn.XLOOKUP(1,(Scores_Fixtures[Date]=A31)*(Scores_Fixtures[Home.1]=B31),Scores_Fixtures[Score.2],""),
IF(_xlpm.x="","",_xlpm.x)
)</f>
        <v/>
      </c>
      <c r="E31" s="12" t="s">
        <v>41</v>
      </c>
      <c r="F31" s="15"/>
      <c r="G31" s="53"/>
      <c r="H31" s="53"/>
      <c r="I31" s="33" t="str" cm="1">
        <f t="array" ref="I31">_xlfn.IFS($D31="","",AND(G31=$C31,H31=$D31),3,($C31-$D31)/MAX(ABS($C31-$D31),1)=(G31-H31)/MAX(ABS(G31-H31),1),1,TRUE,0)</f>
        <v/>
      </c>
      <c r="J31" s="18"/>
      <c r="K31" s="19"/>
      <c r="L31" s="33" t="str" cm="1">
        <f t="array" ref="L31">_xlfn.IFS($D31="","",AND(J31=$C31,K31=$D31),3,($C31-$D31)/MAX(ABS($C31-$D31),1)=(J31-K31)/MAX(ABS(J31-K31),1),1,TRUE,0)</f>
        <v/>
      </c>
      <c r="M31" s="18"/>
      <c r="N31" s="19"/>
      <c r="O31" s="33" t="str" cm="1">
        <f t="array" ref="O31">_xlfn.IFS($D31="","",AND(M31=$C31,N31=$D31),3,($C31-$D31)/MAX(ABS($C31-$D31),1)=(M31-N31)/MAX(ABS(M31-N31),1),1,TRUE,0)</f>
        <v/>
      </c>
      <c r="P31" s="18"/>
      <c r="Q31" s="19"/>
      <c r="R31" s="33" t="str" cm="1">
        <f t="array" ref="R31">_xlfn.IFS($D31="","",AND(P31=$C31,Q31=$D31),3,($C31-$D31)/MAX(ABS($C31-$D31),1)=(P31-Q31)/MAX(ABS(P31-Q31),1),1,TRUE,0)</f>
        <v/>
      </c>
      <c r="S31" s="18"/>
      <c r="T31" s="19"/>
      <c r="U31" s="33" t="str" cm="1">
        <f t="array" ref="U31">_xlfn.IFS($D31="","",AND(S31=$C31,T31=$D31),3,($C31-$D31)/MAX(ABS($C31-$D31),1)=(S31-T31)/MAX(ABS(S31-T31),1),1,TRUE,0)</f>
        <v/>
      </c>
      <c r="V31" s="18"/>
      <c r="W31" s="19"/>
      <c r="X31" s="33" t="str" cm="1">
        <f t="array" ref="X31">_xlfn.IFS($D31="","",AND(V31=$C31,W31=$D31),3,($C31-$D31)/MAX(ABS($C31-$D31),1)=(V31-W31)/MAX(ABS(V31-W31),1),1,TRUE,0)</f>
        <v/>
      </c>
      <c r="Y31" s="18"/>
      <c r="Z31" s="19"/>
      <c r="AA31" s="33" t="str" cm="1">
        <f t="array" ref="AA31">_xlfn.IFS($D31="","",AND(Y31=$C31,Z31=$D31),3,($C31-$D31)/MAX(ABS($C31-$D31),1)=(Y31-Z31)/MAX(ABS(Y31-Z31),1),1,TRUE,0)</f>
        <v/>
      </c>
      <c r="AB31" s="18"/>
      <c r="AC31" s="19"/>
      <c r="AD31" s="33" t="str" cm="1">
        <f t="array" ref="AD31">_xlfn.IFS($D31="","",AND(AB31=$C31,AC31=$D31),3,($C31-$D31)/MAX(ABS($C31-$D31),1)=(AB31-AC31)/MAX(ABS(AB31-AC31),1),1,TRUE,0)</f>
        <v/>
      </c>
      <c r="AE31" s="18"/>
      <c r="AF31" s="19"/>
      <c r="AG31" s="33" t="str" cm="1">
        <f t="array" ref="AG31">_xlfn.IFS($D31="","",AND(AE31=$C31,AF31=$D31),3,($C31-$D31)/MAX(ABS($C31-$D31),1)=(AE31-AF31)/MAX(ABS(AE31-AF31),1),1,TRUE,0)</f>
        <v/>
      </c>
      <c r="AH31" s="18"/>
      <c r="AI31" s="19"/>
      <c r="AJ31" s="33" t="str" cm="1">
        <f t="array" ref="AJ31">_xlfn.IFS($D31="","",AND(AH31=$C31,AI31=$D31),3,($C31-$D31)/MAX(ABS($C31-$D31),1)=(AH31-AI31)/MAX(ABS(AH31-AI31),1),1,TRUE,0)</f>
        <v/>
      </c>
      <c r="AK31" s="18"/>
      <c r="AL31" s="19"/>
      <c r="AM31" s="33" t="str" cm="1">
        <f t="array" ref="AM31">_xlfn.IFS($D31="","",AND(AK31=$C31,AL31=$D31),3,($C31-$D31)/MAX(ABS($C31-$D31),1)=(AK31-AL31)/MAX(ABS(AK31-AL31),1),1,TRUE,0)</f>
        <v/>
      </c>
      <c r="AN31" s="18"/>
      <c r="AO31" s="19"/>
      <c r="AP31" s="33" t="str" cm="1">
        <f t="array" ref="AP31">_xlfn.IFS($D31="","",AND(AN31=$C31,AO31=$D31),3,($C31-$D31)/MAX(ABS($C31-$D31),1)=(AN31-AO31)/MAX(ABS(AN31-AO31),1),1,TRUE,0)</f>
        <v/>
      </c>
      <c r="AQ31" s="18"/>
      <c r="AR31" s="19"/>
      <c r="AS31" s="33" t="str" cm="1">
        <f t="array" ref="AS31">_xlfn.IFS($D31="","",AND(AQ31=$C31,AR31=$D31),3,($C31-$D31)/MAX(ABS($C31-$D31),1)=(AQ31-AR31)/MAX(ABS(AQ31-AR31),1),1,TRUE,0)</f>
        <v/>
      </c>
      <c r="AT31" s="18"/>
      <c r="AU31" s="19"/>
      <c r="AV31" s="33" t="str" cm="1">
        <f t="array" ref="AV31">_xlfn.IFS($D31="","",AND(AT31=$C31,AU31=$D31),3,($C31-$D31)/MAX(ABS($C31-$D31),1)=(AT31-AU31)/MAX(ABS(AT31-AU31),1),1,TRUE,0)</f>
        <v/>
      </c>
      <c r="AW31" s="18"/>
      <c r="AX31" s="19"/>
      <c r="AY31" s="33" t="str" cm="1">
        <f t="array" ref="AY31">_xlfn.IFS($D31="","",AND(AW31=$C31,AX31=$D31),3,($C31-$D31)/MAX(ABS($C31-$D31),1)=(AW31-AX31)/MAX(ABS(AW31-AX31),1),1,TRUE,0)</f>
        <v/>
      </c>
      <c r="AZ31" s="18"/>
      <c r="BA31" s="19"/>
      <c r="BB31" s="33" t="str" cm="1">
        <f t="array" ref="BB31">_xlfn.IFS($D31="","",AND(AZ31=$C31,BA31=$D31),3,($C31-$D31)/MAX(ABS($C31-$D31),1)=(AZ31-BA31)/MAX(ABS(AZ31-BA31),1),1,TRUE,0)</f>
        <v/>
      </c>
      <c r="BC31" s="18"/>
      <c r="BD31" s="19"/>
      <c r="BE31" s="33" t="str" cm="1">
        <f t="array" ref="BE31">_xlfn.IFS($D31="","",AND(BC31=$C31,BD31=$D31),3,($C31-$D31)/MAX(ABS($C31-$D31),1)=(BC31-BD31)/MAX(ABS(BC31-BD31),1),1,TRUE,0)</f>
        <v/>
      </c>
      <c r="BF31" s="18"/>
      <c r="BG31" s="19"/>
      <c r="BH31" s="33" t="str" cm="1">
        <f t="array" ref="BH31">_xlfn.IFS($D31="","",AND(BF31=$C31,BG31=$D31),3,($C31-$D31)/MAX(ABS($C31-$D31),1)=(BF31-BG31)/MAX(ABS(BF31-BG31),1),1,TRUE,0)</f>
        <v/>
      </c>
      <c r="BI31" s="18"/>
      <c r="BJ31" s="19"/>
      <c r="BK31" s="33" t="str" cm="1">
        <f t="array" ref="BK31">_xlfn.IFS($D31="","",AND(BI31=$C31,BJ31=$D31),3,($C31-$D31)/MAX(ABS($C31-$D31),1)=(BI31-BJ31)/MAX(ABS(BI31-BJ31),1),1,TRUE,0)</f>
        <v/>
      </c>
      <c r="BL31" s="18"/>
      <c r="BM31" s="19"/>
      <c r="BN31" s="33" t="str" cm="1">
        <f t="array" ref="BN31">_xlfn.IFS($D31="","",AND(BL31=$C31,BM31=$D31),3,($C31-$D31)/MAX(ABS($C31-$D31),1)=(BL31-BM31)/MAX(ABS(BL31-BM31),1),1,TRUE,0)</f>
        <v/>
      </c>
      <c r="BO31" s="18"/>
      <c r="BP31" s="19"/>
      <c r="BQ31" s="33" t="str" cm="1">
        <f t="array" ref="BQ31">_xlfn.IFS($D31="","",AND(BO31=$C31,BP31=$D31),3,($C31-$D31)/MAX(ABS($C31-$D31),1)=(BO31-BP31)/MAX(ABS(BO31-BP31),1),1,TRUE,0)</f>
        <v/>
      </c>
      <c r="BR31" s="18"/>
      <c r="BS31" s="19"/>
      <c r="BT31" s="33" t="str" cm="1">
        <f t="array" ref="BT31">_xlfn.IFS($D31="","",AND(BR31=$C31,BS31=$D31),3,($C31-$D31)/MAX(ABS($C31-$D31),1)=(BR31-BS31)/MAX(ABS(BR31-BS31),1),1,TRUE,0)</f>
        <v/>
      </c>
      <c r="BU31" s="18"/>
      <c r="BV31" s="19"/>
      <c r="BW31" s="33" t="str" cm="1">
        <f t="array" ref="BW31">_xlfn.IFS($D31="","",AND(BU31=$C31,BV31=$D31),3,($C31-$D31)/MAX(ABS($C31-$D31),1)=(BU31-BV31)/MAX(ABS(BU31-BV31),1),1,TRUE,0)</f>
        <v/>
      </c>
      <c r="BX31" s="18"/>
      <c r="BY31" s="19"/>
      <c r="BZ31" s="33" t="str" cm="1">
        <f t="array" ref="BZ31">_xlfn.IFS($D31="","",AND(BX31=$C31,BY31=$D31),3,($C31-$D31)/MAX(ABS($C31-$D31),1)=(BX31-BY31)/MAX(ABS(BX31-BY31),1),1,TRUE,0)</f>
        <v/>
      </c>
      <c r="CA31" s="18"/>
      <c r="CB31" s="19"/>
      <c r="CC31" s="33" t="str" cm="1">
        <f t="array" ref="CC31">_xlfn.IFS($D31="","",AND(CA31=$C31,CB31=$D31),3,($C31-$D31)/MAX(ABS($C31-$D31),1)=(CA31-CB31)/MAX(ABS(CA31-CB31),1),1,TRUE,0)</f>
        <v/>
      </c>
      <c r="CD31" s="18"/>
      <c r="CE31" s="19"/>
      <c r="CF31" s="33" t="str" cm="1">
        <f t="array" ref="CF31">_xlfn.IFS($D31="","",AND(CD31=$C31,CE31=$D31),3,($C31-$D31)/MAX(ABS($C31-$D31),1)=(CD31-CE31)/MAX(ABS(CD31-CE31),1),1,TRUE,0)</f>
        <v/>
      </c>
      <c r="CG31" s="18"/>
      <c r="CH31" s="19"/>
      <c r="CI31" s="33" t="str" cm="1">
        <f t="array" ref="CI31">_xlfn.IFS($D31="","",AND(CG31=$C31,CH31=$D31),3,($C31-$D31)/MAX(ABS($C31-$D31),1)=(CG31-CH31)/MAX(ABS(CG31-CH31),1),1,TRUE,0)</f>
        <v/>
      </c>
      <c r="CJ31" s="18"/>
      <c r="CK31" s="19"/>
      <c r="CL31" s="33" t="str" cm="1">
        <f t="array" ref="CL31">_xlfn.IFS($D31="","",AND(CJ31=$C31,CK31=$D31),3,($C31-$D31)/MAX(ABS($C31-$D31),1)=(CJ31-CK31)/MAX(ABS(CJ31-CK31),1),1,TRUE,0)</f>
        <v/>
      </c>
      <c r="CM31" s="18"/>
      <c r="CN31" s="19"/>
      <c r="CO31" s="33" t="str" cm="1">
        <f t="array" ref="CO31">_xlfn.IFS($D31="","",AND(CM31=$C31,CN31=$D31),3,($C31-$D31)/MAX(ABS($C31-$D31),1)=(CM31-CN31)/MAX(ABS(CM31-CN31),1),1,TRUE,0)</f>
        <v/>
      </c>
      <c r="CP31" s="18"/>
      <c r="CQ31" s="19"/>
      <c r="CR31" s="33" t="str" cm="1">
        <f t="array" ref="CR31">_xlfn.IFS($D31="","",AND(CP31=$C31,CQ31=$D31),3,($C31-$D31)/MAX(ABS($C31-$D31),1)=(CP31-CQ31)/MAX(ABS(CP31-CQ31),1),1,TRUE,0)</f>
        <v/>
      </c>
      <c r="CS31" s="18"/>
      <c r="CT31" s="19"/>
      <c r="CU31" s="33" t="str" cm="1">
        <f t="array" ref="CU31">_xlfn.IFS($D31="","",AND(CS31=$C31,CT31=$D31),3,($C31-$D31)/MAX(ABS($C31-$D31),1)=(CS31-CT31)/MAX(ABS(CS31-CT31),1),1,TRUE,0)</f>
        <v/>
      </c>
      <c r="CV31" s="18"/>
      <c r="CW31" s="19"/>
      <c r="CX31" s="33" t="str" cm="1">
        <f t="array" ref="CX31">_xlfn.IFS($D31="","",AND(CV31=$C31,CW31=$D31),3,($C31-$D31)/MAX(ABS($C31-$D31),1)=(CV31-CW31)/MAX(ABS(CV31-CW31),1),1,TRUE,0)</f>
        <v/>
      </c>
      <c r="CY31" s="18"/>
      <c r="CZ31" s="19"/>
      <c r="DA31" s="33" t="str" cm="1">
        <f t="array" ref="DA31">_xlfn.IFS($D31="","",AND(CY31=$C31,CZ31=$D31),3,($C31-$D31)/MAX(ABS($C31-$D31),1)=(CY31-CZ31)/MAX(ABS(CY31-CZ31),1),1,TRUE,0)</f>
        <v/>
      </c>
      <c r="DB31" s="37"/>
      <c r="DC31" s="38"/>
      <c r="DD31" s="33" t="str" cm="1">
        <f t="array" ref="DD31">_xlfn.IFS($D31="","",AND(DB31=$C31,DC31=$D31),3,($C31-$D31)/MAX(ABS($C31-$D31),1)=(DB31-DC31)/MAX(ABS(DB31-DC31),1),1,TRUE,0)</f>
        <v/>
      </c>
      <c r="DE31" s="18"/>
      <c r="DF31" s="19"/>
      <c r="DG31" s="33" t="str" cm="1">
        <f t="array" ref="DG31">_xlfn.IFS($D31="","",AND(DE31=$C31,DF31=$D31),3,($C31-$D31)/MAX(ABS($C31-$D31),1)=(DE31-DF31)/MAX(ABS(DE31-DF31),1),1,TRUE,0)</f>
        <v/>
      </c>
      <c r="DH31" s="18"/>
      <c r="DI31" s="19"/>
      <c r="DJ31" s="33" t="str" cm="1">
        <f t="array" ref="DJ31">_xlfn.IFS($D31="","",AND(DH31=$C31,DI31=$D31),3,($C31-$D31)/MAX(ABS($C31-$D31),1)=(DH31-DI31)/MAX(ABS(DH31-DI31),1),1,TRUE,0)</f>
        <v/>
      </c>
      <c r="DK31" s="18"/>
      <c r="DL31" s="19"/>
      <c r="DM31" s="33" t="str" cm="1">
        <f t="array" ref="DM31">_xlfn.IFS($D31="","",AND(DK31=$C31,DL31=$D31),3,($C31-$D31)/MAX(ABS($C31-$D31),1)=(DK31-DL31)/MAX(ABS(DK31-DL31),1),1,TRUE,0)</f>
        <v/>
      </c>
      <c r="DN31" s="18"/>
      <c r="DO31" s="19"/>
      <c r="DP31" s="33" t="str" cm="1">
        <f t="array" ref="DP31">_xlfn.IFS($D31="","",AND(DN31=$C31,DO31=$D31),3,($C31-$D31)/MAX(ABS($C31-$D31),1)=(DN31-DO31)/MAX(ABS(DN31-DO31),1),1,TRUE,0)</f>
        <v/>
      </c>
      <c r="DQ31" s="18"/>
      <c r="DR31" s="19"/>
      <c r="DS31" s="33" t="str" cm="1">
        <f t="array" ref="DS31">_xlfn.IFS($D31="","",AND(DQ31=$C31,DR31=$D31),3,($C31-$D31)/MAX(ABS($C31-$D31),1)=(DQ31-DR31)/MAX(ABS(DQ31-DR31),1),1,TRUE,0)</f>
        <v/>
      </c>
      <c r="DT31" s="18"/>
      <c r="DU31" s="19"/>
      <c r="DV31" s="33" t="str" cm="1">
        <f t="array" ref="DV31">_xlfn.IFS($D31="","",AND(DT31=$C31,DU31=$D31),3,($C31-$D31)/MAX(ABS($C31-$D31),1)=(DT31-DU31)/MAX(ABS(DT31-DU31),1),1,TRUE,0)</f>
        <v/>
      </c>
      <c r="DW31" s="18"/>
      <c r="DX31" s="19"/>
      <c r="DY31" s="33" t="str" cm="1">
        <f t="array" ref="DY31">_xlfn.IFS($D31="","",AND(DW31=$C31,DX31=$D31),3,($C31-$D31)/MAX(ABS($C31-$D31),1)=(DW31-DX31)/MAX(ABS(DW31-DX31),1),1,TRUE,0)</f>
        <v/>
      </c>
      <c r="DZ31" s="18"/>
      <c r="EA31" s="19"/>
      <c r="EB31" s="33" t="str" cm="1">
        <f t="array" ref="EB31">_xlfn.IFS($D31="","",AND(DZ31=$C31,EA31=$D31),3,($C31-$D31)/MAX(ABS($C31-$D31),1)=(DZ31-EA31)/MAX(ABS(DZ31-EA31),1),1,TRUE,0)</f>
        <v/>
      </c>
      <c r="EC31" s="18"/>
      <c r="ED31" s="19"/>
      <c r="EE31" s="33" t="str" cm="1">
        <f t="array" ref="EE31">_xlfn.IFS($D31="","",AND(EC31=$C31,ED31=$D31),3,($C31-$D31)/MAX(ABS($C31-$D31),1)=(EC31-ED31)/MAX(ABS(EC31-ED31),1),1,TRUE,0)</f>
        <v/>
      </c>
      <c r="EF31" s="18"/>
      <c r="EG31" s="19"/>
      <c r="EH31" s="33" t="str" cm="1">
        <f t="array" ref="EH31">_xlfn.IFS($D31="","",AND(EF31=$C31,EG31=$D31),3,($C31-$D31)/MAX(ABS($C31-$D31),1)=(EF31-EG31)/MAX(ABS(EF31-EG31),1),1,TRUE,0)</f>
        <v/>
      </c>
      <c r="EI31" s="43"/>
      <c r="EJ31" s="44"/>
      <c r="EK31" s="33" t="str" cm="1">
        <f t="array" ref="EK31">_xlfn.IFS($D31="","",AND(EI31=$C31,EJ31=$D31),3,($C31-$D31)/MAX(ABS($C31-$D31),1)=(EI31-EJ31)/MAX(ABS(EI31-EJ31),1),1,TRUE,0)</f>
        <v/>
      </c>
      <c r="EL31" s="18"/>
      <c r="EM31" s="19"/>
      <c r="EN31" s="33" t="str" cm="1">
        <f t="array" ref="EN31">_xlfn.IFS($D31="","",AND(EL31=$C31,EM31=$D31),3,($C31-$D31)/MAX(ABS($C31-$D31),1)=(EL31-EM31)/MAX(ABS(EL31-EM31),1),1,TRUE,0)</f>
        <v/>
      </c>
      <c r="EO31" s="18"/>
      <c r="EP31" s="19"/>
      <c r="EQ31" s="33" t="str" cm="1">
        <f t="array" ref="EQ31">_xlfn.IFS($D31="","",AND(EO31=$C31,EP31=$D31),3,($C31-$D31)/MAX(ABS($C31-$D31),1)=(EO31-EP31)/MAX(ABS(EO31-EP31),1),1,TRUE,0)</f>
        <v/>
      </c>
      <c r="ER31" s="18"/>
      <c r="ES31" s="19"/>
      <c r="ET31" s="33" t="str" cm="1">
        <f t="array" ref="ET31">_xlfn.IFS($D31="","",AND(ER31=$C31,ES31=$D31),3,($C31-$D31)/MAX(ABS($C31-$D31),1)=(ER31-ES31)/MAX(ABS(ER31-ES31),1),1,TRUE,0)</f>
        <v/>
      </c>
      <c r="EU31" s="18"/>
      <c r="EV31" s="19"/>
      <c r="EW31" s="33" t="str" cm="1">
        <f t="array" ref="EW31">_xlfn.IFS($D31="","",AND(EU31=$C31,EV31=$D31),3,($C31-$D31)/MAX(ABS($C31-$D31),1)=(EU31-EV31)/MAX(ABS(EU31-EV31),1),1,TRUE,0)</f>
        <v/>
      </c>
      <c r="EX31" s="18"/>
      <c r="EY31" s="19"/>
      <c r="EZ31" s="33" t="str" cm="1">
        <f t="array" ref="EZ31">_xlfn.IFS($D31="","",AND(EX31=$C31,EY31=$D31),3,($C31-$D31)/MAX(ABS($C31-$D31),1)=(EX31-EY31)/MAX(ABS(EX31-EY31),1),1,TRUE,0)</f>
        <v/>
      </c>
      <c r="FA31" s="18"/>
      <c r="FB31" s="19"/>
      <c r="FC31" s="33" t="str" cm="1">
        <f t="array" ref="FC31">_xlfn.IFS($D31="","",AND(FA31=$C31,FB31=$D31),3,($C31-$D31)/MAX(ABS($C31-$D31),1)=(FA31-FB31)/MAX(ABS(FA31-FB31),1),1,TRUE,0)</f>
        <v/>
      </c>
      <c r="FD31" s="18"/>
      <c r="FE31" s="19"/>
      <c r="FF31" s="33" t="str" cm="1">
        <f t="array" ref="FF31">_xlfn.IFS($D31="","",AND(FD31=$C31,FE31=$D31),3,($C31-$D31)/MAX(ABS($C31-$D31),1)=(FD31-FE31)/MAX(ABS(FD31-FE31),1),1,TRUE,0)</f>
        <v/>
      </c>
      <c r="FG31" s="18"/>
      <c r="FH31" s="19"/>
      <c r="FI31" s="33" t="str" cm="1">
        <f t="array" ref="FI31">_xlfn.IFS($D31="","",AND(FG31=$C31,FH31=$D31),3,($C31-$D31)/MAX(ABS($C31-$D31),1)=(FG31-FH31)/MAX(ABS(FG31-FH31),1),1,TRUE,0)</f>
        <v/>
      </c>
      <c r="FJ31" s="18"/>
      <c r="FK31" s="19"/>
      <c r="FL31" s="33" t="str" cm="1">
        <f t="array" ref="FL31">_xlfn.IFS($D31="","",AND(FJ31=$C31,FK31=$D31),3,($C31-$D31)/MAX(ABS($C31-$D31),1)=(FJ31-FK31)/MAX(ABS(FJ31-FK31),1),1,TRUE,0)</f>
        <v/>
      </c>
      <c r="FM31" s="18"/>
      <c r="FN31" s="19"/>
      <c r="FO31" s="33" t="str" cm="1">
        <f t="array" ref="FO31">_xlfn.IFS($D31="","",AND(FM31=$C31,FN31=$D31),3,($C31-$D31)/MAX(ABS($C31-$D31),1)=(FM31-FN31)/MAX(ABS(FM31-FN31),1),1,TRUE,0)</f>
        <v/>
      </c>
      <c r="FP31" s="18"/>
      <c r="FQ31" s="19"/>
      <c r="FR31" s="33" t="str" cm="1">
        <f t="array" ref="FR31">_xlfn.IFS($D31="","",AND(FP31=$C31,FQ31=$D31),3,($C31-$D31)/MAX(ABS($C31-$D31),1)=(FP31-FQ31)/MAX(ABS(FP31-FQ31),1),1,TRUE,0)</f>
        <v/>
      </c>
      <c r="FS31" s="18"/>
      <c r="FT31" s="19"/>
      <c r="FU31" s="33" t="str" cm="1">
        <f t="array" ref="FU31">_xlfn.IFS($D31="","",AND(FS31=$C31,FT31=$D31),3,($C31-$D31)/MAX(ABS($C31-$D31),1)=(FS31-FT31)/MAX(ABS(FS31-FT31),1),1,TRUE,0)</f>
        <v/>
      </c>
      <c r="FV31" s="18"/>
      <c r="FW31" s="19"/>
      <c r="FX31" s="33" t="str" cm="1">
        <f t="array" ref="FX31">_xlfn.IFS($D31="","",AND(FV31=$C31,FW31=$D31),3,($C31-$D31)/MAX(ABS($C31-$D31),1)=(FV31-FW31)/MAX(ABS(FV31-FW31),1),1,TRUE,0)</f>
        <v/>
      </c>
      <c r="FY31" s="18"/>
      <c r="FZ31" s="19"/>
      <c r="GA31" s="33" t="str" cm="1">
        <f t="array" ref="GA31">_xlfn.IFS($D31="","",AND(FY31=$C31,FZ31=$D31),3,($C31-$D31)/MAX(ABS($C31-$D31),1)=(FY31-FZ31)/MAX(ABS(FY31-FZ31),1),1,TRUE,0)</f>
        <v/>
      </c>
      <c r="GB31" s="18"/>
      <c r="GC31" s="19"/>
      <c r="GD31" s="33" t="str" cm="1">
        <f t="array" ref="GD31">_xlfn.IFS($D31="","",AND(GB31=$C31,GC31=$D31),3,($C31-$D31)/MAX(ABS($C31-$D31),1)=(GB31-GC31)/MAX(ABS(GB31-GC31),1),1,TRUE,0)</f>
        <v/>
      </c>
      <c r="GE31" s="47"/>
      <c r="GF31" s="45"/>
      <c r="GG31" s="33" t="str" cm="1">
        <f t="array" ref="GG31">_xlfn.IFS($D31="","",AND(GE31=$C31,GF31=$D31),3,($C31-$D31)/MAX(ABS($C31-$D31),1)=(GE31-GF31)/MAX(ABS(GE31-GF31),1),1,TRUE,0)</f>
        <v/>
      </c>
      <c r="GH31" s="18"/>
      <c r="GI31" s="19"/>
      <c r="GJ31" s="33" t="str" cm="1">
        <f t="array" ref="GJ31">_xlfn.IFS($D31="","",AND(GH31=$C31,GI31=$D31),3,($C31-$D31)/MAX(ABS($C31-$D31),1)=(GH31-GI31)/MAX(ABS(GH31-GI31),1),1,TRUE,0)</f>
        <v/>
      </c>
      <c r="GK31" s="18"/>
      <c r="GL31" s="19"/>
      <c r="GM31" s="33" t="str" cm="1">
        <f t="array" ref="GM31">_xlfn.IFS($D31="","",AND(GK31=$C31,GL31=$D31),3,($C31-$D31)/MAX(ABS($C31-$D31),1)=(GK31-GL31)/MAX(ABS(GK31-GL31),1),1,TRUE,0)</f>
        <v/>
      </c>
      <c r="GN31" s="18"/>
      <c r="GO31" s="19"/>
      <c r="GP31" s="33" t="str" cm="1">
        <f t="array" ref="GP31">_xlfn.IFS($D31="","",AND(GN31=$C31,GO31=$D31),3,($C31-$D31)/MAX(ABS($C31-$D31),1)=(GN31-GO31)/MAX(ABS(GN31-GO31),1),1,TRUE,0)</f>
        <v/>
      </c>
      <c r="GQ31" s="18"/>
      <c r="GR31" s="19"/>
      <c r="GS31" s="33" t="str" cm="1">
        <f t="array" ref="GS31">_xlfn.IFS($D31="","",AND(GQ31=$C31,GR31=$D31),3,($C31-$D31)/MAX(ABS($C31-$D31),1)=(GQ31-GR31)/MAX(ABS(GQ31-GR31),1),1,TRUE,0)</f>
        <v/>
      </c>
      <c r="GT31" s="18"/>
      <c r="GU31" s="19"/>
      <c r="GV31" s="33" t="str" cm="1">
        <f t="array" ref="GV31">_xlfn.IFS($D31="","",AND(GT31=$C31,GU31=$D31),3,($C31-$D31)/MAX(ABS($C31-$D31),1)=(GT31-GU31)/MAX(ABS(GT31-GU31),1),1,TRUE,0)</f>
        <v/>
      </c>
      <c r="GW31" s="18"/>
      <c r="GX31" s="19"/>
      <c r="GY31" s="33" t="str" cm="1">
        <f t="array" ref="GY31">_xlfn.IFS($D31="","",AND(GW31=$C31,GX31=$D31),3,($C31-$D31)/MAX(ABS($C31-$D31),1)=(GW31-GX31)/MAX(ABS(GW31-GX31),1),1,TRUE,0)</f>
        <v/>
      </c>
      <c r="GZ31" s="18"/>
      <c r="HA31" s="19"/>
      <c r="HB31" s="33" t="str" cm="1">
        <f t="array" ref="HB31">_xlfn.IFS($D31="","",AND(GZ31=$C31,HA31=$D31),3,($C31-$D31)/MAX(ABS($C31-$D31),1)=(GZ31-HA31)/MAX(ABS(GZ31-HA31),1),1,TRUE,0)</f>
        <v/>
      </c>
      <c r="HC31" s="18"/>
      <c r="HD31" s="14"/>
      <c r="HE31" s="33" t="str" cm="1">
        <f t="array" ref="HE31">_xlfn.IFS($D31="","",AND(HC31=$C31,HD31=$D31),3,($C31-$D31)/MAX(ABS($C31-$D31),1)=(HC31-HD31)/MAX(ABS(HC31-HD31),1),1,TRUE,0)</f>
        <v/>
      </c>
      <c r="HF31" s="18"/>
      <c r="HG31" s="19"/>
      <c r="HH31" s="33" t="str" cm="1">
        <f t="array" ref="HH31">_xlfn.IFS($D31="","",AND(HF31=$C31,HG31=$D31),3,($C31-$D31)/MAX(ABS($C31-$D31),1)=(HF31-HG31)/MAX(ABS(HF31-HG31),1),1,TRUE,0)</f>
        <v/>
      </c>
      <c r="HI31" s="18"/>
      <c r="HJ31" s="19"/>
      <c r="HK31" s="33" t="str" cm="1">
        <f t="array" ref="HK31">_xlfn.IFS($D31="","",AND(HI31=$C31,HJ31=$D31),3,($C31-$D31)/MAX(ABS($C31-$D31),1)=(HI31-HJ31)/MAX(ABS(HI31-HJ31),1),1,TRUE,0)</f>
        <v/>
      </c>
      <c r="HL31" s="18"/>
      <c r="HM31" s="19"/>
      <c r="HN31" s="33" t="str" cm="1">
        <f t="array" ref="HN31">_xlfn.IFS($D31="","",AND(HL31=$C31,HM31=$D31),3,($C31-$D31)/MAX(ABS($C31-$D31),1)=(HL31-HM31)/MAX(ABS(HL31-HM31),1),1,TRUE,0)</f>
        <v/>
      </c>
      <c r="HO31" s="18"/>
      <c r="HP31" s="19"/>
      <c r="HQ31" s="33" t="str" cm="1">
        <f t="array" ref="HQ31">_xlfn.IFS($D31="","",AND(HO31=$C31,HP31=$D31),3,($C31-$D31)/MAX(ABS($C31-$D31),1)=(HO31-HP31)/MAX(ABS(HO31-HP31),1),1,TRUE,0)</f>
        <v/>
      </c>
      <c r="HR31" s="18"/>
      <c r="HS31" s="19"/>
      <c r="HT31" s="33" t="str" cm="1">
        <f t="array" ref="HT31">_xlfn.IFS($D31="","",AND(HR31=$C31,HS31=$D31),3,($C31-$D31)/MAX(ABS($C31-$D31),1)=(HR31-HS31)/MAX(ABS(HR31-HS31),1),1,TRUE,0)</f>
        <v/>
      </c>
      <c r="HU31" s="18"/>
      <c r="HV31" s="19"/>
      <c r="HW31" s="33" t="str" cm="1">
        <f t="array" ref="HW31">_xlfn.IFS($D31="","",AND(HU31=$C31,HV31=$D31),3,($C31-$D31)/MAX(ABS($C31-$D31),1)=(HU31-HV31)/MAX(ABS(HU31-HV31),1),1,TRUE,0)</f>
        <v/>
      </c>
      <c r="HX31" s="18"/>
      <c r="HY31" s="19"/>
      <c r="HZ31" s="33" t="str" cm="1">
        <f t="array" ref="HZ31">_xlfn.IFS($D31="","",AND(HX31=$C31,HY31=$D31),3,($C31-$D31)/MAX(ABS($C31-$D31),1)=(HX31-HY31)/MAX(ABS(HX31-HY31),1),1,TRUE,0)</f>
        <v/>
      </c>
      <c r="IA31" s="18"/>
      <c r="IB31" s="19"/>
      <c r="IC31" s="33" t="str" cm="1">
        <f t="array" ref="IC31">_xlfn.IFS($D31="","",AND(IA31=$C31,IB31=$D31),3,($C31-$D31)/MAX(ABS($C31-$D31),1)=(IA31-IB31)/MAX(ABS(IA31-IB31),1),1,TRUE,0)</f>
        <v/>
      </c>
      <c r="ID31" s="18"/>
      <c r="IE31" s="19"/>
      <c r="IF31" s="33" t="str" cm="1">
        <f t="array" ref="IF31">_xlfn.IFS($D31="","",AND(ID31=$C31,IE31=$D31),3,($C31-$D31)/MAX(ABS($C31-$D31),1)=(ID31-IE31)/MAX(ABS(ID31-IE31),1),1,TRUE,0)</f>
        <v/>
      </c>
      <c r="IG31" s="18"/>
      <c r="IH31" s="19"/>
      <c r="II31" s="33" t="str" cm="1">
        <f t="array" ref="II31">_xlfn.IFS($D31="","",AND(IG31=$C31,IH31=$D31),3,($C31-$D31)/MAX(ABS($C31-$D31),1)=(IG31-IH31)/MAX(ABS(IG31-IH31),1),1,TRUE,0)</f>
        <v/>
      </c>
      <c r="IJ31" s="18"/>
      <c r="IK31" s="19"/>
      <c r="IL31" s="33" t="str" cm="1">
        <f t="array" ref="IL31">_xlfn.IFS($D31="","",AND(IJ31=$C31,IK31=$D31),3,($C31-$D31)/MAX(ABS($C31-$D31),1)=(IJ31-IK31)/MAX(ABS(IJ31-IK31),1),1,TRUE,0)</f>
        <v/>
      </c>
      <c r="IM31" s="18"/>
      <c r="IN31" s="19"/>
      <c r="IO31" s="33" t="str" cm="1">
        <f t="array" ref="IO31">_xlfn.IFS($D31="","",AND(IM31=$C31,IN31=$D31),3,($C31-$D31)/MAX(ABS($C31-$D31),1)=(IM31-IN31)/MAX(ABS(IM31-IN31),1),1,TRUE,0)</f>
        <v/>
      </c>
      <c r="IP31" s="18"/>
      <c r="IQ31" s="19"/>
      <c r="IR31" s="33" t="str" cm="1">
        <f t="array" ref="IR31">_xlfn.IFS($D31="","",AND(IP31=$C31,IQ31=$D31),3,($C31-$D31)/MAX(ABS($C31-$D31),1)=(IP31-IQ31)/MAX(ABS(IP31-IQ31),1),1,TRUE,0)</f>
        <v/>
      </c>
      <c r="IS31" s="18"/>
      <c r="IT31" s="19"/>
      <c r="IU31" s="33" t="str" cm="1">
        <f t="array" ref="IU31">_xlfn.IFS($D31="","",AND(IS31=$C31,IT31=$D31),3,($C31-$D31)/MAX(ABS($C31-$D31),1)=(IS31-IT31)/MAX(ABS(IS31-IT31),1),1,TRUE,0)</f>
        <v/>
      </c>
      <c r="IV31" s="18"/>
      <c r="IW31" s="19"/>
      <c r="IX31" s="33" t="str" cm="1">
        <f t="array" ref="IX31">_xlfn.IFS($D31="","",AND(IV31=$C31,IW31=$D31),3,($C31-$D31)/MAX(ABS($C31-$D31),1)=(IV31-IW31)/MAX(ABS(IV31-IW31),1),1,TRUE,0)</f>
        <v/>
      </c>
      <c r="IY31" s="18"/>
      <c r="IZ31" s="19"/>
      <c r="JA31" s="33" t="str" cm="1">
        <f t="array" ref="JA31">_xlfn.IFS($D31="","",AND(IY31=$C31,IZ31=$D31),3,($C31-$D31)/MAX(ABS($C31-$D31),1)=(IY31-IZ31)/MAX(ABS(IY31-IZ31),1),1,TRUE,0)</f>
        <v/>
      </c>
      <c r="JB31" s="18"/>
      <c r="JC31" s="19"/>
      <c r="JD31" s="33" t="str" cm="1">
        <f t="array" ref="JD31">_xlfn.IFS($D31="","",AND(JB31=$C31,JC31=$D31),3,($C31-$D31)/MAX(ABS($C31-$D31),1)=(JB31-JC31)/MAX(ABS(JB31-JC31),1),1,TRUE,0)</f>
        <v/>
      </c>
    </row>
    <row r="32" spans="1:264" ht="15" thickBot="1" x14ac:dyDescent="0.35">
      <c r="A32" s="22">
        <v>46193</v>
      </c>
      <c r="B32" s="28" t="s">
        <v>31</v>
      </c>
      <c r="C32" s="53" t="str" cm="1">
        <f t="array" ref="C32">_xlfn.LET(
_xlpm.x,_xlfn.XLOOKUP(1,(Scores_Fixtures[Date]=A32)*(Scores_Fixtures[Home.1]=B32),Scores_Fixtures[Score.1],""),
IF(_xlpm.x="","",_xlpm.x)
)</f>
        <v/>
      </c>
      <c r="D32" s="53" t="str" cm="1">
        <f t="array" ref="D32">_xlfn.LET(
_xlpm.x,_xlfn.XLOOKUP(1,(Scores_Fixtures[Date]=A32)*(Scores_Fixtures[Home.1]=B32),Scores_Fixtures[Score.2],""),
IF(_xlpm.x="","",_xlpm.x)
)</f>
        <v/>
      </c>
      <c r="E32" s="12" t="s">
        <v>60</v>
      </c>
      <c r="F32" s="15"/>
      <c r="G32" s="53"/>
      <c r="H32" s="53"/>
      <c r="I32" s="33" t="str" cm="1">
        <f t="array" ref="I32">_xlfn.IFS($D32="","",AND(G32=$C32,H32=$D32),3,($C32-$D32)/MAX(ABS($C32-$D32),1)=(G32-H32)/MAX(ABS(G32-H32),1),1,TRUE,0)</f>
        <v/>
      </c>
      <c r="J32" s="18"/>
      <c r="K32" s="19"/>
      <c r="L32" s="33" t="str" cm="1">
        <f t="array" ref="L32">_xlfn.IFS($D32="","",AND(J32=$C32,K32=$D32),3,($C32-$D32)/MAX(ABS($C32-$D32),1)=(J32-K32)/MAX(ABS(J32-K32),1),1,TRUE,0)</f>
        <v/>
      </c>
      <c r="M32" s="18"/>
      <c r="N32" s="19"/>
      <c r="O32" s="33" t="str" cm="1">
        <f t="array" ref="O32">_xlfn.IFS($D32="","",AND(M32=$C32,N32=$D32),3,($C32-$D32)/MAX(ABS($C32-$D32),1)=(M32-N32)/MAX(ABS(M32-N32),1),1,TRUE,0)</f>
        <v/>
      </c>
      <c r="P32" s="18"/>
      <c r="Q32" s="19"/>
      <c r="R32" s="33" t="str" cm="1">
        <f t="array" ref="R32">_xlfn.IFS($D32="","",AND(P32=$C32,Q32=$D32),3,($C32-$D32)/MAX(ABS($C32-$D32),1)=(P32-Q32)/MAX(ABS(P32-Q32),1),1,TRUE,0)</f>
        <v/>
      </c>
      <c r="S32" s="18"/>
      <c r="T32" s="19"/>
      <c r="U32" s="33" t="str" cm="1">
        <f t="array" ref="U32">_xlfn.IFS($D32="","",AND(S32=$C32,T32=$D32),3,($C32-$D32)/MAX(ABS($C32-$D32),1)=(S32-T32)/MAX(ABS(S32-T32),1),1,TRUE,0)</f>
        <v/>
      </c>
      <c r="V32" s="18"/>
      <c r="W32" s="19"/>
      <c r="X32" s="33" t="str" cm="1">
        <f t="array" ref="X32">_xlfn.IFS($D32="","",AND(V32=$C32,W32=$D32),3,($C32-$D32)/MAX(ABS($C32-$D32),1)=(V32-W32)/MAX(ABS(V32-W32),1),1,TRUE,0)</f>
        <v/>
      </c>
      <c r="Y32" s="18"/>
      <c r="Z32" s="19"/>
      <c r="AA32" s="33" t="str" cm="1">
        <f t="array" ref="AA32">_xlfn.IFS($D32="","",AND(Y32=$C32,Z32=$D32),3,($C32-$D32)/MAX(ABS($C32-$D32),1)=(Y32-Z32)/MAX(ABS(Y32-Z32),1),1,TRUE,0)</f>
        <v/>
      </c>
      <c r="AB32" s="18"/>
      <c r="AC32" s="19"/>
      <c r="AD32" s="33" t="str" cm="1">
        <f t="array" ref="AD32">_xlfn.IFS($D32="","",AND(AB32=$C32,AC32=$D32),3,($C32-$D32)/MAX(ABS($C32-$D32),1)=(AB32-AC32)/MAX(ABS(AB32-AC32),1),1,TRUE,0)</f>
        <v/>
      </c>
      <c r="AE32" s="18"/>
      <c r="AF32" s="19"/>
      <c r="AG32" s="33" t="str" cm="1">
        <f t="array" ref="AG32">_xlfn.IFS($D32="","",AND(AE32=$C32,AF32=$D32),3,($C32-$D32)/MAX(ABS($C32-$D32),1)=(AE32-AF32)/MAX(ABS(AE32-AF32),1),1,TRUE,0)</f>
        <v/>
      </c>
      <c r="AH32" s="18"/>
      <c r="AI32" s="19"/>
      <c r="AJ32" s="33" t="str" cm="1">
        <f t="array" ref="AJ32">_xlfn.IFS($D32="","",AND(AH32=$C32,AI32=$D32),3,($C32-$D32)/MAX(ABS($C32-$D32),1)=(AH32-AI32)/MAX(ABS(AH32-AI32),1),1,TRUE,0)</f>
        <v/>
      </c>
      <c r="AK32" s="18"/>
      <c r="AL32" s="19"/>
      <c r="AM32" s="33" t="str" cm="1">
        <f t="array" ref="AM32">_xlfn.IFS($D32="","",AND(AK32=$C32,AL32=$D32),3,($C32-$D32)/MAX(ABS($C32-$D32),1)=(AK32-AL32)/MAX(ABS(AK32-AL32),1),1,TRUE,0)</f>
        <v/>
      </c>
      <c r="AN32" s="18"/>
      <c r="AO32" s="19"/>
      <c r="AP32" s="33" t="str" cm="1">
        <f t="array" ref="AP32">_xlfn.IFS($D32="","",AND(AN32=$C32,AO32=$D32),3,($C32-$D32)/MAX(ABS($C32-$D32),1)=(AN32-AO32)/MAX(ABS(AN32-AO32),1),1,TRUE,0)</f>
        <v/>
      </c>
      <c r="AQ32" s="18"/>
      <c r="AR32" s="19"/>
      <c r="AS32" s="33" t="str" cm="1">
        <f t="array" ref="AS32">_xlfn.IFS($D32="","",AND(AQ32=$C32,AR32=$D32),3,($C32-$D32)/MAX(ABS($C32-$D32),1)=(AQ32-AR32)/MAX(ABS(AQ32-AR32),1),1,TRUE,0)</f>
        <v/>
      </c>
      <c r="AT32" s="18"/>
      <c r="AU32" s="19"/>
      <c r="AV32" s="33" t="str" cm="1">
        <f t="array" ref="AV32">_xlfn.IFS($D32="","",AND(AT32=$C32,AU32=$D32),3,($C32-$D32)/MAX(ABS($C32-$D32),1)=(AT32-AU32)/MAX(ABS(AT32-AU32),1),1,TRUE,0)</f>
        <v/>
      </c>
      <c r="AW32" s="18"/>
      <c r="AX32" s="19"/>
      <c r="AY32" s="33" t="str" cm="1">
        <f t="array" ref="AY32">_xlfn.IFS($D32="","",AND(AW32=$C32,AX32=$D32),3,($C32-$D32)/MAX(ABS($C32-$D32),1)=(AW32-AX32)/MAX(ABS(AW32-AX32),1),1,TRUE,0)</f>
        <v/>
      </c>
      <c r="AZ32" s="18"/>
      <c r="BA32" s="19"/>
      <c r="BB32" s="33" t="str" cm="1">
        <f t="array" ref="BB32">_xlfn.IFS($D32="","",AND(AZ32=$C32,BA32=$D32),3,($C32-$D32)/MAX(ABS($C32-$D32),1)=(AZ32-BA32)/MAX(ABS(AZ32-BA32),1),1,TRUE,0)</f>
        <v/>
      </c>
      <c r="BC32" s="18"/>
      <c r="BD32" s="19"/>
      <c r="BE32" s="33" t="str" cm="1">
        <f t="array" ref="BE32">_xlfn.IFS($D32="","",AND(BC32=$C32,BD32=$D32),3,($C32-$D32)/MAX(ABS($C32-$D32),1)=(BC32-BD32)/MAX(ABS(BC32-BD32),1),1,TRUE,0)</f>
        <v/>
      </c>
      <c r="BF32" s="18"/>
      <c r="BG32" s="19"/>
      <c r="BH32" s="33" t="str" cm="1">
        <f t="array" ref="BH32">_xlfn.IFS($D32="","",AND(BF32=$C32,BG32=$D32),3,($C32-$D32)/MAX(ABS($C32-$D32),1)=(BF32-BG32)/MAX(ABS(BF32-BG32),1),1,TRUE,0)</f>
        <v/>
      </c>
      <c r="BI32" s="18"/>
      <c r="BJ32" s="19"/>
      <c r="BK32" s="33" t="str" cm="1">
        <f t="array" ref="BK32">_xlfn.IFS($D32="","",AND(BI32=$C32,BJ32=$D32),3,($C32-$D32)/MAX(ABS($C32-$D32),1)=(BI32-BJ32)/MAX(ABS(BI32-BJ32),1),1,TRUE,0)</f>
        <v/>
      </c>
      <c r="BL32" s="18"/>
      <c r="BM32" s="19"/>
      <c r="BN32" s="33" t="str" cm="1">
        <f t="array" ref="BN32">_xlfn.IFS($D32="","",AND(BL32=$C32,BM32=$D32),3,($C32-$D32)/MAX(ABS($C32-$D32),1)=(BL32-BM32)/MAX(ABS(BL32-BM32),1),1,TRUE,0)</f>
        <v/>
      </c>
      <c r="BO32" s="18"/>
      <c r="BP32" s="19"/>
      <c r="BQ32" s="33" t="str" cm="1">
        <f t="array" ref="BQ32">_xlfn.IFS($D32="","",AND(BO32=$C32,BP32=$D32),3,($C32-$D32)/MAX(ABS($C32-$D32),1)=(BO32-BP32)/MAX(ABS(BO32-BP32),1),1,TRUE,0)</f>
        <v/>
      </c>
      <c r="BR32" s="18"/>
      <c r="BS32" s="19"/>
      <c r="BT32" s="33" t="str" cm="1">
        <f t="array" ref="BT32">_xlfn.IFS($D32="","",AND(BR32=$C32,BS32=$D32),3,($C32-$D32)/MAX(ABS($C32-$D32),1)=(BR32-BS32)/MAX(ABS(BR32-BS32),1),1,TRUE,0)</f>
        <v/>
      </c>
      <c r="BU32" s="18"/>
      <c r="BV32" s="19"/>
      <c r="BW32" s="33" t="str" cm="1">
        <f t="array" ref="BW32">_xlfn.IFS($D32="","",AND(BU32=$C32,BV32=$D32),3,($C32-$D32)/MAX(ABS($C32-$D32),1)=(BU32-BV32)/MAX(ABS(BU32-BV32),1),1,TRUE,0)</f>
        <v/>
      </c>
      <c r="BX32" s="18"/>
      <c r="BY32" s="19"/>
      <c r="BZ32" s="33" t="str" cm="1">
        <f t="array" ref="BZ32">_xlfn.IFS($D32="","",AND(BX32=$C32,BY32=$D32),3,($C32-$D32)/MAX(ABS($C32-$D32),1)=(BX32-BY32)/MAX(ABS(BX32-BY32),1),1,TRUE,0)</f>
        <v/>
      </c>
      <c r="CA32" s="18"/>
      <c r="CB32" s="19"/>
      <c r="CC32" s="33" t="str" cm="1">
        <f t="array" ref="CC32">_xlfn.IFS($D32="","",AND(CA32=$C32,CB32=$D32),3,($C32-$D32)/MAX(ABS($C32-$D32),1)=(CA32-CB32)/MAX(ABS(CA32-CB32),1),1,TRUE,0)</f>
        <v/>
      </c>
      <c r="CD32" s="18"/>
      <c r="CE32" s="19"/>
      <c r="CF32" s="33" t="str" cm="1">
        <f t="array" ref="CF32">_xlfn.IFS($D32="","",AND(CD32=$C32,CE32=$D32),3,($C32-$D32)/MAX(ABS($C32-$D32),1)=(CD32-CE32)/MAX(ABS(CD32-CE32),1),1,TRUE,0)</f>
        <v/>
      </c>
      <c r="CG32" s="18"/>
      <c r="CH32" s="19"/>
      <c r="CI32" s="33" t="str" cm="1">
        <f t="array" ref="CI32">_xlfn.IFS($D32="","",AND(CG32=$C32,CH32=$D32),3,($C32-$D32)/MAX(ABS($C32-$D32),1)=(CG32-CH32)/MAX(ABS(CG32-CH32),1),1,TRUE,0)</f>
        <v/>
      </c>
      <c r="CJ32" s="18"/>
      <c r="CK32" s="19"/>
      <c r="CL32" s="33" t="str" cm="1">
        <f t="array" ref="CL32">_xlfn.IFS($D32="","",AND(CJ32=$C32,CK32=$D32),3,($C32-$D32)/MAX(ABS($C32-$D32),1)=(CJ32-CK32)/MAX(ABS(CJ32-CK32),1),1,TRUE,0)</f>
        <v/>
      </c>
      <c r="CM32" s="18"/>
      <c r="CN32" s="19"/>
      <c r="CO32" s="33" t="str" cm="1">
        <f t="array" ref="CO32">_xlfn.IFS($D32="","",AND(CM32=$C32,CN32=$D32),3,($C32-$D32)/MAX(ABS($C32-$D32),1)=(CM32-CN32)/MAX(ABS(CM32-CN32),1),1,TRUE,0)</f>
        <v/>
      </c>
      <c r="CP32" s="18"/>
      <c r="CQ32" s="19"/>
      <c r="CR32" s="33" t="str" cm="1">
        <f t="array" ref="CR32">_xlfn.IFS($D32="","",AND(CP32=$C32,CQ32=$D32),3,($C32-$D32)/MAX(ABS($C32-$D32),1)=(CP32-CQ32)/MAX(ABS(CP32-CQ32),1),1,TRUE,0)</f>
        <v/>
      </c>
      <c r="CS32" s="18"/>
      <c r="CT32" s="19"/>
      <c r="CU32" s="33" t="str" cm="1">
        <f t="array" ref="CU32">_xlfn.IFS($D32="","",AND(CS32=$C32,CT32=$D32),3,($C32-$D32)/MAX(ABS($C32-$D32),1)=(CS32-CT32)/MAX(ABS(CS32-CT32),1),1,TRUE,0)</f>
        <v/>
      </c>
      <c r="CV32" s="18"/>
      <c r="CW32" s="19"/>
      <c r="CX32" s="33" t="str" cm="1">
        <f t="array" ref="CX32">_xlfn.IFS($D32="","",AND(CV32=$C32,CW32=$D32),3,($C32-$D32)/MAX(ABS($C32-$D32),1)=(CV32-CW32)/MAX(ABS(CV32-CW32),1),1,TRUE,0)</f>
        <v/>
      </c>
      <c r="CY32" s="18"/>
      <c r="CZ32" s="19"/>
      <c r="DA32" s="33" t="str" cm="1">
        <f t="array" ref="DA32">_xlfn.IFS($D32="","",AND(CY32=$C32,CZ32=$D32),3,($C32-$D32)/MAX(ABS($C32-$D32),1)=(CY32-CZ32)/MAX(ABS(CY32-CZ32),1),1,TRUE,0)</f>
        <v/>
      </c>
      <c r="DB32" s="37"/>
      <c r="DC32" s="38"/>
      <c r="DD32" s="33" t="str" cm="1">
        <f t="array" ref="DD32">_xlfn.IFS($D32="","",AND(DB32=$C32,DC32=$D32),3,($C32-$D32)/MAX(ABS($C32-$D32),1)=(DB32-DC32)/MAX(ABS(DB32-DC32),1),1,TRUE,0)</f>
        <v/>
      </c>
      <c r="DE32" s="18"/>
      <c r="DF32" s="19"/>
      <c r="DG32" s="33" t="str" cm="1">
        <f t="array" ref="DG32">_xlfn.IFS($D32="","",AND(DE32=$C32,DF32=$D32),3,($C32-$D32)/MAX(ABS($C32-$D32),1)=(DE32-DF32)/MAX(ABS(DE32-DF32),1),1,TRUE,0)</f>
        <v/>
      </c>
      <c r="DH32" s="18"/>
      <c r="DI32" s="19"/>
      <c r="DJ32" s="33" t="str" cm="1">
        <f t="array" ref="DJ32">_xlfn.IFS($D32="","",AND(DH32=$C32,DI32=$D32),3,($C32-$D32)/MAX(ABS($C32-$D32),1)=(DH32-DI32)/MAX(ABS(DH32-DI32),1),1,TRUE,0)</f>
        <v/>
      </c>
      <c r="DK32" s="18"/>
      <c r="DL32" s="19"/>
      <c r="DM32" s="33" t="str" cm="1">
        <f t="array" ref="DM32">_xlfn.IFS($D32="","",AND(DK32=$C32,DL32=$D32),3,($C32-$D32)/MAX(ABS($C32-$D32),1)=(DK32-DL32)/MAX(ABS(DK32-DL32),1),1,TRUE,0)</f>
        <v/>
      </c>
      <c r="DN32" s="18"/>
      <c r="DO32" s="19"/>
      <c r="DP32" s="33" t="str" cm="1">
        <f t="array" ref="DP32">_xlfn.IFS($D32="","",AND(DN32=$C32,DO32=$D32),3,($C32-$D32)/MAX(ABS($C32-$D32),1)=(DN32-DO32)/MAX(ABS(DN32-DO32),1),1,TRUE,0)</f>
        <v/>
      </c>
      <c r="DQ32" s="18"/>
      <c r="DR32" s="19"/>
      <c r="DS32" s="33" t="str" cm="1">
        <f t="array" ref="DS32">_xlfn.IFS($D32="","",AND(DQ32=$C32,DR32=$D32),3,($C32-$D32)/MAX(ABS($C32-$D32),1)=(DQ32-DR32)/MAX(ABS(DQ32-DR32),1),1,TRUE,0)</f>
        <v/>
      </c>
      <c r="DT32" s="18"/>
      <c r="DU32" s="19"/>
      <c r="DV32" s="33" t="str" cm="1">
        <f t="array" ref="DV32">_xlfn.IFS($D32="","",AND(DT32=$C32,DU32=$D32),3,($C32-$D32)/MAX(ABS($C32-$D32),1)=(DT32-DU32)/MAX(ABS(DT32-DU32),1),1,TRUE,0)</f>
        <v/>
      </c>
      <c r="DW32" s="18"/>
      <c r="DX32" s="19"/>
      <c r="DY32" s="33" t="str" cm="1">
        <f t="array" ref="DY32">_xlfn.IFS($D32="","",AND(DW32=$C32,DX32=$D32),3,($C32-$D32)/MAX(ABS($C32-$D32),1)=(DW32-DX32)/MAX(ABS(DW32-DX32),1),1,TRUE,0)</f>
        <v/>
      </c>
      <c r="DZ32" s="18"/>
      <c r="EA32" s="19"/>
      <c r="EB32" s="33" t="str" cm="1">
        <f t="array" ref="EB32">_xlfn.IFS($D32="","",AND(DZ32=$C32,EA32=$D32),3,($C32-$D32)/MAX(ABS($C32-$D32),1)=(DZ32-EA32)/MAX(ABS(DZ32-EA32),1),1,TRUE,0)</f>
        <v/>
      </c>
      <c r="EC32" s="18"/>
      <c r="ED32" s="19"/>
      <c r="EE32" s="33" t="str" cm="1">
        <f t="array" ref="EE32">_xlfn.IFS($D32="","",AND(EC32=$C32,ED32=$D32),3,($C32-$D32)/MAX(ABS($C32-$D32),1)=(EC32-ED32)/MAX(ABS(EC32-ED32),1),1,TRUE,0)</f>
        <v/>
      </c>
      <c r="EF32" s="18"/>
      <c r="EG32" s="19"/>
      <c r="EH32" s="33" t="str" cm="1">
        <f t="array" ref="EH32">_xlfn.IFS($D32="","",AND(EF32=$C32,EG32=$D32),3,($C32-$D32)/MAX(ABS($C32-$D32),1)=(EF32-EG32)/MAX(ABS(EF32-EG32),1),1,TRUE,0)</f>
        <v/>
      </c>
      <c r="EI32" s="43"/>
      <c r="EJ32" s="44"/>
      <c r="EK32" s="33" t="str" cm="1">
        <f t="array" ref="EK32">_xlfn.IFS($D32="","",AND(EI32=$C32,EJ32=$D32),3,($C32-$D32)/MAX(ABS($C32-$D32),1)=(EI32-EJ32)/MAX(ABS(EI32-EJ32),1),1,TRUE,0)</f>
        <v/>
      </c>
      <c r="EL32" s="18"/>
      <c r="EM32" s="19"/>
      <c r="EN32" s="33" t="str" cm="1">
        <f t="array" ref="EN32">_xlfn.IFS($D32="","",AND(EL32=$C32,EM32=$D32),3,($C32-$D32)/MAX(ABS($C32-$D32),1)=(EL32-EM32)/MAX(ABS(EL32-EM32),1),1,TRUE,0)</f>
        <v/>
      </c>
      <c r="EO32" s="18"/>
      <c r="EP32" s="19"/>
      <c r="EQ32" s="33" t="str" cm="1">
        <f t="array" ref="EQ32">_xlfn.IFS($D32="","",AND(EO32=$C32,EP32=$D32),3,($C32-$D32)/MAX(ABS($C32-$D32),1)=(EO32-EP32)/MAX(ABS(EO32-EP32),1),1,TRUE,0)</f>
        <v/>
      </c>
      <c r="ER32" s="18"/>
      <c r="ES32" s="19"/>
      <c r="ET32" s="33" t="str" cm="1">
        <f t="array" ref="ET32">_xlfn.IFS($D32="","",AND(ER32=$C32,ES32=$D32),3,($C32-$D32)/MAX(ABS($C32-$D32),1)=(ER32-ES32)/MAX(ABS(ER32-ES32),1),1,TRUE,0)</f>
        <v/>
      </c>
      <c r="EU32" s="18"/>
      <c r="EV32" s="19"/>
      <c r="EW32" s="33" t="str" cm="1">
        <f t="array" ref="EW32">_xlfn.IFS($D32="","",AND(EU32=$C32,EV32=$D32),3,($C32-$D32)/MAX(ABS($C32-$D32),1)=(EU32-EV32)/MAX(ABS(EU32-EV32),1),1,TRUE,0)</f>
        <v/>
      </c>
      <c r="EX32" s="18"/>
      <c r="EY32" s="19"/>
      <c r="EZ32" s="33" t="str" cm="1">
        <f t="array" ref="EZ32">_xlfn.IFS($D32="","",AND(EX32=$C32,EY32=$D32),3,($C32-$D32)/MAX(ABS($C32-$D32),1)=(EX32-EY32)/MAX(ABS(EX32-EY32),1),1,TRUE,0)</f>
        <v/>
      </c>
      <c r="FA32" s="18"/>
      <c r="FB32" s="19"/>
      <c r="FC32" s="33" t="str" cm="1">
        <f t="array" ref="FC32">_xlfn.IFS($D32="","",AND(FA32=$C32,FB32=$D32),3,($C32-$D32)/MAX(ABS($C32-$D32),1)=(FA32-FB32)/MAX(ABS(FA32-FB32),1),1,TRUE,0)</f>
        <v/>
      </c>
      <c r="FD32" s="18"/>
      <c r="FE32" s="19"/>
      <c r="FF32" s="33" t="str" cm="1">
        <f t="array" ref="FF32">_xlfn.IFS($D32="","",AND(FD32=$C32,FE32=$D32),3,($C32-$D32)/MAX(ABS($C32-$D32),1)=(FD32-FE32)/MAX(ABS(FD32-FE32),1),1,TRUE,0)</f>
        <v/>
      </c>
      <c r="FG32" s="18"/>
      <c r="FH32" s="19"/>
      <c r="FI32" s="33" t="str" cm="1">
        <f t="array" ref="FI32">_xlfn.IFS($D32="","",AND(FG32=$C32,FH32=$D32),3,($C32-$D32)/MAX(ABS($C32-$D32),1)=(FG32-FH32)/MAX(ABS(FG32-FH32),1),1,TRUE,0)</f>
        <v/>
      </c>
      <c r="FJ32" s="18"/>
      <c r="FK32" s="19"/>
      <c r="FL32" s="33" t="str" cm="1">
        <f t="array" ref="FL32">_xlfn.IFS($D32="","",AND(FJ32=$C32,FK32=$D32),3,($C32-$D32)/MAX(ABS($C32-$D32),1)=(FJ32-FK32)/MAX(ABS(FJ32-FK32),1),1,TRUE,0)</f>
        <v/>
      </c>
      <c r="FM32" s="18"/>
      <c r="FN32" s="19"/>
      <c r="FO32" s="33" t="str" cm="1">
        <f t="array" ref="FO32">_xlfn.IFS($D32="","",AND(FM32=$C32,FN32=$D32),3,($C32-$D32)/MAX(ABS($C32-$D32),1)=(FM32-FN32)/MAX(ABS(FM32-FN32),1),1,TRUE,0)</f>
        <v/>
      </c>
      <c r="FP32" s="18"/>
      <c r="FQ32" s="19"/>
      <c r="FR32" s="33" t="str" cm="1">
        <f t="array" ref="FR32">_xlfn.IFS($D32="","",AND(FP32=$C32,FQ32=$D32),3,($C32-$D32)/MAX(ABS($C32-$D32),1)=(FP32-FQ32)/MAX(ABS(FP32-FQ32),1),1,TRUE,0)</f>
        <v/>
      </c>
      <c r="FS32" s="18"/>
      <c r="FT32" s="19"/>
      <c r="FU32" s="33" t="str" cm="1">
        <f t="array" ref="FU32">_xlfn.IFS($D32="","",AND(FS32=$C32,FT32=$D32),3,($C32-$D32)/MAX(ABS($C32-$D32),1)=(FS32-FT32)/MAX(ABS(FS32-FT32),1),1,TRUE,0)</f>
        <v/>
      </c>
      <c r="FV32" s="18"/>
      <c r="FW32" s="19"/>
      <c r="FX32" s="33" t="str" cm="1">
        <f t="array" ref="FX32">_xlfn.IFS($D32="","",AND(FV32=$C32,FW32=$D32),3,($C32-$D32)/MAX(ABS($C32-$D32),1)=(FV32-FW32)/MAX(ABS(FV32-FW32),1),1,TRUE,0)</f>
        <v/>
      </c>
      <c r="FY32" s="18"/>
      <c r="FZ32" s="19"/>
      <c r="GA32" s="33" t="str" cm="1">
        <f t="array" ref="GA32">_xlfn.IFS($D32="","",AND(FY32=$C32,FZ32=$D32),3,($C32-$D32)/MAX(ABS($C32-$D32),1)=(FY32-FZ32)/MAX(ABS(FY32-FZ32),1),1,TRUE,0)</f>
        <v/>
      </c>
      <c r="GB32" s="18"/>
      <c r="GC32" s="19"/>
      <c r="GD32" s="33" t="str" cm="1">
        <f t="array" ref="GD32">_xlfn.IFS($D32="","",AND(GB32=$C32,GC32=$D32),3,($C32-$D32)/MAX(ABS($C32-$D32),1)=(GB32-GC32)/MAX(ABS(GB32-GC32),1),1,TRUE,0)</f>
        <v/>
      </c>
      <c r="GE32" s="47"/>
      <c r="GF32" s="45"/>
      <c r="GG32" s="33" t="str" cm="1">
        <f t="array" ref="GG32">_xlfn.IFS($D32="","",AND(GE32=$C32,GF32=$D32),3,($C32-$D32)/MAX(ABS($C32-$D32),1)=(GE32-GF32)/MAX(ABS(GE32-GF32),1),1,TRUE,0)</f>
        <v/>
      </c>
      <c r="GH32" s="18"/>
      <c r="GI32" s="19"/>
      <c r="GJ32" s="33" t="str" cm="1">
        <f t="array" ref="GJ32">_xlfn.IFS($D32="","",AND(GH32=$C32,GI32=$D32),3,($C32-$D32)/MAX(ABS($C32-$D32),1)=(GH32-GI32)/MAX(ABS(GH32-GI32),1),1,TRUE,0)</f>
        <v/>
      </c>
      <c r="GK32" s="18"/>
      <c r="GL32" s="19"/>
      <c r="GM32" s="33" t="str" cm="1">
        <f t="array" ref="GM32">_xlfn.IFS($D32="","",AND(GK32=$C32,GL32=$D32),3,($C32-$D32)/MAX(ABS($C32-$D32),1)=(GK32-GL32)/MAX(ABS(GK32-GL32),1),1,TRUE,0)</f>
        <v/>
      </c>
      <c r="GN32" s="18"/>
      <c r="GO32" s="19"/>
      <c r="GP32" s="33" t="str" cm="1">
        <f t="array" ref="GP32">_xlfn.IFS($D32="","",AND(GN32=$C32,GO32=$D32),3,($C32-$D32)/MAX(ABS($C32-$D32),1)=(GN32-GO32)/MAX(ABS(GN32-GO32),1),1,TRUE,0)</f>
        <v/>
      </c>
      <c r="GQ32" s="18"/>
      <c r="GR32" s="19"/>
      <c r="GS32" s="33" t="str" cm="1">
        <f t="array" ref="GS32">_xlfn.IFS($D32="","",AND(GQ32=$C32,GR32=$D32),3,($C32-$D32)/MAX(ABS($C32-$D32),1)=(GQ32-GR32)/MAX(ABS(GQ32-GR32),1),1,TRUE,0)</f>
        <v/>
      </c>
      <c r="GT32" s="18"/>
      <c r="GU32" s="19"/>
      <c r="GV32" s="33" t="str" cm="1">
        <f t="array" ref="GV32">_xlfn.IFS($D32="","",AND(GT32=$C32,GU32=$D32),3,($C32-$D32)/MAX(ABS($C32-$D32),1)=(GT32-GU32)/MAX(ABS(GT32-GU32),1),1,TRUE,0)</f>
        <v/>
      </c>
      <c r="GW32" s="18"/>
      <c r="GX32" s="19"/>
      <c r="GY32" s="33" t="str" cm="1">
        <f t="array" ref="GY32">_xlfn.IFS($D32="","",AND(GW32=$C32,GX32=$D32),3,($C32-$D32)/MAX(ABS($C32-$D32),1)=(GW32-GX32)/MAX(ABS(GW32-GX32),1),1,TRUE,0)</f>
        <v/>
      </c>
      <c r="GZ32" s="18"/>
      <c r="HA32" s="19"/>
      <c r="HB32" s="33" t="str" cm="1">
        <f t="array" ref="HB32">_xlfn.IFS($D32="","",AND(GZ32=$C32,HA32=$D32),3,($C32-$D32)/MAX(ABS($C32-$D32),1)=(GZ32-HA32)/MAX(ABS(GZ32-HA32),1),1,TRUE,0)</f>
        <v/>
      </c>
      <c r="HC32" s="18"/>
      <c r="HD32" s="19"/>
      <c r="HE32" s="33" t="str" cm="1">
        <f t="array" ref="HE32">_xlfn.IFS($D32="","",AND(HC32=$C32,HD32=$D32),3,($C32-$D32)/MAX(ABS($C32-$D32),1)=(HC32-HD32)/MAX(ABS(HC32-HD32),1),1,TRUE,0)</f>
        <v/>
      </c>
      <c r="HF32" s="18"/>
      <c r="HG32" s="19"/>
      <c r="HH32" s="33" t="str" cm="1">
        <f t="array" ref="HH32">_xlfn.IFS($D32="","",AND(HF32=$C32,HG32=$D32),3,($C32-$D32)/MAX(ABS($C32-$D32),1)=(HF32-HG32)/MAX(ABS(HF32-HG32),1),1,TRUE,0)</f>
        <v/>
      </c>
      <c r="HI32" s="18"/>
      <c r="HJ32" s="19"/>
      <c r="HK32" s="33" t="str" cm="1">
        <f t="array" ref="HK32">_xlfn.IFS($D32="","",AND(HI32=$C32,HJ32=$D32),3,($C32-$D32)/MAX(ABS($C32-$D32),1)=(HI32-HJ32)/MAX(ABS(HI32-HJ32),1),1,TRUE,0)</f>
        <v/>
      </c>
      <c r="HL32" s="18"/>
      <c r="HM32" s="19"/>
      <c r="HN32" s="33" t="str" cm="1">
        <f t="array" ref="HN32">_xlfn.IFS($D32="","",AND(HL32=$C32,HM32=$D32),3,($C32-$D32)/MAX(ABS($C32-$D32),1)=(HL32-HM32)/MAX(ABS(HL32-HM32),1),1,TRUE,0)</f>
        <v/>
      </c>
      <c r="HO32" s="18"/>
      <c r="HP32" s="19"/>
      <c r="HQ32" s="33" t="str" cm="1">
        <f t="array" ref="HQ32">_xlfn.IFS($D32="","",AND(HO32=$C32,HP32=$D32),3,($C32-$D32)/MAX(ABS($C32-$D32),1)=(HO32-HP32)/MAX(ABS(HO32-HP32),1),1,TRUE,0)</f>
        <v/>
      </c>
      <c r="HR32" s="18"/>
      <c r="HS32" s="19"/>
      <c r="HT32" s="33" t="str" cm="1">
        <f t="array" ref="HT32">_xlfn.IFS($D32="","",AND(HR32=$C32,HS32=$D32),3,($C32-$D32)/MAX(ABS($C32-$D32),1)=(HR32-HS32)/MAX(ABS(HR32-HS32),1),1,TRUE,0)</f>
        <v/>
      </c>
      <c r="HU32" s="18"/>
      <c r="HV32" s="19"/>
      <c r="HW32" s="33" t="str" cm="1">
        <f t="array" ref="HW32">_xlfn.IFS($D32="","",AND(HU32=$C32,HV32=$D32),3,($C32-$D32)/MAX(ABS($C32-$D32),1)=(HU32-HV32)/MAX(ABS(HU32-HV32),1),1,TRUE,0)</f>
        <v/>
      </c>
      <c r="HX32" s="18"/>
      <c r="HY32" s="19"/>
      <c r="HZ32" s="33" t="str" cm="1">
        <f t="array" ref="HZ32">_xlfn.IFS($D32="","",AND(HX32=$C32,HY32=$D32),3,($C32-$D32)/MAX(ABS($C32-$D32),1)=(HX32-HY32)/MAX(ABS(HX32-HY32),1),1,TRUE,0)</f>
        <v/>
      </c>
      <c r="IA32" s="18"/>
      <c r="IB32" s="19"/>
      <c r="IC32" s="33" t="str" cm="1">
        <f t="array" ref="IC32">_xlfn.IFS($D32="","",AND(IA32=$C32,IB32=$D32),3,($C32-$D32)/MAX(ABS($C32-$D32),1)=(IA32-IB32)/MAX(ABS(IA32-IB32),1),1,TRUE,0)</f>
        <v/>
      </c>
      <c r="ID32" s="18"/>
      <c r="IE32" s="19"/>
      <c r="IF32" s="33" t="str" cm="1">
        <f t="array" ref="IF32">_xlfn.IFS($D32="","",AND(ID32=$C32,IE32=$D32),3,($C32-$D32)/MAX(ABS($C32-$D32),1)=(ID32-IE32)/MAX(ABS(ID32-IE32),1),1,TRUE,0)</f>
        <v/>
      </c>
      <c r="IG32" s="18"/>
      <c r="IH32" s="19"/>
      <c r="II32" s="33" t="str" cm="1">
        <f t="array" ref="II32">_xlfn.IFS($D32="","",AND(IG32=$C32,IH32=$D32),3,($C32-$D32)/MAX(ABS($C32-$D32),1)=(IG32-IH32)/MAX(ABS(IG32-IH32),1),1,TRUE,0)</f>
        <v/>
      </c>
      <c r="IJ32" s="18"/>
      <c r="IK32" s="19"/>
      <c r="IL32" s="33" t="str" cm="1">
        <f t="array" ref="IL32">_xlfn.IFS($D32="","",AND(IJ32=$C32,IK32=$D32),3,($C32-$D32)/MAX(ABS($C32-$D32),1)=(IJ32-IK32)/MAX(ABS(IJ32-IK32),1),1,TRUE,0)</f>
        <v/>
      </c>
      <c r="IM32" s="18"/>
      <c r="IN32" s="19"/>
      <c r="IO32" s="33" t="str" cm="1">
        <f t="array" ref="IO32">_xlfn.IFS($D32="","",AND(IM32=$C32,IN32=$D32),3,($C32-$D32)/MAX(ABS($C32-$D32),1)=(IM32-IN32)/MAX(ABS(IM32-IN32),1),1,TRUE,0)</f>
        <v/>
      </c>
      <c r="IP32" s="18"/>
      <c r="IQ32" s="19"/>
      <c r="IR32" s="33" t="str" cm="1">
        <f t="array" ref="IR32">_xlfn.IFS($D32="","",AND(IP32=$C32,IQ32=$D32),3,($C32-$D32)/MAX(ABS($C32-$D32),1)=(IP32-IQ32)/MAX(ABS(IP32-IQ32),1),1,TRUE,0)</f>
        <v/>
      </c>
      <c r="IS32" s="18"/>
      <c r="IT32" s="19"/>
      <c r="IU32" s="33" t="str" cm="1">
        <f t="array" ref="IU32">_xlfn.IFS($D32="","",AND(IS32=$C32,IT32=$D32),3,($C32-$D32)/MAX(ABS($C32-$D32),1)=(IS32-IT32)/MAX(ABS(IS32-IT32),1),1,TRUE,0)</f>
        <v/>
      </c>
      <c r="IV32" s="18"/>
      <c r="IW32" s="19"/>
      <c r="IX32" s="33" t="str" cm="1">
        <f t="array" ref="IX32">_xlfn.IFS($D32="","",AND(IV32=$C32,IW32=$D32),3,($C32-$D32)/MAX(ABS($C32-$D32),1)=(IV32-IW32)/MAX(ABS(IV32-IW32),1),1,TRUE,0)</f>
        <v/>
      </c>
      <c r="IY32" s="18"/>
      <c r="IZ32" s="19"/>
      <c r="JA32" s="33" t="str" cm="1">
        <f t="array" ref="JA32">_xlfn.IFS($D32="","",AND(IY32=$C32,IZ32=$D32),3,($C32-$D32)/MAX(ABS($C32-$D32),1)=(IY32-IZ32)/MAX(ABS(IY32-IZ32),1),1,TRUE,0)</f>
        <v/>
      </c>
      <c r="JB32" s="18"/>
      <c r="JC32" s="19"/>
      <c r="JD32" s="33" t="str" cm="1">
        <f t="array" ref="JD32">_xlfn.IFS($D32="","",AND(JB32=$C32,JC32=$D32),3,($C32-$D32)/MAX(ABS($C32-$D32),1)=(JB32-JC32)/MAX(ABS(JB32-JC32),1),1,TRUE,0)</f>
        <v/>
      </c>
    </row>
    <row r="33" spans="1:264" ht="15" thickBot="1" x14ac:dyDescent="0.35">
      <c r="A33" s="22">
        <v>46193</v>
      </c>
      <c r="B33" s="28" t="s">
        <v>39</v>
      </c>
      <c r="C33" s="53" t="str" cm="1">
        <f t="array" ref="C33">_xlfn.LET(
_xlpm.x,_xlfn.XLOOKUP(1,(Scores_Fixtures[Date]=A33)*(Scores_Fixtures[Home.1]=B33),Scores_Fixtures[Score.1],""),
IF(_xlpm.x="","",_xlpm.x)
)</f>
        <v/>
      </c>
      <c r="D33" s="53" t="str" cm="1">
        <f t="array" ref="D33">_xlfn.LET(
_xlpm.x,_xlfn.XLOOKUP(1,(Scores_Fixtures[Date]=A33)*(Scores_Fixtures[Home.1]=B33),Scores_Fixtures[Score.2],""),
IF(_xlpm.x="","",_xlpm.x)
)</f>
        <v/>
      </c>
      <c r="E33" s="12" t="s">
        <v>40</v>
      </c>
      <c r="F33" s="15"/>
      <c r="G33" s="53"/>
      <c r="H33" s="53"/>
      <c r="I33" s="33" t="str" cm="1">
        <f t="array" ref="I33">_xlfn.IFS($D33="","",AND(G33=$C33,H33=$D33),3,($C33-$D33)/MAX(ABS($C33-$D33),1)=(G33-H33)/MAX(ABS(G33-H33),1),1,TRUE,0)</f>
        <v/>
      </c>
      <c r="J33" s="18"/>
      <c r="K33" s="19"/>
      <c r="L33" s="33" t="str" cm="1">
        <f t="array" ref="L33">_xlfn.IFS($D33="","",AND(J33=$C33,K33=$D33),3,($C33-$D33)/MAX(ABS($C33-$D33),1)=(J33-K33)/MAX(ABS(J33-K33),1),1,TRUE,0)</f>
        <v/>
      </c>
      <c r="M33" s="18"/>
      <c r="N33" s="19"/>
      <c r="O33" s="33" t="str" cm="1">
        <f t="array" ref="O33">_xlfn.IFS($D33="","",AND(M33=$C33,N33=$D33),3,($C33-$D33)/MAX(ABS($C33-$D33),1)=(M33-N33)/MAX(ABS(M33-N33),1),1,TRUE,0)</f>
        <v/>
      </c>
      <c r="P33" s="18"/>
      <c r="Q33" s="19"/>
      <c r="R33" s="33" t="str" cm="1">
        <f t="array" ref="R33">_xlfn.IFS($D33="","",AND(P33=$C33,Q33=$D33),3,($C33-$D33)/MAX(ABS($C33-$D33),1)=(P33-Q33)/MAX(ABS(P33-Q33),1),1,TRUE,0)</f>
        <v/>
      </c>
      <c r="S33" s="18"/>
      <c r="T33" s="19"/>
      <c r="U33" s="33" t="str" cm="1">
        <f t="array" ref="U33">_xlfn.IFS($D33="","",AND(S33=$C33,T33=$D33),3,($C33-$D33)/MAX(ABS($C33-$D33),1)=(S33-T33)/MAX(ABS(S33-T33),1),1,TRUE,0)</f>
        <v/>
      </c>
      <c r="V33" s="18"/>
      <c r="W33" s="19"/>
      <c r="X33" s="33" t="str" cm="1">
        <f t="array" ref="X33">_xlfn.IFS($D33="","",AND(V33=$C33,W33=$D33),3,($C33-$D33)/MAX(ABS($C33-$D33),1)=(V33-W33)/MAX(ABS(V33-W33),1),1,TRUE,0)</f>
        <v/>
      </c>
      <c r="Y33" s="18"/>
      <c r="Z33" s="19"/>
      <c r="AA33" s="33" t="str" cm="1">
        <f t="array" ref="AA33">_xlfn.IFS($D33="","",AND(Y33=$C33,Z33=$D33),3,($C33-$D33)/MAX(ABS($C33-$D33),1)=(Y33-Z33)/MAX(ABS(Y33-Z33),1),1,TRUE,0)</f>
        <v/>
      </c>
      <c r="AB33" s="18"/>
      <c r="AC33" s="19"/>
      <c r="AD33" s="33" t="str" cm="1">
        <f t="array" ref="AD33">_xlfn.IFS($D33="","",AND(AB33=$C33,AC33=$D33),3,($C33-$D33)/MAX(ABS($C33-$D33),1)=(AB33-AC33)/MAX(ABS(AB33-AC33),1),1,TRUE,0)</f>
        <v/>
      </c>
      <c r="AE33" s="18"/>
      <c r="AF33" s="19"/>
      <c r="AG33" s="33" t="str" cm="1">
        <f t="array" ref="AG33">_xlfn.IFS($D33="","",AND(AE33=$C33,AF33=$D33),3,($C33-$D33)/MAX(ABS($C33-$D33),1)=(AE33-AF33)/MAX(ABS(AE33-AF33),1),1,TRUE,0)</f>
        <v/>
      </c>
      <c r="AH33" s="18"/>
      <c r="AI33" s="19"/>
      <c r="AJ33" s="33" t="str" cm="1">
        <f t="array" ref="AJ33">_xlfn.IFS($D33="","",AND(AH33=$C33,AI33=$D33),3,($C33-$D33)/MAX(ABS($C33-$D33),1)=(AH33-AI33)/MAX(ABS(AH33-AI33),1),1,TRUE,0)</f>
        <v/>
      </c>
      <c r="AK33" s="18"/>
      <c r="AL33" s="19"/>
      <c r="AM33" s="33" t="str" cm="1">
        <f t="array" ref="AM33">_xlfn.IFS($D33="","",AND(AK33=$C33,AL33=$D33),3,($C33-$D33)/MAX(ABS($C33-$D33),1)=(AK33-AL33)/MAX(ABS(AK33-AL33),1),1,TRUE,0)</f>
        <v/>
      </c>
      <c r="AN33" s="18"/>
      <c r="AO33" s="19"/>
      <c r="AP33" s="33" t="str" cm="1">
        <f t="array" ref="AP33">_xlfn.IFS($D33="","",AND(AN33=$C33,AO33=$D33),3,($C33-$D33)/MAX(ABS($C33-$D33),1)=(AN33-AO33)/MAX(ABS(AN33-AO33),1),1,TRUE,0)</f>
        <v/>
      </c>
      <c r="AQ33" s="18"/>
      <c r="AR33" s="19"/>
      <c r="AS33" s="33" t="str" cm="1">
        <f t="array" ref="AS33">_xlfn.IFS($D33="","",AND(AQ33=$C33,AR33=$D33),3,($C33-$D33)/MAX(ABS($C33-$D33),1)=(AQ33-AR33)/MAX(ABS(AQ33-AR33),1),1,TRUE,0)</f>
        <v/>
      </c>
      <c r="AT33" s="18"/>
      <c r="AU33" s="19"/>
      <c r="AV33" s="33" t="str" cm="1">
        <f t="array" ref="AV33">_xlfn.IFS($D33="","",AND(AT33=$C33,AU33=$D33),3,($C33-$D33)/MAX(ABS($C33-$D33),1)=(AT33-AU33)/MAX(ABS(AT33-AU33),1),1,TRUE,0)</f>
        <v/>
      </c>
      <c r="AW33" s="18"/>
      <c r="AX33" s="19"/>
      <c r="AY33" s="33" t="str" cm="1">
        <f t="array" ref="AY33">_xlfn.IFS($D33="","",AND(AW33=$C33,AX33=$D33),3,($C33-$D33)/MAX(ABS($C33-$D33),1)=(AW33-AX33)/MAX(ABS(AW33-AX33),1),1,TRUE,0)</f>
        <v/>
      </c>
      <c r="AZ33" s="18"/>
      <c r="BA33" s="19"/>
      <c r="BB33" s="33" t="str" cm="1">
        <f t="array" ref="BB33">_xlfn.IFS($D33="","",AND(AZ33=$C33,BA33=$D33),3,($C33-$D33)/MAX(ABS($C33-$D33),1)=(AZ33-BA33)/MAX(ABS(AZ33-BA33),1),1,TRUE,0)</f>
        <v/>
      </c>
      <c r="BC33" s="18"/>
      <c r="BD33" s="19"/>
      <c r="BE33" s="33" t="str" cm="1">
        <f t="array" ref="BE33">_xlfn.IFS($D33="","",AND(BC33=$C33,BD33=$D33),3,($C33-$D33)/MAX(ABS($C33-$D33),1)=(BC33-BD33)/MAX(ABS(BC33-BD33),1),1,TRUE,0)</f>
        <v/>
      </c>
      <c r="BF33" s="18"/>
      <c r="BG33" s="19"/>
      <c r="BH33" s="33" t="str" cm="1">
        <f t="array" ref="BH33">_xlfn.IFS($D33="","",AND(BF33=$C33,BG33=$D33),3,($C33-$D33)/MAX(ABS($C33-$D33),1)=(BF33-BG33)/MAX(ABS(BF33-BG33),1),1,TRUE,0)</f>
        <v/>
      </c>
      <c r="BI33" s="18"/>
      <c r="BJ33" s="19"/>
      <c r="BK33" s="33" t="str" cm="1">
        <f t="array" ref="BK33">_xlfn.IFS($D33="","",AND(BI33=$C33,BJ33=$D33),3,($C33-$D33)/MAX(ABS($C33-$D33),1)=(BI33-BJ33)/MAX(ABS(BI33-BJ33),1),1,TRUE,0)</f>
        <v/>
      </c>
      <c r="BL33" s="18"/>
      <c r="BM33" s="19"/>
      <c r="BN33" s="33" t="str" cm="1">
        <f t="array" ref="BN33">_xlfn.IFS($D33="","",AND(BL33=$C33,BM33=$D33),3,($C33-$D33)/MAX(ABS($C33-$D33),1)=(BL33-BM33)/MAX(ABS(BL33-BM33),1),1,TRUE,0)</f>
        <v/>
      </c>
      <c r="BO33" s="18"/>
      <c r="BP33" s="19"/>
      <c r="BQ33" s="33" t="str" cm="1">
        <f t="array" ref="BQ33">_xlfn.IFS($D33="","",AND(BO33=$C33,BP33=$D33),3,($C33-$D33)/MAX(ABS($C33-$D33),1)=(BO33-BP33)/MAX(ABS(BO33-BP33),1),1,TRUE,0)</f>
        <v/>
      </c>
      <c r="BR33" s="18"/>
      <c r="BS33" s="19"/>
      <c r="BT33" s="33" t="str" cm="1">
        <f t="array" ref="BT33">_xlfn.IFS($D33="","",AND(BR33=$C33,BS33=$D33),3,($C33-$D33)/MAX(ABS($C33-$D33),1)=(BR33-BS33)/MAX(ABS(BR33-BS33),1),1,TRUE,0)</f>
        <v/>
      </c>
      <c r="BU33" s="18"/>
      <c r="BV33" s="19"/>
      <c r="BW33" s="33" t="str" cm="1">
        <f t="array" ref="BW33">_xlfn.IFS($D33="","",AND(BU33=$C33,BV33=$D33),3,($C33-$D33)/MAX(ABS($C33-$D33),1)=(BU33-BV33)/MAX(ABS(BU33-BV33),1),1,TRUE,0)</f>
        <v/>
      </c>
      <c r="BX33" s="18"/>
      <c r="BY33" s="19"/>
      <c r="BZ33" s="33" t="str" cm="1">
        <f t="array" ref="BZ33">_xlfn.IFS($D33="","",AND(BX33=$C33,BY33=$D33),3,($C33-$D33)/MAX(ABS($C33-$D33),1)=(BX33-BY33)/MAX(ABS(BX33-BY33),1),1,TRUE,0)</f>
        <v/>
      </c>
      <c r="CA33" s="18"/>
      <c r="CB33" s="19"/>
      <c r="CC33" s="33" t="str" cm="1">
        <f t="array" ref="CC33">_xlfn.IFS($D33="","",AND(CA33=$C33,CB33=$D33),3,($C33-$D33)/MAX(ABS($C33-$D33),1)=(CA33-CB33)/MAX(ABS(CA33-CB33),1),1,TRUE,0)</f>
        <v/>
      </c>
      <c r="CD33" s="18"/>
      <c r="CE33" s="19"/>
      <c r="CF33" s="33" t="str" cm="1">
        <f t="array" ref="CF33">_xlfn.IFS($D33="","",AND(CD33=$C33,CE33=$D33),3,($C33-$D33)/MAX(ABS($C33-$D33),1)=(CD33-CE33)/MAX(ABS(CD33-CE33),1),1,TRUE,0)</f>
        <v/>
      </c>
      <c r="CG33" s="18"/>
      <c r="CH33" s="19"/>
      <c r="CI33" s="33" t="str" cm="1">
        <f t="array" ref="CI33">_xlfn.IFS($D33="","",AND(CG33=$C33,CH33=$D33),3,($C33-$D33)/MAX(ABS($C33-$D33),1)=(CG33-CH33)/MAX(ABS(CG33-CH33),1),1,TRUE,0)</f>
        <v/>
      </c>
      <c r="CJ33" s="18"/>
      <c r="CK33" s="19"/>
      <c r="CL33" s="33" t="str" cm="1">
        <f t="array" ref="CL33">_xlfn.IFS($D33="","",AND(CJ33=$C33,CK33=$D33),3,($C33-$D33)/MAX(ABS($C33-$D33),1)=(CJ33-CK33)/MAX(ABS(CJ33-CK33),1),1,TRUE,0)</f>
        <v/>
      </c>
      <c r="CM33" s="18"/>
      <c r="CN33" s="19"/>
      <c r="CO33" s="33" t="str" cm="1">
        <f t="array" ref="CO33">_xlfn.IFS($D33="","",AND(CM33=$C33,CN33=$D33),3,($C33-$D33)/MAX(ABS($C33-$D33),1)=(CM33-CN33)/MAX(ABS(CM33-CN33),1),1,TRUE,0)</f>
        <v/>
      </c>
      <c r="CP33" s="18"/>
      <c r="CQ33" s="19"/>
      <c r="CR33" s="33" t="str" cm="1">
        <f t="array" ref="CR33">_xlfn.IFS($D33="","",AND(CP33=$C33,CQ33=$D33),3,($C33-$D33)/MAX(ABS($C33-$D33),1)=(CP33-CQ33)/MAX(ABS(CP33-CQ33),1),1,TRUE,0)</f>
        <v/>
      </c>
      <c r="CS33" s="18"/>
      <c r="CT33" s="19"/>
      <c r="CU33" s="33" t="str" cm="1">
        <f t="array" ref="CU33">_xlfn.IFS($D33="","",AND(CS33=$C33,CT33=$D33),3,($C33-$D33)/MAX(ABS($C33-$D33),1)=(CS33-CT33)/MAX(ABS(CS33-CT33),1),1,TRUE,0)</f>
        <v/>
      </c>
      <c r="CV33" s="18"/>
      <c r="CW33" s="19"/>
      <c r="CX33" s="33" t="str" cm="1">
        <f t="array" ref="CX33">_xlfn.IFS($D33="","",AND(CV33=$C33,CW33=$D33),3,($C33-$D33)/MAX(ABS($C33-$D33),1)=(CV33-CW33)/MAX(ABS(CV33-CW33),1),1,TRUE,0)</f>
        <v/>
      </c>
      <c r="CY33" s="18"/>
      <c r="CZ33" s="19"/>
      <c r="DA33" s="33" t="str" cm="1">
        <f t="array" ref="DA33">_xlfn.IFS($D33="","",AND(CY33=$C33,CZ33=$D33),3,($C33-$D33)/MAX(ABS($C33-$D33),1)=(CY33-CZ33)/MAX(ABS(CY33-CZ33),1),1,TRUE,0)</f>
        <v/>
      </c>
      <c r="DB33" s="37"/>
      <c r="DC33" s="38"/>
      <c r="DD33" s="33" t="str" cm="1">
        <f t="array" ref="DD33">_xlfn.IFS($D33="","",AND(DB33=$C33,DC33=$D33),3,($C33-$D33)/MAX(ABS($C33-$D33),1)=(DB33-DC33)/MAX(ABS(DB33-DC33),1),1,TRUE,0)</f>
        <v/>
      </c>
      <c r="DE33" s="18"/>
      <c r="DF33" s="19"/>
      <c r="DG33" s="33" t="str" cm="1">
        <f t="array" ref="DG33">_xlfn.IFS($D33="","",AND(DE33=$C33,DF33=$D33),3,($C33-$D33)/MAX(ABS($C33-$D33),1)=(DE33-DF33)/MAX(ABS(DE33-DF33),1),1,TRUE,0)</f>
        <v/>
      </c>
      <c r="DH33" s="17"/>
      <c r="DI33" s="19"/>
      <c r="DJ33" s="33" t="str" cm="1">
        <f t="array" ref="DJ33">_xlfn.IFS($D33="","",AND(DH33=$C33,DI33=$D33),3,($C33-$D33)/MAX(ABS($C33-$D33),1)=(DH33-DI33)/MAX(ABS(DH33-DI33),1),1,TRUE,0)</f>
        <v/>
      </c>
      <c r="DK33" s="18"/>
      <c r="DL33" s="19"/>
      <c r="DM33" s="33" t="str" cm="1">
        <f t="array" ref="DM33">_xlfn.IFS($D33="","",AND(DK33=$C33,DL33=$D33),3,($C33-$D33)/MAX(ABS($C33-$D33),1)=(DK33-DL33)/MAX(ABS(DK33-DL33),1),1,TRUE,0)</f>
        <v/>
      </c>
      <c r="DN33" s="18"/>
      <c r="DO33" s="19"/>
      <c r="DP33" s="33" t="str" cm="1">
        <f t="array" ref="DP33">_xlfn.IFS($D33="","",AND(DN33=$C33,DO33=$D33),3,($C33-$D33)/MAX(ABS($C33-$D33),1)=(DN33-DO33)/MAX(ABS(DN33-DO33),1),1,TRUE,0)</f>
        <v/>
      </c>
      <c r="DQ33" s="18"/>
      <c r="DR33" s="19"/>
      <c r="DS33" s="33" t="str" cm="1">
        <f t="array" ref="DS33">_xlfn.IFS($D33="","",AND(DQ33=$C33,DR33=$D33),3,($C33-$D33)/MAX(ABS($C33-$D33),1)=(DQ33-DR33)/MAX(ABS(DQ33-DR33),1),1,TRUE,0)</f>
        <v/>
      </c>
      <c r="DT33" s="18"/>
      <c r="DU33" s="19"/>
      <c r="DV33" s="33" t="str" cm="1">
        <f t="array" ref="DV33">_xlfn.IFS($D33="","",AND(DT33=$C33,DU33=$D33),3,($C33-$D33)/MAX(ABS($C33-$D33),1)=(DT33-DU33)/MAX(ABS(DT33-DU33),1),1,TRUE,0)</f>
        <v/>
      </c>
      <c r="DW33" s="18"/>
      <c r="DX33" s="19"/>
      <c r="DY33" s="33" t="str" cm="1">
        <f t="array" ref="DY33">_xlfn.IFS($D33="","",AND(DW33=$C33,DX33=$D33),3,($C33-$D33)/MAX(ABS($C33-$D33),1)=(DW33-DX33)/MAX(ABS(DW33-DX33),1),1,TRUE,0)</f>
        <v/>
      </c>
      <c r="DZ33" s="18"/>
      <c r="EA33" s="19"/>
      <c r="EB33" s="33" t="str" cm="1">
        <f t="array" ref="EB33">_xlfn.IFS($D33="","",AND(DZ33=$C33,EA33=$D33),3,($C33-$D33)/MAX(ABS($C33-$D33),1)=(DZ33-EA33)/MAX(ABS(DZ33-EA33),1),1,TRUE,0)</f>
        <v/>
      </c>
      <c r="EC33" s="18"/>
      <c r="ED33" s="19"/>
      <c r="EE33" s="33" t="str" cm="1">
        <f t="array" ref="EE33">_xlfn.IFS($D33="","",AND(EC33=$C33,ED33=$D33),3,($C33-$D33)/MAX(ABS($C33-$D33),1)=(EC33-ED33)/MAX(ABS(EC33-ED33),1),1,TRUE,0)</f>
        <v/>
      </c>
      <c r="EF33" s="18"/>
      <c r="EG33" s="19"/>
      <c r="EH33" s="33" t="str" cm="1">
        <f t="array" ref="EH33">_xlfn.IFS($D33="","",AND(EF33=$C33,EG33=$D33),3,($C33-$D33)/MAX(ABS($C33-$D33),1)=(EF33-EG33)/MAX(ABS(EF33-EG33),1),1,TRUE,0)</f>
        <v/>
      </c>
      <c r="EI33" s="43"/>
      <c r="EJ33" s="44"/>
      <c r="EK33" s="33" t="str" cm="1">
        <f t="array" ref="EK33">_xlfn.IFS($D33="","",AND(EI33=$C33,EJ33=$D33),3,($C33-$D33)/MAX(ABS($C33-$D33),1)=(EI33-EJ33)/MAX(ABS(EI33-EJ33),1),1,TRUE,0)</f>
        <v/>
      </c>
      <c r="EL33" s="18"/>
      <c r="EM33" s="19"/>
      <c r="EN33" s="33" t="str" cm="1">
        <f t="array" ref="EN33">_xlfn.IFS($D33="","",AND(EL33=$C33,EM33=$D33),3,($C33-$D33)/MAX(ABS($C33-$D33),1)=(EL33-EM33)/MAX(ABS(EL33-EM33),1),1,TRUE,0)</f>
        <v/>
      </c>
      <c r="EO33" s="18"/>
      <c r="EP33" s="19"/>
      <c r="EQ33" s="33" t="str" cm="1">
        <f t="array" ref="EQ33">_xlfn.IFS($D33="","",AND(EO33=$C33,EP33=$D33),3,($C33-$D33)/MAX(ABS($C33-$D33),1)=(EO33-EP33)/MAX(ABS(EO33-EP33),1),1,TRUE,0)</f>
        <v/>
      </c>
      <c r="ER33" s="18"/>
      <c r="ES33" s="19"/>
      <c r="ET33" s="33" t="str" cm="1">
        <f t="array" ref="ET33">_xlfn.IFS($D33="","",AND(ER33=$C33,ES33=$D33),3,($C33-$D33)/MAX(ABS($C33-$D33),1)=(ER33-ES33)/MAX(ABS(ER33-ES33),1),1,TRUE,0)</f>
        <v/>
      </c>
      <c r="EU33" s="18"/>
      <c r="EV33" s="19"/>
      <c r="EW33" s="33" t="str" cm="1">
        <f t="array" ref="EW33">_xlfn.IFS($D33="","",AND(EU33=$C33,EV33=$D33),3,($C33-$D33)/MAX(ABS($C33-$D33),1)=(EU33-EV33)/MAX(ABS(EU33-EV33),1),1,TRUE,0)</f>
        <v/>
      </c>
      <c r="EX33" s="18"/>
      <c r="EY33" s="19"/>
      <c r="EZ33" s="33" t="str" cm="1">
        <f t="array" ref="EZ33">_xlfn.IFS($D33="","",AND(EX33=$C33,EY33=$D33),3,($C33-$D33)/MAX(ABS($C33-$D33),1)=(EX33-EY33)/MAX(ABS(EX33-EY33),1),1,TRUE,0)</f>
        <v/>
      </c>
      <c r="FA33" s="18"/>
      <c r="FB33" s="19"/>
      <c r="FC33" s="33" t="str" cm="1">
        <f t="array" ref="FC33">_xlfn.IFS($D33="","",AND(FA33=$C33,FB33=$D33),3,($C33-$D33)/MAX(ABS($C33-$D33),1)=(FA33-FB33)/MAX(ABS(FA33-FB33),1),1,TRUE,0)</f>
        <v/>
      </c>
      <c r="FD33" s="18"/>
      <c r="FE33" s="19"/>
      <c r="FF33" s="33" t="str" cm="1">
        <f t="array" ref="FF33">_xlfn.IFS($D33="","",AND(FD33=$C33,FE33=$D33),3,($C33-$D33)/MAX(ABS($C33-$D33),1)=(FD33-FE33)/MAX(ABS(FD33-FE33),1),1,TRUE,0)</f>
        <v/>
      </c>
      <c r="FG33" s="18"/>
      <c r="FH33" s="19"/>
      <c r="FI33" s="33" t="str" cm="1">
        <f t="array" ref="FI33">_xlfn.IFS($D33="","",AND(FG33=$C33,FH33=$D33),3,($C33-$D33)/MAX(ABS($C33-$D33),1)=(FG33-FH33)/MAX(ABS(FG33-FH33),1),1,TRUE,0)</f>
        <v/>
      </c>
      <c r="FJ33" s="18"/>
      <c r="FK33" s="19"/>
      <c r="FL33" s="33" t="str" cm="1">
        <f t="array" ref="FL33">_xlfn.IFS($D33="","",AND(FJ33=$C33,FK33=$D33),3,($C33-$D33)/MAX(ABS($C33-$D33),1)=(FJ33-FK33)/MAX(ABS(FJ33-FK33),1),1,TRUE,0)</f>
        <v/>
      </c>
      <c r="FM33" s="18"/>
      <c r="FN33" s="19"/>
      <c r="FO33" s="33" t="str" cm="1">
        <f t="array" ref="FO33">_xlfn.IFS($D33="","",AND(FM33=$C33,FN33=$D33),3,($C33-$D33)/MAX(ABS($C33-$D33),1)=(FM33-FN33)/MAX(ABS(FM33-FN33),1),1,TRUE,0)</f>
        <v/>
      </c>
      <c r="FP33" s="18"/>
      <c r="FQ33" s="19"/>
      <c r="FR33" s="33" t="str" cm="1">
        <f t="array" ref="FR33">_xlfn.IFS($D33="","",AND(FP33=$C33,FQ33=$D33),3,($C33-$D33)/MAX(ABS($C33-$D33),1)=(FP33-FQ33)/MAX(ABS(FP33-FQ33),1),1,TRUE,0)</f>
        <v/>
      </c>
      <c r="FS33" s="18"/>
      <c r="FT33" s="19"/>
      <c r="FU33" s="33" t="str" cm="1">
        <f t="array" ref="FU33">_xlfn.IFS($D33="","",AND(FS33=$C33,FT33=$D33),3,($C33-$D33)/MAX(ABS($C33-$D33),1)=(FS33-FT33)/MAX(ABS(FS33-FT33),1),1,TRUE,0)</f>
        <v/>
      </c>
      <c r="FV33" s="18"/>
      <c r="FW33" s="19"/>
      <c r="FX33" s="33" t="str" cm="1">
        <f t="array" ref="FX33">_xlfn.IFS($D33="","",AND(FV33=$C33,FW33=$D33),3,($C33-$D33)/MAX(ABS($C33-$D33),1)=(FV33-FW33)/MAX(ABS(FV33-FW33),1),1,TRUE,0)</f>
        <v/>
      </c>
      <c r="FY33" s="18"/>
      <c r="FZ33" s="19"/>
      <c r="GA33" s="33" t="str" cm="1">
        <f t="array" ref="GA33">_xlfn.IFS($D33="","",AND(FY33=$C33,FZ33=$D33),3,($C33-$D33)/MAX(ABS($C33-$D33),1)=(FY33-FZ33)/MAX(ABS(FY33-FZ33),1),1,TRUE,0)</f>
        <v/>
      </c>
      <c r="GB33" s="18"/>
      <c r="GC33" s="19"/>
      <c r="GD33" s="33" t="str" cm="1">
        <f t="array" ref="GD33">_xlfn.IFS($D33="","",AND(GB33=$C33,GC33=$D33),3,($C33-$D33)/MAX(ABS($C33-$D33),1)=(GB33-GC33)/MAX(ABS(GB33-GC33),1),1,TRUE,0)</f>
        <v/>
      </c>
      <c r="GE33" s="47"/>
      <c r="GF33" s="45"/>
      <c r="GG33" s="33" t="str" cm="1">
        <f t="array" ref="GG33">_xlfn.IFS($D33="","",AND(GE33=$C33,GF33=$D33),3,($C33-$D33)/MAX(ABS($C33-$D33),1)=(GE33-GF33)/MAX(ABS(GE33-GF33),1),1,TRUE,0)</f>
        <v/>
      </c>
      <c r="GH33" s="18"/>
      <c r="GI33" s="19"/>
      <c r="GJ33" s="33" t="str" cm="1">
        <f t="array" ref="GJ33">_xlfn.IFS($D33="","",AND(GH33=$C33,GI33=$D33),3,($C33-$D33)/MAX(ABS($C33-$D33),1)=(GH33-GI33)/MAX(ABS(GH33-GI33),1),1,TRUE,0)</f>
        <v/>
      </c>
      <c r="GK33" s="18"/>
      <c r="GL33" s="19"/>
      <c r="GM33" s="33" t="str" cm="1">
        <f t="array" ref="GM33">_xlfn.IFS($D33="","",AND(GK33=$C33,GL33=$D33),3,($C33-$D33)/MAX(ABS($C33-$D33),1)=(GK33-GL33)/MAX(ABS(GK33-GL33),1),1,TRUE,0)</f>
        <v/>
      </c>
      <c r="GN33" s="18"/>
      <c r="GO33" s="19"/>
      <c r="GP33" s="33" t="str" cm="1">
        <f t="array" ref="GP33">_xlfn.IFS($D33="","",AND(GN33=$C33,GO33=$D33),3,($C33-$D33)/MAX(ABS($C33-$D33),1)=(GN33-GO33)/MAX(ABS(GN33-GO33),1),1,TRUE,0)</f>
        <v/>
      </c>
      <c r="GQ33" s="18"/>
      <c r="GR33" s="19"/>
      <c r="GS33" s="33" t="str" cm="1">
        <f t="array" ref="GS33">_xlfn.IFS($D33="","",AND(GQ33=$C33,GR33=$D33),3,($C33-$D33)/MAX(ABS($C33-$D33),1)=(GQ33-GR33)/MAX(ABS(GQ33-GR33),1),1,TRUE,0)</f>
        <v/>
      </c>
      <c r="GT33" s="18"/>
      <c r="GU33" s="19"/>
      <c r="GV33" s="33" t="str" cm="1">
        <f t="array" ref="GV33">_xlfn.IFS($D33="","",AND(GT33=$C33,GU33=$D33),3,($C33-$D33)/MAX(ABS($C33-$D33),1)=(GT33-GU33)/MAX(ABS(GT33-GU33),1),1,TRUE,0)</f>
        <v/>
      </c>
      <c r="GW33" s="18"/>
      <c r="GX33" s="19"/>
      <c r="GY33" s="33" t="str" cm="1">
        <f t="array" ref="GY33">_xlfn.IFS($D33="","",AND(GW33=$C33,GX33=$D33),3,($C33-$D33)/MAX(ABS($C33-$D33),1)=(GW33-GX33)/MAX(ABS(GW33-GX33),1),1,TRUE,0)</f>
        <v/>
      </c>
      <c r="GZ33" s="18"/>
      <c r="HA33" s="19"/>
      <c r="HB33" s="33" t="str" cm="1">
        <f t="array" ref="HB33">_xlfn.IFS($D33="","",AND(GZ33=$C33,HA33=$D33),3,($C33-$D33)/MAX(ABS($C33-$D33),1)=(GZ33-HA33)/MAX(ABS(GZ33-HA33),1),1,TRUE,0)</f>
        <v/>
      </c>
      <c r="HC33" s="18"/>
      <c r="HD33" s="19"/>
      <c r="HE33" s="33" t="str" cm="1">
        <f t="array" ref="HE33">_xlfn.IFS($D33="","",AND(HC33=$C33,HD33=$D33),3,($C33-$D33)/MAX(ABS($C33-$D33),1)=(HC33-HD33)/MAX(ABS(HC33-HD33),1),1,TRUE,0)</f>
        <v/>
      </c>
      <c r="HF33" s="18"/>
      <c r="HG33" s="19"/>
      <c r="HH33" s="33" t="str" cm="1">
        <f t="array" ref="HH33">_xlfn.IFS($D33="","",AND(HF33=$C33,HG33=$D33),3,($C33-$D33)/MAX(ABS($C33-$D33),1)=(HF33-HG33)/MAX(ABS(HF33-HG33),1),1,TRUE,0)</f>
        <v/>
      </c>
      <c r="HI33" s="18"/>
      <c r="HJ33" s="19"/>
      <c r="HK33" s="33" t="str" cm="1">
        <f t="array" ref="HK33">_xlfn.IFS($D33="","",AND(HI33=$C33,HJ33=$D33),3,($C33-$D33)/MAX(ABS($C33-$D33),1)=(HI33-HJ33)/MAX(ABS(HI33-HJ33),1),1,TRUE,0)</f>
        <v/>
      </c>
      <c r="HL33" s="18"/>
      <c r="HM33" s="19"/>
      <c r="HN33" s="33" t="str" cm="1">
        <f t="array" ref="HN33">_xlfn.IFS($D33="","",AND(HL33=$C33,HM33=$D33),3,($C33-$D33)/MAX(ABS($C33-$D33),1)=(HL33-HM33)/MAX(ABS(HL33-HM33),1),1,TRUE,0)</f>
        <v/>
      </c>
      <c r="HO33" s="18"/>
      <c r="HP33" s="19"/>
      <c r="HQ33" s="33" t="str" cm="1">
        <f t="array" ref="HQ33">_xlfn.IFS($D33="","",AND(HO33=$C33,HP33=$D33),3,($C33-$D33)/MAX(ABS($C33-$D33),1)=(HO33-HP33)/MAX(ABS(HO33-HP33),1),1,TRUE,0)</f>
        <v/>
      </c>
      <c r="HR33" s="18"/>
      <c r="HS33" s="19"/>
      <c r="HT33" s="33" t="str" cm="1">
        <f t="array" ref="HT33">_xlfn.IFS($D33="","",AND(HR33=$C33,HS33=$D33),3,($C33-$D33)/MAX(ABS($C33-$D33),1)=(HR33-HS33)/MAX(ABS(HR33-HS33),1),1,TRUE,0)</f>
        <v/>
      </c>
      <c r="HU33" s="18"/>
      <c r="HV33" s="19"/>
      <c r="HW33" s="33" t="str" cm="1">
        <f t="array" ref="HW33">_xlfn.IFS($D33="","",AND(HU33=$C33,HV33=$D33),3,($C33-$D33)/MAX(ABS($C33-$D33),1)=(HU33-HV33)/MAX(ABS(HU33-HV33),1),1,TRUE,0)</f>
        <v/>
      </c>
      <c r="HX33" s="18"/>
      <c r="HY33" s="19"/>
      <c r="HZ33" s="33" t="str" cm="1">
        <f t="array" ref="HZ33">_xlfn.IFS($D33="","",AND(HX33=$C33,HY33=$D33),3,($C33-$D33)/MAX(ABS($C33-$D33),1)=(HX33-HY33)/MAX(ABS(HX33-HY33),1),1,TRUE,0)</f>
        <v/>
      </c>
      <c r="IA33" s="18"/>
      <c r="IB33" s="19"/>
      <c r="IC33" s="33" t="str" cm="1">
        <f t="array" ref="IC33">_xlfn.IFS($D33="","",AND(IA33=$C33,IB33=$D33),3,($C33-$D33)/MAX(ABS($C33-$D33),1)=(IA33-IB33)/MAX(ABS(IA33-IB33),1),1,TRUE,0)</f>
        <v/>
      </c>
      <c r="ID33" s="18"/>
      <c r="IE33" s="19"/>
      <c r="IF33" s="33" t="str" cm="1">
        <f t="array" ref="IF33">_xlfn.IFS($D33="","",AND(ID33=$C33,IE33=$D33),3,($C33-$D33)/MAX(ABS($C33-$D33),1)=(ID33-IE33)/MAX(ABS(ID33-IE33),1),1,TRUE,0)</f>
        <v/>
      </c>
      <c r="IG33" s="18"/>
      <c r="IH33" s="19"/>
      <c r="II33" s="33" t="str" cm="1">
        <f t="array" ref="II33">_xlfn.IFS($D33="","",AND(IG33=$C33,IH33=$D33),3,($C33-$D33)/MAX(ABS($C33-$D33),1)=(IG33-IH33)/MAX(ABS(IG33-IH33),1),1,TRUE,0)</f>
        <v/>
      </c>
      <c r="IJ33" s="18"/>
      <c r="IK33" s="19"/>
      <c r="IL33" s="33" t="str" cm="1">
        <f t="array" ref="IL33">_xlfn.IFS($D33="","",AND(IJ33=$C33,IK33=$D33),3,($C33-$D33)/MAX(ABS($C33-$D33),1)=(IJ33-IK33)/MAX(ABS(IJ33-IK33),1),1,TRUE,0)</f>
        <v/>
      </c>
      <c r="IM33" s="18"/>
      <c r="IN33" s="19"/>
      <c r="IO33" s="33" t="str" cm="1">
        <f t="array" ref="IO33">_xlfn.IFS($D33="","",AND(IM33=$C33,IN33=$D33),3,($C33-$D33)/MAX(ABS($C33-$D33),1)=(IM33-IN33)/MAX(ABS(IM33-IN33),1),1,TRUE,0)</f>
        <v/>
      </c>
      <c r="IP33" s="18"/>
      <c r="IQ33" s="19"/>
      <c r="IR33" s="33" t="str" cm="1">
        <f t="array" ref="IR33">_xlfn.IFS($D33="","",AND(IP33=$C33,IQ33=$D33),3,($C33-$D33)/MAX(ABS($C33-$D33),1)=(IP33-IQ33)/MAX(ABS(IP33-IQ33),1),1,TRUE,0)</f>
        <v/>
      </c>
      <c r="IS33" s="18"/>
      <c r="IT33" s="19"/>
      <c r="IU33" s="33" t="str" cm="1">
        <f t="array" ref="IU33">_xlfn.IFS($D33="","",AND(IS33=$C33,IT33=$D33),3,($C33-$D33)/MAX(ABS($C33-$D33),1)=(IS33-IT33)/MAX(ABS(IS33-IT33),1),1,TRUE,0)</f>
        <v/>
      </c>
      <c r="IV33" s="18"/>
      <c r="IW33" s="19"/>
      <c r="IX33" s="33" t="str" cm="1">
        <f t="array" ref="IX33">_xlfn.IFS($D33="","",AND(IV33=$C33,IW33=$D33),3,($C33-$D33)/MAX(ABS($C33-$D33),1)=(IV33-IW33)/MAX(ABS(IV33-IW33),1),1,TRUE,0)</f>
        <v/>
      </c>
      <c r="IY33" s="18"/>
      <c r="IZ33" s="19"/>
      <c r="JA33" s="33" t="str" cm="1">
        <f t="array" ref="JA33">_xlfn.IFS($D33="","",AND(IY33=$C33,IZ33=$D33),3,($C33-$D33)/MAX(ABS($C33-$D33),1)=(IY33-IZ33)/MAX(ABS(IY33-IZ33),1),1,TRUE,0)</f>
        <v/>
      </c>
      <c r="JB33" s="18"/>
      <c r="JC33" s="19"/>
      <c r="JD33" s="33" t="str" cm="1">
        <f t="array" ref="JD33">_xlfn.IFS($D33="","",AND(JB33=$C33,JC33=$D33),3,($C33-$D33)/MAX(ABS($C33-$D33),1)=(JB33-JC33)/MAX(ABS(JB33-JC33),1),1,TRUE,0)</f>
        <v/>
      </c>
    </row>
    <row r="34" spans="1:264" ht="15" thickBot="1" x14ac:dyDescent="0.35">
      <c r="A34" s="22">
        <v>46193</v>
      </c>
      <c r="B34" s="28" t="s">
        <v>50</v>
      </c>
      <c r="C34" s="53" t="str" cm="1">
        <f t="array" ref="C34">_xlfn.LET(
_xlpm.x,_xlfn.XLOOKUP(1,(Scores_Fixtures[Date]=A34)*(Scores_Fixtures[Home.1]=B34),Scores_Fixtures[Score.1],""),
IF(_xlpm.x="","",_xlpm.x)
)</f>
        <v/>
      </c>
      <c r="D34" s="53" t="str" cm="1">
        <f t="array" ref="D34">_xlfn.LET(
_xlpm.x,_xlfn.XLOOKUP(1,(Scores_Fixtures[Date]=A34)*(Scores_Fixtures[Home.1]=B34),Scores_Fixtures[Score.2],""),
IF(_xlpm.x="","",_xlpm.x)
)</f>
        <v/>
      </c>
      <c r="E34" s="12" t="s">
        <v>64</v>
      </c>
      <c r="F34" s="15"/>
      <c r="G34" s="53"/>
      <c r="H34" s="53"/>
      <c r="I34" s="33" t="str" cm="1">
        <f t="array" ref="I34">_xlfn.IFS($D34="","",AND(G34=$C34,H34=$D34),3,($C34-$D34)/MAX(ABS($C34-$D34),1)=(G34-H34)/MAX(ABS(G34-H34),1),1,TRUE,0)</f>
        <v/>
      </c>
      <c r="J34" s="18"/>
      <c r="K34" s="19"/>
      <c r="L34" s="33" t="str" cm="1">
        <f t="array" ref="L34">_xlfn.IFS($D34="","",AND(J34=$C34,K34=$D34),3,($C34-$D34)/MAX(ABS($C34-$D34),1)=(J34-K34)/MAX(ABS(J34-K34),1),1,TRUE,0)</f>
        <v/>
      </c>
      <c r="M34" s="18"/>
      <c r="N34" s="19"/>
      <c r="O34" s="33" t="str" cm="1">
        <f t="array" ref="O34">_xlfn.IFS($D34="","",AND(M34=$C34,N34=$D34),3,($C34-$D34)/MAX(ABS($C34-$D34),1)=(M34-N34)/MAX(ABS(M34-N34),1),1,TRUE,0)</f>
        <v/>
      </c>
      <c r="P34" s="18"/>
      <c r="Q34" s="19"/>
      <c r="R34" s="33" t="str" cm="1">
        <f t="array" ref="R34">_xlfn.IFS($D34="","",AND(P34=$C34,Q34=$D34),3,($C34-$D34)/MAX(ABS($C34-$D34),1)=(P34-Q34)/MAX(ABS(P34-Q34),1),1,TRUE,0)</f>
        <v/>
      </c>
      <c r="S34" s="18"/>
      <c r="T34" s="19"/>
      <c r="U34" s="33" t="str" cm="1">
        <f t="array" ref="U34">_xlfn.IFS($D34="","",AND(S34=$C34,T34=$D34),3,($C34-$D34)/MAX(ABS($C34-$D34),1)=(S34-T34)/MAX(ABS(S34-T34),1),1,TRUE,0)</f>
        <v/>
      </c>
      <c r="V34" s="18"/>
      <c r="W34" s="19"/>
      <c r="X34" s="33" t="str" cm="1">
        <f t="array" ref="X34">_xlfn.IFS($D34="","",AND(V34=$C34,W34=$D34),3,($C34-$D34)/MAX(ABS($C34-$D34),1)=(V34-W34)/MAX(ABS(V34-W34),1),1,TRUE,0)</f>
        <v/>
      </c>
      <c r="Y34" s="18"/>
      <c r="Z34" s="19"/>
      <c r="AA34" s="33" t="str" cm="1">
        <f t="array" ref="AA34">_xlfn.IFS($D34="","",AND(Y34=$C34,Z34=$D34),3,($C34-$D34)/MAX(ABS($C34-$D34),1)=(Y34-Z34)/MAX(ABS(Y34-Z34),1),1,TRUE,0)</f>
        <v/>
      </c>
      <c r="AB34" s="18"/>
      <c r="AC34" s="19"/>
      <c r="AD34" s="33" t="str" cm="1">
        <f t="array" ref="AD34">_xlfn.IFS($D34="","",AND(AB34=$C34,AC34=$D34),3,($C34-$D34)/MAX(ABS($C34-$D34),1)=(AB34-AC34)/MAX(ABS(AB34-AC34),1),1,TRUE,0)</f>
        <v/>
      </c>
      <c r="AE34" s="18"/>
      <c r="AF34" s="19"/>
      <c r="AG34" s="33" t="str" cm="1">
        <f t="array" ref="AG34">_xlfn.IFS($D34="","",AND(AE34=$C34,AF34=$D34),3,($C34-$D34)/MAX(ABS($C34-$D34),1)=(AE34-AF34)/MAX(ABS(AE34-AF34),1),1,TRUE,0)</f>
        <v/>
      </c>
      <c r="AH34" s="18"/>
      <c r="AI34" s="19"/>
      <c r="AJ34" s="33" t="str" cm="1">
        <f t="array" ref="AJ34">_xlfn.IFS($D34="","",AND(AH34=$C34,AI34=$D34),3,($C34-$D34)/MAX(ABS($C34-$D34),1)=(AH34-AI34)/MAX(ABS(AH34-AI34),1),1,TRUE,0)</f>
        <v/>
      </c>
      <c r="AK34" s="18"/>
      <c r="AL34" s="19"/>
      <c r="AM34" s="33" t="str" cm="1">
        <f t="array" ref="AM34">_xlfn.IFS($D34="","",AND(AK34=$C34,AL34=$D34),3,($C34-$D34)/MAX(ABS($C34-$D34),1)=(AK34-AL34)/MAX(ABS(AK34-AL34),1),1,TRUE,0)</f>
        <v/>
      </c>
      <c r="AN34" s="18"/>
      <c r="AO34" s="19"/>
      <c r="AP34" s="33" t="str" cm="1">
        <f t="array" ref="AP34">_xlfn.IFS($D34="","",AND(AN34=$C34,AO34=$D34),3,($C34-$D34)/MAX(ABS($C34-$D34),1)=(AN34-AO34)/MAX(ABS(AN34-AO34),1),1,TRUE,0)</f>
        <v/>
      </c>
      <c r="AQ34" s="18"/>
      <c r="AR34" s="19"/>
      <c r="AS34" s="33" t="str" cm="1">
        <f t="array" ref="AS34">_xlfn.IFS($D34="","",AND(AQ34=$C34,AR34=$D34),3,($C34-$D34)/MAX(ABS($C34-$D34),1)=(AQ34-AR34)/MAX(ABS(AQ34-AR34),1),1,TRUE,0)</f>
        <v/>
      </c>
      <c r="AT34" s="18"/>
      <c r="AU34" s="19"/>
      <c r="AV34" s="33" t="str" cm="1">
        <f t="array" ref="AV34">_xlfn.IFS($D34="","",AND(AT34=$C34,AU34=$D34),3,($C34-$D34)/MAX(ABS($C34-$D34),1)=(AT34-AU34)/MAX(ABS(AT34-AU34),1),1,TRUE,0)</f>
        <v/>
      </c>
      <c r="AW34" s="18"/>
      <c r="AX34" s="19"/>
      <c r="AY34" s="33" t="str" cm="1">
        <f t="array" ref="AY34">_xlfn.IFS($D34="","",AND(AW34=$C34,AX34=$D34),3,($C34-$D34)/MAX(ABS($C34-$D34),1)=(AW34-AX34)/MAX(ABS(AW34-AX34),1),1,TRUE,0)</f>
        <v/>
      </c>
      <c r="AZ34" s="18"/>
      <c r="BA34" s="19"/>
      <c r="BB34" s="33" t="str" cm="1">
        <f t="array" ref="BB34">_xlfn.IFS($D34="","",AND(AZ34=$C34,BA34=$D34),3,($C34-$D34)/MAX(ABS($C34-$D34),1)=(AZ34-BA34)/MAX(ABS(AZ34-BA34),1),1,TRUE,0)</f>
        <v/>
      </c>
      <c r="BC34" s="18"/>
      <c r="BD34" s="19"/>
      <c r="BE34" s="33" t="str" cm="1">
        <f t="array" ref="BE34">_xlfn.IFS($D34="","",AND(BC34=$C34,BD34=$D34),3,($C34-$D34)/MAX(ABS($C34-$D34),1)=(BC34-BD34)/MAX(ABS(BC34-BD34),1),1,TRUE,0)</f>
        <v/>
      </c>
      <c r="BF34" s="18"/>
      <c r="BG34" s="19"/>
      <c r="BH34" s="33" t="str" cm="1">
        <f t="array" ref="BH34">_xlfn.IFS($D34="","",AND(BF34=$C34,BG34=$D34),3,($C34-$D34)/MAX(ABS($C34-$D34),1)=(BF34-BG34)/MAX(ABS(BF34-BG34),1),1,TRUE,0)</f>
        <v/>
      </c>
      <c r="BI34" s="18"/>
      <c r="BJ34" s="19"/>
      <c r="BK34" s="33" t="str" cm="1">
        <f t="array" ref="BK34">_xlfn.IFS($D34="","",AND(BI34=$C34,BJ34=$D34),3,($C34-$D34)/MAX(ABS($C34-$D34),1)=(BI34-BJ34)/MAX(ABS(BI34-BJ34),1),1,TRUE,0)</f>
        <v/>
      </c>
      <c r="BL34" s="18"/>
      <c r="BM34" s="19"/>
      <c r="BN34" s="33" t="str" cm="1">
        <f t="array" ref="BN34">_xlfn.IFS($D34="","",AND(BL34=$C34,BM34=$D34),3,($C34-$D34)/MAX(ABS($C34-$D34),1)=(BL34-BM34)/MAX(ABS(BL34-BM34),1),1,TRUE,0)</f>
        <v/>
      </c>
      <c r="BO34" s="18"/>
      <c r="BP34" s="19"/>
      <c r="BQ34" s="33" t="str" cm="1">
        <f t="array" ref="BQ34">_xlfn.IFS($D34="","",AND(BO34=$C34,BP34=$D34),3,($C34-$D34)/MAX(ABS($C34-$D34),1)=(BO34-BP34)/MAX(ABS(BO34-BP34),1),1,TRUE,0)</f>
        <v/>
      </c>
      <c r="BR34" s="18"/>
      <c r="BS34" s="19"/>
      <c r="BT34" s="33" t="str" cm="1">
        <f t="array" ref="BT34">_xlfn.IFS($D34="","",AND(BR34=$C34,BS34=$D34),3,($C34-$D34)/MAX(ABS($C34-$D34),1)=(BR34-BS34)/MAX(ABS(BR34-BS34),1),1,TRUE,0)</f>
        <v/>
      </c>
      <c r="BU34" s="18"/>
      <c r="BV34" s="19"/>
      <c r="BW34" s="33" t="str" cm="1">
        <f t="array" ref="BW34">_xlfn.IFS($D34="","",AND(BU34=$C34,BV34=$D34),3,($C34-$D34)/MAX(ABS($C34-$D34),1)=(BU34-BV34)/MAX(ABS(BU34-BV34),1),1,TRUE,0)</f>
        <v/>
      </c>
      <c r="BX34" s="18"/>
      <c r="BY34" s="19"/>
      <c r="BZ34" s="33" t="str" cm="1">
        <f t="array" ref="BZ34">_xlfn.IFS($D34="","",AND(BX34=$C34,BY34=$D34),3,($C34-$D34)/MAX(ABS($C34-$D34),1)=(BX34-BY34)/MAX(ABS(BX34-BY34),1),1,TRUE,0)</f>
        <v/>
      </c>
      <c r="CA34" s="18"/>
      <c r="CB34" s="19"/>
      <c r="CC34" s="33" t="str" cm="1">
        <f t="array" ref="CC34">_xlfn.IFS($D34="","",AND(CA34=$C34,CB34=$D34),3,($C34-$D34)/MAX(ABS($C34-$D34),1)=(CA34-CB34)/MAX(ABS(CA34-CB34),1),1,TRUE,0)</f>
        <v/>
      </c>
      <c r="CD34" s="18"/>
      <c r="CE34" s="19"/>
      <c r="CF34" s="33" t="str" cm="1">
        <f t="array" ref="CF34">_xlfn.IFS($D34="","",AND(CD34=$C34,CE34=$D34),3,($C34-$D34)/MAX(ABS($C34-$D34),1)=(CD34-CE34)/MAX(ABS(CD34-CE34),1),1,TRUE,0)</f>
        <v/>
      </c>
      <c r="CG34" s="18"/>
      <c r="CH34" s="19"/>
      <c r="CI34" s="33" t="str" cm="1">
        <f t="array" ref="CI34">_xlfn.IFS($D34="","",AND(CG34=$C34,CH34=$D34),3,($C34-$D34)/MAX(ABS($C34-$D34),1)=(CG34-CH34)/MAX(ABS(CG34-CH34),1),1,TRUE,0)</f>
        <v/>
      </c>
      <c r="CJ34" s="18"/>
      <c r="CK34" s="19"/>
      <c r="CL34" s="33" t="str" cm="1">
        <f t="array" ref="CL34">_xlfn.IFS($D34="","",AND(CJ34=$C34,CK34=$D34),3,($C34-$D34)/MAX(ABS($C34-$D34),1)=(CJ34-CK34)/MAX(ABS(CJ34-CK34),1),1,TRUE,0)</f>
        <v/>
      </c>
      <c r="CM34" s="18"/>
      <c r="CN34" s="19"/>
      <c r="CO34" s="33" t="str" cm="1">
        <f t="array" ref="CO34">_xlfn.IFS($D34="","",AND(CM34=$C34,CN34=$D34),3,($C34-$D34)/MAX(ABS($C34-$D34),1)=(CM34-CN34)/MAX(ABS(CM34-CN34),1),1,TRUE,0)</f>
        <v/>
      </c>
      <c r="CP34" s="18"/>
      <c r="CQ34" s="19"/>
      <c r="CR34" s="33" t="str" cm="1">
        <f t="array" ref="CR34">_xlfn.IFS($D34="","",AND(CP34=$C34,CQ34=$D34),3,($C34-$D34)/MAX(ABS($C34-$D34),1)=(CP34-CQ34)/MAX(ABS(CP34-CQ34),1),1,TRUE,0)</f>
        <v/>
      </c>
      <c r="CS34" s="18"/>
      <c r="CT34" s="19"/>
      <c r="CU34" s="33" t="str" cm="1">
        <f t="array" ref="CU34">_xlfn.IFS($D34="","",AND(CS34=$C34,CT34=$D34),3,($C34-$D34)/MAX(ABS($C34-$D34),1)=(CS34-CT34)/MAX(ABS(CS34-CT34),1),1,TRUE,0)</f>
        <v/>
      </c>
      <c r="CV34" s="18"/>
      <c r="CW34" s="19"/>
      <c r="CX34" s="33" t="str" cm="1">
        <f t="array" ref="CX34">_xlfn.IFS($D34="","",AND(CV34=$C34,CW34=$D34),3,($C34-$D34)/MAX(ABS($C34-$D34),1)=(CV34-CW34)/MAX(ABS(CV34-CW34),1),1,TRUE,0)</f>
        <v/>
      </c>
      <c r="CY34" s="18"/>
      <c r="CZ34" s="19"/>
      <c r="DA34" s="33" t="str" cm="1">
        <f t="array" ref="DA34">_xlfn.IFS($D34="","",AND(CY34=$C34,CZ34=$D34),3,($C34-$D34)/MAX(ABS($C34-$D34),1)=(CY34-CZ34)/MAX(ABS(CY34-CZ34),1),1,TRUE,0)</f>
        <v/>
      </c>
      <c r="DB34" s="37"/>
      <c r="DC34" s="38"/>
      <c r="DD34" s="33" t="str" cm="1">
        <f t="array" ref="DD34">_xlfn.IFS($D34="","",AND(DB34=$C34,DC34=$D34),3,($C34-$D34)/MAX(ABS($C34-$D34),1)=(DB34-DC34)/MAX(ABS(DB34-DC34),1),1,TRUE,0)</f>
        <v/>
      </c>
      <c r="DE34" s="18"/>
      <c r="DF34" s="19"/>
      <c r="DG34" s="33" t="str" cm="1">
        <f t="array" ref="DG34">_xlfn.IFS($D34="","",AND(DE34=$C34,DF34=$D34),3,($C34-$D34)/MAX(ABS($C34-$D34),1)=(DE34-DF34)/MAX(ABS(DE34-DF34),1),1,TRUE,0)</f>
        <v/>
      </c>
      <c r="DH34" s="18"/>
      <c r="DI34" s="19"/>
      <c r="DJ34" s="33" t="str" cm="1">
        <f t="array" ref="DJ34">_xlfn.IFS($D34="","",AND(DH34=$C34,DI34=$D34),3,($C34-$D34)/MAX(ABS($C34-$D34),1)=(DH34-DI34)/MAX(ABS(DH34-DI34),1),1,TRUE,0)</f>
        <v/>
      </c>
      <c r="DK34" s="18"/>
      <c r="DL34" s="19"/>
      <c r="DM34" s="33" t="str" cm="1">
        <f t="array" ref="DM34">_xlfn.IFS($D34="","",AND(DK34=$C34,DL34=$D34),3,($C34-$D34)/MAX(ABS($C34-$D34),1)=(DK34-DL34)/MAX(ABS(DK34-DL34),1),1,TRUE,0)</f>
        <v/>
      </c>
      <c r="DN34" s="18"/>
      <c r="DO34" s="19"/>
      <c r="DP34" s="33" t="str" cm="1">
        <f t="array" ref="DP34">_xlfn.IFS($D34="","",AND(DN34=$C34,DO34=$D34),3,($C34-$D34)/MAX(ABS($C34-$D34),1)=(DN34-DO34)/MAX(ABS(DN34-DO34),1),1,TRUE,0)</f>
        <v/>
      </c>
      <c r="DQ34" s="18"/>
      <c r="DR34" s="19"/>
      <c r="DS34" s="33" t="str" cm="1">
        <f t="array" ref="DS34">_xlfn.IFS($D34="","",AND(DQ34=$C34,DR34=$D34),3,($C34-$D34)/MAX(ABS($C34-$D34),1)=(DQ34-DR34)/MAX(ABS(DQ34-DR34),1),1,TRUE,0)</f>
        <v/>
      </c>
      <c r="DT34" s="18"/>
      <c r="DU34" s="19"/>
      <c r="DV34" s="33" t="str" cm="1">
        <f t="array" ref="DV34">_xlfn.IFS($D34="","",AND(DT34=$C34,DU34=$D34),3,($C34-$D34)/MAX(ABS($C34-$D34),1)=(DT34-DU34)/MAX(ABS(DT34-DU34),1),1,TRUE,0)</f>
        <v/>
      </c>
      <c r="DW34" s="18"/>
      <c r="DX34" s="19"/>
      <c r="DY34" s="33" t="str" cm="1">
        <f t="array" ref="DY34">_xlfn.IFS($D34="","",AND(DW34=$C34,DX34=$D34),3,($C34-$D34)/MAX(ABS($C34-$D34),1)=(DW34-DX34)/MAX(ABS(DW34-DX34),1),1,TRUE,0)</f>
        <v/>
      </c>
      <c r="DZ34" s="18"/>
      <c r="EA34" s="19"/>
      <c r="EB34" s="33" t="str" cm="1">
        <f t="array" ref="EB34">_xlfn.IFS($D34="","",AND(DZ34=$C34,EA34=$D34),3,($C34-$D34)/MAX(ABS($C34-$D34),1)=(DZ34-EA34)/MAX(ABS(DZ34-EA34),1),1,TRUE,0)</f>
        <v/>
      </c>
      <c r="EC34" s="18"/>
      <c r="ED34" s="19"/>
      <c r="EE34" s="33" t="str" cm="1">
        <f t="array" ref="EE34">_xlfn.IFS($D34="","",AND(EC34=$C34,ED34=$D34),3,($C34-$D34)/MAX(ABS($C34-$D34),1)=(EC34-ED34)/MAX(ABS(EC34-ED34),1),1,TRUE,0)</f>
        <v/>
      </c>
      <c r="EF34" s="18"/>
      <c r="EG34" s="19"/>
      <c r="EH34" s="33" t="str" cm="1">
        <f t="array" ref="EH34">_xlfn.IFS($D34="","",AND(EF34=$C34,EG34=$D34),3,($C34-$D34)/MAX(ABS($C34-$D34),1)=(EF34-EG34)/MAX(ABS(EF34-EG34),1),1,TRUE,0)</f>
        <v/>
      </c>
      <c r="EI34" s="43"/>
      <c r="EJ34" s="44"/>
      <c r="EK34" s="33" t="str" cm="1">
        <f t="array" ref="EK34">_xlfn.IFS($D34="","",AND(EI34=$C34,EJ34=$D34),3,($C34-$D34)/MAX(ABS($C34-$D34),1)=(EI34-EJ34)/MAX(ABS(EI34-EJ34),1),1,TRUE,0)</f>
        <v/>
      </c>
      <c r="EL34" s="18"/>
      <c r="EM34" s="19"/>
      <c r="EN34" s="33" t="str" cm="1">
        <f t="array" ref="EN34">_xlfn.IFS($D34="","",AND(EL34=$C34,EM34=$D34),3,($C34-$D34)/MAX(ABS($C34-$D34),1)=(EL34-EM34)/MAX(ABS(EL34-EM34),1),1,TRUE,0)</f>
        <v/>
      </c>
      <c r="EO34" s="18"/>
      <c r="EP34" s="19"/>
      <c r="EQ34" s="33" t="str" cm="1">
        <f t="array" ref="EQ34">_xlfn.IFS($D34="","",AND(EO34=$C34,EP34=$D34),3,($C34-$D34)/MAX(ABS($C34-$D34),1)=(EO34-EP34)/MAX(ABS(EO34-EP34),1),1,TRUE,0)</f>
        <v/>
      </c>
      <c r="ER34" s="18"/>
      <c r="ES34" s="19"/>
      <c r="ET34" s="33" t="str" cm="1">
        <f t="array" ref="ET34">_xlfn.IFS($D34="","",AND(ER34=$C34,ES34=$D34),3,($C34-$D34)/MAX(ABS($C34-$D34),1)=(ER34-ES34)/MAX(ABS(ER34-ES34),1),1,TRUE,0)</f>
        <v/>
      </c>
      <c r="EU34" s="18"/>
      <c r="EV34" s="19"/>
      <c r="EW34" s="33" t="str" cm="1">
        <f t="array" ref="EW34">_xlfn.IFS($D34="","",AND(EU34=$C34,EV34=$D34),3,($C34-$D34)/MAX(ABS($C34-$D34),1)=(EU34-EV34)/MAX(ABS(EU34-EV34),1),1,TRUE,0)</f>
        <v/>
      </c>
      <c r="EX34" s="18"/>
      <c r="EY34" s="19"/>
      <c r="EZ34" s="33" t="str" cm="1">
        <f t="array" ref="EZ34">_xlfn.IFS($D34="","",AND(EX34=$C34,EY34=$D34),3,($C34-$D34)/MAX(ABS($C34-$D34),1)=(EX34-EY34)/MAX(ABS(EX34-EY34),1),1,TRUE,0)</f>
        <v/>
      </c>
      <c r="FA34" s="18"/>
      <c r="FB34" s="19"/>
      <c r="FC34" s="33" t="str" cm="1">
        <f t="array" ref="FC34">_xlfn.IFS($D34="","",AND(FA34=$C34,FB34=$D34),3,($C34-$D34)/MAX(ABS($C34-$D34),1)=(FA34-FB34)/MAX(ABS(FA34-FB34),1),1,TRUE,0)</f>
        <v/>
      </c>
      <c r="FD34" s="18"/>
      <c r="FE34" s="19"/>
      <c r="FF34" s="33" t="str" cm="1">
        <f t="array" ref="FF34">_xlfn.IFS($D34="","",AND(FD34=$C34,FE34=$D34),3,($C34-$D34)/MAX(ABS($C34-$D34),1)=(FD34-FE34)/MAX(ABS(FD34-FE34),1),1,TRUE,0)</f>
        <v/>
      </c>
      <c r="FG34" s="18"/>
      <c r="FH34" s="19"/>
      <c r="FI34" s="33" t="str" cm="1">
        <f t="array" ref="FI34">_xlfn.IFS($D34="","",AND(FG34=$C34,FH34=$D34),3,($C34-$D34)/MAX(ABS($C34-$D34),1)=(FG34-FH34)/MAX(ABS(FG34-FH34),1),1,TRUE,0)</f>
        <v/>
      </c>
      <c r="FJ34" s="18"/>
      <c r="FK34" s="19"/>
      <c r="FL34" s="33" t="str" cm="1">
        <f t="array" ref="FL34">_xlfn.IFS($D34="","",AND(FJ34=$C34,FK34=$D34),3,($C34-$D34)/MAX(ABS($C34-$D34),1)=(FJ34-FK34)/MAX(ABS(FJ34-FK34),1),1,TRUE,0)</f>
        <v/>
      </c>
      <c r="FM34" s="18"/>
      <c r="FN34" s="19"/>
      <c r="FO34" s="33" t="str" cm="1">
        <f t="array" ref="FO34">_xlfn.IFS($D34="","",AND(FM34=$C34,FN34=$D34),3,($C34-$D34)/MAX(ABS($C34-$D34),1)=(FM34-FN34)/MAX(ABS(FM34-FN34),1),1,TRUE,0)</f>
        <v/>
      </c>
      <c r="FP34" s="18"/>
      <c r="FQ34" s="19"/>
      <c r="FR34" s="33" t="str" cm="1">
        <f t="array" ref="FR34">_xlfn.IFS($D34="","",AND(FP34=$C34,FQ34=$D34),3,($C34-$D34)/MAX(ABS($C34-$D34),1)=(FP34-FQ34)/MAX(ABS(FP34-FQ34),1),1,TRUE,0)</f>
        <v/>
      </c>
      <c r="FS34" s="18"/>
      <c r="FT34" s="19"/>
      <c r="FU34" s="33" t="str" cm="1">
        <f t="array" ref="FU34">_xlfn.IFS($D34="","",AND(FS34=$C34,FT34=$D34),3,($C34-$D34)/MAX(ABS($C34-$D34),1)=(FS34-FT34)/MAX(ABS(FS34-FT34),1),1,TRUE,0)</f>
        <v/>
      </c>
      <c r="FV34" s="18"/>
      <c r="FW34" s="19"/>
      <c r="FX34" s="33" t="str" cm="1">
        <f t="array" ref="FX34">_xlfn.IFS($D34="","",AND(FV34=$C34,FW34=$D34),3,($C34-$D34)/MAX(ABS($C34-$D34),1)=(FV34-FW34)/MAX(ABS(FV34-FW34),1),1,TRUE,0)</f>
        <v/>
      </c>
      <c r="FY34" s="18"/>
      <c r="FZ34" s="19"/>
      <c r="GA34" s="33" t="str" cm="1">
        <f t="array" ref="GA34">_xlfn.IFS($D34="","",AND(FY34=$C34,FZ34=$D34),3,($C34-$D34)/MAX(ABS($C34-$D34),1)=(FY34-FZ34)/MAX(ABS(FY34-FZ34),1),1,TRUE,0)</f>
        <v/>
      </c>
      <c r="GB34" s="18"/>
      <c r="GC34" s="19"/>
      <c r="GD34" s="33" t="str" cm="1">
        <f t="array" ref="GD34">_xlfn.IFS($D34="","",AND(GB34=$C34,GC34=$D34),3,($C34-$D34)/MAX(ABS($C34-$D34),1)=(GB34-GC34)/MAX(ABS(GB34-GC34),1),1,TRUE,0)</f>
        <v/>
      </c>
      <c r="GE34" s="47"/>
      <c r="GF34" s="45"/>
      <c r="GG34" s="33" t="str" cm="1">
        <f t="array" ref="GG34">_xlfn.IFS($D34="","",AND(GE34=$C34,GF34=$D34),3,($C34-$D34)/MAX(ABS($C34-$D34),1)=(GE34-GF34)/MAX(ABS(GE34-GF34),1),1,TRUE,0)</f>
        <v/>
      </c>
      <c r="GH34" s="18"/>
      <c r="GI34" s="19"/>
      <c r="GJ34" s="33" t="str" cm="1">
        <f t="array" ref="GJ34">_xlfn.IFS($D34="","",AND(GH34=$C34,GI34=$D34),3,($C34-$D34)/MAX(ABS($C34-$D34),1)=(GH34-GI34)/MAX(ABS(GH34-GI34),1),1,TRUE,0)</f>
        <v/>
      </c>
      <c r="GK34" s="18"/>
      <c r="GL34" s="19"/>
      <c r="GM34" s="33" t="str" cm="1">
        <f t="array" ref="GM34">_xlfn.IFS($D34="","",AND(GK34=$C34,GL34=$D34),3,($C34-$D34)/MAX(ABS($C34-$D34),1)=(GK34-GL34)/MAX(ABS(GK34-GL34),1),1,TRUE,0)</f>
        <v/>
      </c>
      <c r="GN34" s="18"/>
      <c r="GO34" s="19"/>
      <c r="GP34" s="33" t="str" cm="1">
        <f t="array" ref="GP34">_xlfn.IFS($D34="","",AND(GN34=$C34,GO34=$D34),3,($C34-$D34)/MAX(ABS($C34-$D34),1)=(GN34-GO34)/MAX(ABS(GN34-GO34),1),1,TRUE,0)</f>
        <v/>
      </c>
      <c r="GQ34" s="18"/>
      <c r="GR34" s="19"/>
      <c r="GS34" s="33" t="str" cm="1">
        <f t="array" ref="GS34">_xlfn.IFS($D34="","",AND(GQ34=$C34,GR34=$D34),3,($C34-$D34)/MAX(ABS($C34-$D34),1)=(GQ34-GR34)/MAX(ABS(GQ34-GR34),1),1,TRUE,0)</f>
        <v/>
      </c>
      <c r="GT34" s="18"/>
      <c r="GU34" s="19"/>
      <c r="GV34" s="33" t="str" cm="1">
        <f t="array" ref="GV34">_xlfn.IFS($D34="","",AND(GT34=$C34,GU34=$D34),3,($C34-$D34)/MAX(ABS($C34-$D34),1)=(GT34-GU34)/MAX(ABS(GT34-GU34),1),1,TRUE,0)</f>
        <v/>
      </c>
      <c r="GW34" s="18"/>
      <c r="GX34" s="19"/>
      <c r="GY34" s="33" t="str" cm="1">
        <f t="array" ref="GY34">_xlfn.IFS($D34="","",AND(GW34=$C34,GX34=$D34),3,($C34-$D34)/MAX(ABS($C34-$D34),1)=(GW34-GX34)/MAX(ABS(GW34-GX34),1),1,TRUE,0)</f>
        <v/>
      </c>
      <c r="GZ34" s="18"/>
      <c r="HA34" s="19"/>
      <c r="HB34" s="33" t="str" cm="1">
        <f t="array" ref="HB34">_xlfn.IFS($D34="","",AND(GZ34=$C34,HA34=$D34),3,($C34-$D34)/MAX(ABS($C34-$D34),1)=(GZ34-HA34)/MAX(ABS(GZ34-HA34),1),1,TRUE,0)</f>
        <v/>
      </c>
      <c r="HC34" s="18"/>
      <c r="HD34" s="19"/>
      <c r="HE34" s="33" t="str" cm="1">
        <f t="array" ref="HE34">_xlfn.IFS($D34="","",AND(HC34=$C34,HD34=$D34),3,($C34-$D34)/MAX(ABS($C34-$D34),1)=(HC34-HD34)/MAX(ABS(HC34-HD34),1),1,TRUE,0)</f>
        <v/>
      </c>
      <c r="HF34" s="18"/>
      <c r="HG34" s="19"/>
      <c r="HH34" s="33" t="str" cm="1">
        <f t="array" ref="HH34">_xlfn.IFS($D34="","",AND(HF34=$C34,HG34=$D34),3,($C34-$D34)/MAX(ABS($C34-$D34),1)=(HF34-HG34)/MAX(ABS(HF34-HG34),1),1,TRUE,0)</f>
        <v/>
      </c>
      <c r="HI34" s="18"/>
      <c r="HJ34" s="19"/>
      <c r="HK34" s="33" t="str" cm="1">
        <f t="array" ref="HK34">_xlfn.IFS($D34="","",AND(HI34=$C34,HJ34=$D34),3,($C34-$D34)/MAX(ABS($C34-$D34),1)=(HI34-HJ34)/MAX(ABS(HI34-HJ34),1),1,TRUE,0)</f>
        <v/>
      </c>
      <c r="HL34" s="18"/>
      <c r="HM34" s="19"/>
      <c r="HN34" s="33" t="str" cm="1">
        <f t="array" ref="HN34">_xlfn.IFS($D34="","",AND(HL34=$C34,HM34=$D34),3,($C34-$D34)/MAX(ABS($C34-$D34),1)=(HL34-HM34)/MAX(ABS(HL34-HM34),1),1,TRUE,0)</f>
        <v/>
      </c>
      <c r="HO34" s="18"/>
      <c r="HP34" s="19"/>
      <c r="HQ34" s="33" t="str" cm="1">
        <f t="array" ref="HQ34">_xlfn.IFS($D34="","",AND(HO34=$C34,HP34=$D34),3,($C34-$D34)/MAX(ABS($C34-$D34),1)=(HO34-HP34)/MAX(ABS(HO34-HP34),1),1,TRUE,0)</f>
        <v/>
      </c>
      <c r="HR34" s="18"/>
      <c r="HS34" s="19"/>
      <c r="HT34" s="33" t="str" cm="1">
        <f t="array" ref="HT34">_xlfn.IFS($D34="","",AND(HR34=$C34,HS34=$D34),3,($C34-$D34)/MAX(ABS($C34-$D34),1)=(HR34-HS34)/MAX(ABS(HR34-HS34),1),1,TRUE,0)</f>
        <v/>
      </c>
      <c r="HU34" s="18"/>
      <c r="HV34" s="19"/>
      <c r="HW34" s="33" t="str" cm="1">
        <f t="array" ref="HW34">_xlfn.IFS($D34="","",AND(HU34=$C34,HV34=$D34),3,($C34-$D34)/MAX(ABS($C34-$D34),1)=(HU34-HV34)/MAX(ABS(HU34-HV34),1),1,TRUE,0)</f>
        <v/>
      </c>
      <c r="HX34" s="18"/>
      <c r="HY34" s="19"/>
      <c r="HZ34" s="33" t="str" cm="1">
        <f t="array" ref="HZ34">_xlfn.IFS($D34="","",AND(HX34=$C34,HY34=$D34),3,($C34-$D34)/MAX(ABS($C34-$D34),1)=(HX34-HY34)/MAX(ABS(HX34-HY34),1),1,TRUE,0)</f>
        <v/>
      </c>
      <c r="IA34" s="18"/>
      <c r="IB34" s="19"/>
      <c r="IC34" s="33" t="str" cm="1">
        <f t="array" ref="IC34">_xlfn.IFS($D34="","",AND(IA34=$C34,IB34=$D34),3,($C34-$D34)/MAX(ABS($C34-$D34),1)=(IA34-IB34)/MAX(ABS(IA34-IB34),1),1,TRUE,0)</f>
        <v/>
      </c>
      <c r="ID34" s="18"/>
      <c r="IE34" s="19"/>
      <c r="IF34" s="33" t="str" cm="1">
        <f t="array" ref="IF34">_xlfn.IFS($D34="","",AND(ID34=$C34,IE34=$D34),3,($C34-$D34)/MAX(ABS($C34-$D34),1)=(ID34-IE34)/MAX(ABS(ID34-IE34),1),1,TRUE,0)</f>
        <v/>
      </c>
      <c r="IG34" s="18"/>
      <c r="IH34" s="19"/>
      <c r="II34" s="33" t="str" cm="1">
        <f t="array" ref="II34">_xlfn.IFS($D34="","",AND(IG34=$C34,IH34=$D34),3,($C34-$D34)/MAX(ABS($C34-$D34),1)=(IG34-IH34)/MAX(ABS(IG34-IH34),1),1,TRUE,0)</f>
        <v/>
      </c>
      <c r="IJ34" s="18"/>
      <c r="IK34" s="19"/>
      <c r="IL34" s="33" t="str" cm="1">
        <f t="array" ref="IL34">_xlfn.IFS($D34="","",AND(IJ34=$C34,IK34=$D34),3,($C34-$D34)/MAX(ABS($C34-$D34),1)=(IJ34-IK34)/MAX(ABS(IJ34-IK34),1),1,TRUE,0)</f>
        <v/>
      </c>
      <c r="IM34" s="18"/>
      <c r="IN34" s="19"/>
      <c r="IO34" s="33" t="str" cm="1">
        <f t="array" ref="IO34">_xlfn.IFS($D34="","",AND(IM34=$C34,IN34=$D34),3,($C34-$D34)/MAX(ABS($C34-$D34),1)=(IM34-IN34)/MAX(ABS(IM34-IN34),1),1,TRUE,0)</f>
        <v/>
      </c>
      <c r="IP34" s="18"/>
      <c r="IQ34" s="19"/>
      <c r="IR34" s="33" t="str" cm="1">
        <f t="array" ref="IR34">_xlfn.IFS($D34="","",AND(IP34=$C34,IQ34=$D34),3,($C34-$D34)/MAX(ABS($C34-$D34),1)=(IP34-IQ34)/MAX(ABS(IP34-IQ34),1),1,TRUE,0)</f>
        <v/>
      </c>
      <c r="IS34" s="18"/>
      <c r="IT34" s="19"/>
      <c r="IU34" s="33" t="str" cm="1">
        <f t="array" ref="IU34">_xlfn.IFS($D34="","",AND(IS34=$C34,IT34=$D34),3,($C34-$D34)/MAX(ABS($C34-$D34),1)=(IS34-IT34)/MAX(ABS(IS34-IT34),1),1,TRUE,0)</f>
        <v/>
      </c>
      <c r="IV34" s="18"/>
      <c r="IW34" s="19"/>
      <c r="IX34" s="33" t="str" cm="1">
        <f t="array" ref="IX34">_xlfn.IFS($D34="","",AND(IV34=$C34,IW34=$D34),3,($C34-$D34)/MAX(ABS($C34-$D34),1)=(IV34-IW34)/MAX(ABS(IV34-IW34),1),1,TRUE,0)</f>
        <v/>
      </c>
      <c r="IY34" s="18"/>
      <c r="IZ34" s="19"/>
      <c r="JA34" s="33" t="str" cm="1">
        <f t="array" ref="JA34">_xlfn.IFS($D34="","",AND(IY34=$C34,IZ34=$D34),3,($C34-$D34)/MAX(ABS($C34-$D34),1)=(IY34-IZ34)/MAX(ABS(IY34-IZ34),1),1,TRUE,0)</f>
        <v/>
      </c>
      <c r="JB34" s="18"/>
      <c r="JC34" s="19"/>
      <c r="JD34" s="33" t="str" cm="1">
        <f t="array" ref="JD34">_xlfn.IFS($D34="","",AND(JB34=$C34,JC34=$D34),3,($C34-$D34)/MAX(ABS($C34-$D34),1)=(JB34-JC34)/MAX(ABS(JB34-JC34),1),1,TRUE,0)</f>
        <v/>
      </c>
    </row>
    <row r="35" spans="1:264" ht="15" thickBot="1" x14ac:dyDescent="0.35">
      <c r="A35" s="22">
        <v>46193</v>
      </c>
      <c r="B35" s="28" t="s">
        <v>10</v>
      </c>
      <c r="C35" s="53" t="str" cm="1">
        <f t="array" ref="C35">_xlfn.LET(
_xlpm.x,_xlfn.XLOOKUP(1,(Scores_Fixtures[Date]=A35)*(Scores_Fixtures[Home.1]=B35),Scores_Fixtures[Score.1],""),
IF(_xlpm.x="","",_xlpm.x)
)</f>
        <v/>
      </c>
      <c r="D35" s="53" t="str" cm="1">
        <f t="array" ref="D35">_xlfn.LET(
_xlpm.x,_xlfn.XLOOKUP(1,(Scores_Fixtures[Date]=A35)*(Scores_Fixtures[Home.1]=B35),Scores_Fixtures[Score.2],""),
IF(_xlpm.x="","",_xlpm.x)
)</f>
        <v/>
      </c>
      <c r="E35" s="12" t="s">
        <v>43</v>
      </c>
      <c r="F35" s="15"/>
      <c r="G35" s="53"/>
      <c r="H35" s="53"/>
      <c r="I35" s="33" t="str" cm="1">
        <f t="array" ref="I35">_xlfn.IFS($D35="","",AND(G35=$C35,H35=$D35),3,($C35-$D35)/MAX(ABS($C35-$D35),1)=(G35-H35)/MAX(ABS(G35-H35),1),1,TRUE,0)</f>
        <v/>
      </c>
      <c r="J35" s="18"/>
      <c r="K35" s="19"/>
      <c r="L35" s="33" t="str" cm="1">
        <f t="array" ref="L35">_xlfn.IFS($D35="","",AND(J35=$C35,K35=$D35),3,($C35-$D35)/MAX(ABS($C35-$D35),1)=(J35-K35)/MAX(ABS(J35-K35),1),1,TRUE,0)</f>
        <v/>
      </c>
      <c r="M35" s="18"/>
      <c r="N35" s="19"/>
      <c r="O35" s="33" t="str" cm="1">
        <f t="array" ref="O35">_xlfn.IFS($D35="","",AND(M35=$C35,N35=$D35),3,($C35-$D35)/MAX(ABS($C35-$D35),1)=(M35-N35)/MAX(ABS(M35-N35),1),1,TRUE,0)</f>
        <v/>
      </c>
      <c r="P35" s="18"/>
      <c r="Q35" s="19"/>
      <c r="R35" s="33" t="str" cm="1">
        <f t="array" ref="R35">_xlfn.IFS($D35="","",AND(P35=$C35,Q35=$D35),3,($C35-$D35)/MAX(ABS($C35-$D35),1)=(P35-Q35)/MAX(ABS(P35-Q35),1),1,TRUE,0)</f>
        <v/>
      </c>
      <c r="S35" s="18"/>
      <c r="T35" s="19"/>
      <c r="U35" s="33" t="str" cm="1">
        <f t="array" ref="U35">_xlfn.IFS($D35="","",AND(S35=$C35,T35=$D35),3,($C35-$D35)/MAX(ABS($C35-$D35),1)=(S35-T35)/MAX(ABS(S35-T35),1),1,TRUE,0)</f>
        <v/>
      </c>
      <c r="V35" s="18"/>
      <c r="W35" s="19"/>
      <c r="X35" s="33" t="str" cm="1">
        <f t="array" ref="X35">_xlfn.IFS($D35="","",AND(V35=$C35,W35=$D35),3,($C35-$D35)/MAX(ABS($C35-$D35),1)=(V35-W35)/MAX(ABS(V35-W35),1),1,TRUE,0)</f>
        <v/>
      </c>
      <c r="Y35" s="18"/>
      <c r="Z35" s="19"/>
      <c r="AA35" s="33" t="str" cm="1">
        <f t="array" ref="AA35">_xlfn.IFS($D35="","",AND(Y35=$C35,Z35=$D35),3,($C35-$D35)/MAX(ABS($C35-$D35),1)=(Y35-Z35)/MAX(ABS(Y35-Z35),1),1,TRUE,0)</f>
        <v/>
      </c>
      <c r="AB35" s="18"/>
      <c r="AC35" s="19"/>
      <c r="AD35" s="33" t="str" cm="1">
        <f t="array" ref="AD35">_xlfn.IFS($D35="","",AND(AB35=$C35,AC35=$D35),3,($C35-$D35)/MAX(ABS($C35-$D35),1)=(AB35-AC35)/MAX(ABS(AB35-AC35),1),1,TRUE,0)</f>
        <v/>
      </c>
      <c r="AE35" s="18"/>
      <c r="AF35" s="19"/>
      <c r="AG35" s="33" t="str" cm="1">
        <f t="array" ref="AG35">_xlfn.IFS($D35="","",AND(AE35=$C35,AF35=$D35),3,($C35-$D35)/MAX(ABS($C35-$D35),1)=(AE35-AF35)/MAX(ABS(AE35-AF35),1),1,TRUE,0)</f>
        <v/>
      </c>
      <c r="AH35" s="18"/>
      <c r="AI35" s="19"/>
      <c r="AJ35" s="33" t="str" cm="1">
        <f t="array" ref="AJ35">_xlfn.IFS($D35="","",AND(AH35=$C35,AI35=$D35),3,($C35-$D35)/MAX(ABS($C35-$D35),1)=(AH35-AI35)/MAX(ABS(AH35-AI35),1),1,TRUE,0)</f>
        <v/>
      </c>
      <c r="AK35" s="18"/>
      <c r="AL35" s="19"/>
      <c r="AM35" s="33" t="str" cm="1">
        <f t="array" ref="AM35">_xlfn.IFS($D35="","",AND(AK35=$C35,AL35=$D35),3,($C35-$D35)/MAX(ABS($C35-$D35),1)=(AK35-AL35)/MAX(ABS(AK35-AL35),1),1,TRUE,0)</f>
        <v/>
      </c>
      <c r="AN35" s="18"/>
      <c r="AO35" s="19"/>
      <c r="AP35" s="33" t="str" cm="1">
        <f t="array" ref="AP35">_xlfn.IFS($D35="","",AND(AN35=$C35,AO35=$D35),3,($C35-$D35)/MAX(ABS($C35-$D35),1)=(AN35-AO35)/MAX(ABS(AN35-AO35),1),1,TRUE,0)</f>
        <v/>
      </c>
      <c r="AQ35" s="18"/>
      <c r="AR35" s="19"/>
      <c r="AS35" s="33" t="str" cm="1">
        <f t="array" ref="AS35">_xlfn.IFS($D35="","",AND(AQ35=$C35,AR35=$D35),3,($C35-$D35)/MAX(ABS($C35-$D35),1)=(AQ35-AR35)/MAX(ABS(AQ35-AR35),1),1,TRUE,0)</f>
        <v/>
      </c>
      <c r="AT35" s="18"/>
      <c r="AU35" s="19"/>
      <c r="AV35" s="33" t="str" cm="1">
        <f t="array" ref="AV35">_xlfn.IFS($D35="","",AND(AT35=$C35,AU35=$D35),3,($C35-$D35)/MAX(ABS($C35-$D35),1)=(AT35-AU35)/MAX(ABS(AT35-AU35),1),1,TRUE,0)</f>
        <v/>
      </c>
      <c r="AW35" s="18"/>
      <c r="AX35" s="19"/>
      <c r="AY35" s="33" t="str" cm="1">
        <f t="array" ref="AY35">_xlfn.IFS($D35="","",AND(AW35=$C35,AX35=$D35),3,($C35-$D35)/MAX(ABS($C35-$D35),1)=(AW35-AX35)/MAX(ABS(AW35-AX35),1),1,TRUE,0)</f>
        <v/>
      </c>
      <c r="AZ35" s="18"/>
      <c r="BA35" s="19"/>
      <c r="BB35" s="33" t="str" cm="1">
        <f t="array" ref="BB35">_xlfn.IFS($D35="","",AND(AZ35=$C35,BA35=$D35),3,($C35-$D35)/MAX(ABS($C35-$D35),1)=(AZ35-BA35)/MAX(ABS(AZ35-BA35),1),1,TRUE,0)</f>
        <v/>
      </c>
      <c r="BC35" s="18"/>
      <c r="BD35" s="19"/>
      <c r="BE35" s="33" t="str" cm="1">
        <f t="array" ref="BE35">_xlfn.IFS($D35="","",AND(BC35=$C35,BD35=$D35),3,($C35-$D35)/MAX(ABS($C35-$D35),1)=(BC35-BD35)/MAX(ABS(BC35-BD35),1),1,TRUE,0)</f>
        <v/>
      </c>
      <c r="BF35" s="18"/>
      <c r="BG35" s="19"/>
      <c r="BH35" s="33" t="str" cm="1">
        <f t="array" ref="BH35">_xlfn.IFS($D35="","",AND(BF35=$C35,BG35=$D35),3,($C35-$D35)/MAX(ABS($C35-$D35),1)=(BF35-BG35)/MAX(ABS(BF35-BG35),1),1,TRUE,0)</f>
        <v/>
      </c>
      <c r="BI35" s="18"/>
      <c r="BJ35" s="19"/>
      <c r="BK35" s="33" t="str" cm="1">
        <f t="array" ref="BK35">_xlfn.IFS($D35="","",AND(BI35=$C35,BJ35=$D35),3,($C35-$D35)/MAX(ABS($C35-$D35),1)=(BI35-BJ35)/MAX(ABS(BI35-BJ35),1),1,TRUE,0)</f>
        <v/>
      </c>
      <c r="BL35" s="18"/>
      <c r="BM35" s="19"/>
      <c r="BN35" s="33" t="str" cm="1">
        <f t="array" ref="BN35">_xlfn.IFS($D35="","",AND(BL35=$C35,BM35=$D35),3,($C35-$D35)/MAX(ABS($C35-$D35),1)=(BL35-BM35)/MAX(ABS(BL35-BM35),1),1,TRUE,0)</f>
        <v/>
      </c>
      <c r="BO35" s="18"/>
      <c r="BP35" s="19"/>
      <c r="BQ35" s="33" t="str" cm="1">
        <f t="array" ref="BQ35">_xlfn.IFS($D35="","",AND(BO35=$C35,BP35=$D35),3,($C35-$D35)/MAX(ABS($C35-$D35),1)=(BO35-BP35)/MAX(ABS(BO35-BP35),1),1,TRUE,0)</f>
        <v/>
      </c>
      <c r="BR35" s="18"/>
      <c r="BS35" s="19"/>
      <c r="BT35" s="33" t="str" cm="1">
        <f t="array" ref="BT35">_xlfn.IFS($D35="","",AND(BR35=$C35,BS35=$D35),3,($C35-$D35)/MAX(ABS($C35-$D35),1)=(BR35-BS35)/MAX(ABS(BR35-BS35),1),1,TRUE,0)</f>
        <v/>
      </c>
      <c r="BU35" s="18"/>
      <c r="BV35" s="19"/>
      <c r="BW35" s="33" t="str" cm="1">
        <f t="array" ref="BW35">_xlfn.IFS($D35="","",AND(BU35=$C35,BV35=$D35),3,($C35-$D35)/MAX(ABS($C35-$D35),1)=(BU35-BV35)/MAX(ABS(BU35-BV35),1),1,TRUE,0)</f>
        <v/>
      </c>
      <c r="BX35" s="18"/>
      <c r="BY35" s="19"/>
      <c r="BZ35" s="33" t="str" cm="1">
        <f t="array" ref="BZ35">_xlfn.IFS($D35="","",AND(BX35=$C35,BY35=$D35),3,($C35-$D35)/MAX(ABS($C35-$D35),1)=(BX35-BY35)/MAX(ABS(BX35-BY35),1),1,TRUE,0)</f>
        <v/>
      </c>
      <c r="CA35" s="18"/>
      <c r="CB35" s="19"/>
      <c r="CC35" s="33" t="str" cm="1">
        <f t="array" ref="CC35">_xlfn.IFS($D35="","",AND(CA35=$C35,CB35=$D35),3,($C35-$D35)/MAX(ABS($C35-$D35),1)=(CA35-CB35)/MAX(ABS(CA35-CB35),1),1,TRUE,0)</f>
        <v/>
      </c>
      <c r="CD35" s="18"/>
      <c r="CE35" s="19"/>
      <c r="CF35" s="33" t="str" cm="1">
        <f t="array" ref="CF35">_xlfn.IFS($D35="","",AND(CD35=$C35,CE35=$D35),3,($C35-$D35)/MAX(ABS($C35-$D35),1)=(CD35-CE35)/MAX(ABS(CD35-CE35),1),1,TRUE,0)</f>
        <v/>
      </c>
      <c r="CG35" s="18"/>
      <c r="CH35" s="19"/>
      <c r="CI35" s="33" t="str" cm="1">
        <f t="array" ref="CI35">_xlfn.IFS($D35="","",AND(CG35=$C35,CH35=$D35),3,($C35-$D35)/MAX(ABS($C35-$D35),1)=(CG35-CH35)/MAX(ABS(CG35-CH35),1),1,TRUE,0)</f>
        <v/>
      </c>
      <c r="CJ35" s="18"/>
      <c r="CK35" s="19"/>
      <c r="CL35" s="33" t="str" cm="1">
        <f t="array" ref="CL35">_xlfn.IFS($D35="","",AND(CJ35=$C35,CK35=$D35),3,($C35-$D35)/MAX(ABS($C35-$D35),1)=(CJ35-CK35)/MAX(ABS(CJ35-CK35),1),1,TRUE,0)</f>
        <v/>
      </c>
      <c r="CM35" s="18"/>
      <c r="CN35" s="19"/>
      <c r="CO35" s="33" t="str" cm="1">
        <f t="array" ref="CO35">_xlfn.IFS($D35="","",AND(CM35=$C35,CN35=$D35),3,($C35-$D35)/MAX(ABS($C35-$D35),1)=(CM35-CN35)/MAX(ABS(CM35-CN35),1),1,TRUE,0)</f>
        <v/>
      </c>
      <c r="CP35" s="18"/>
      <c r="CQ35" s="19"/>
      <c r="CR35" s="33" t="str" cm="1">
        <f t="array" ref="CR35">_xlfn.IFS($D35="","",AND(CP35=$C35,CQ35=$D35),3,($C35-$D35)/MAX(ABS($C35-$D35),1)=(CP35-CQ35)/MAX(ABS(CP35-CQ35),1),1,TRUE,0)</f>
        <v/>
      </c>
      <c r="CS35" s="18"/>
      <c r="CT35" s="19"/>
      <c r="CU35" s="33" t="str" cm="1">
        <f t="array" ref="CU35">_xlfn.IFS($D35="","",AND(CS35=$C35,CT35=$D35),3,($C35-$D35)/MAX(ABS($C35-$D35),1)=(CS35-CT35)/MAX(ABS(CS35-CT35),1),1,TRUE,0)</f>
        <v/>
      </c>
      <c r="CV35" s="18"/>
      <c r="CW35" s="19"/>
      <c r="CX35" s="33" t="str" cm="1">
        <f t="array" ref="CX35">_xlfn.IFS($D35="","",AND(CV35=$C35,CW35=$D35),3,($C35-$D35)/MAX(ABS($C35-$D35),1)=(CV35-CW35)/MAX(ABS(CV35-CW35),1),1,TRUE,0)</f>
        <v/>
      </c>
      <c r="CY35" s="18"/>
      <c r="CZ35" s="19"/>
      <c r="DA35" s="33" t="str" cm="1">
        <f t="array" ref="DA35">_xlfn.IFS($D35="","",AND(CY35=$C35,CZ35=$D35),3,($C35-$D35)/MAX(ABS($C35-$D35),1)=(CY35-CZ35)/MAX(ABS(CY35-CZ35),1),1,TRUE,0)</f>
        <v/>
      </c>
      <c r="DB35" s="37"/>
      <c r="DC35" s="38"/>
      <c r="DD35" s="33" t="str" cm="1">
        <f t="array" ref="DD35">_xlfn.IFS($D35="","",AND(DB35=$C35,DC35=$D35),3,($C35-$D35)/MAX(ABS($C35-$D35),1)=(DB35-DC35)/MAX(ABS(DB35-DC35),1),1,TRUE,0)</f>
        <v/>
      </c>
      <c r="DE35" s="18"/>
      <c r="DF35" s="19"/>
      <c r="DG35" s="33" t="str" cm="1">
        <f t="array" ref="DG35">_xlfn.IFS($D35="","",AND(DE35=$C35,DF35=$D35),3,($C35-$D35)/MAX(ABS($C35-$D35),1)=(DE35-DF35)/MAX(ABS(DE35-DF35),1),1,TRUE,0)</f>
        <v/>
      </c>
      <c r="DH35" s="18"/>
      <c r="DI35" s="19"/>
      <c r="DJ35" s="33" t="str" cm="1">
        <f t="array" ref="DJ35">_xlfn.IFS($D35="","",AND(DH35=$C35,DI35=$D35),3,($C35-$D35)/MAX(ABS($C35-$D35),1)=(DH35-DI35)/MAX(ABS(DH35-DI35),1),1,TRUE,0)</f>
        <v/>
      </c>
      <c r="DK35" s="18"/>
      <c r="DL35" s="19"/>
      <c r="DM35" s="33" t="str" cm="1">
        <f t="array" ref="DM35">_xlfn.IFS($D35="","",AND(DK35=$C35,DL35=$D35),3,($C35-$D35)/MAX(ABS($C35-$D35),1)=(DK35-DL35)/MAX(ABS(DK35-DL35),1),1,TRUE,0)</f>
        <v/>
      </c>
      <c r="DN35" s="18"/>
      <c r="DO35" s="19"/>
      <c r="DP35" s="33" t="str" cm="1">
        <f t="array" ref="DP35">_xlfn.IFS($D35="","",AND(DN35=$C35,DO35=$D35),3,($C35-$D35)/MAX(ABS($C35-$D35),1)=(DN35-DO35)/MAX(ABS(DN35-DO35),1),1,TRUE,0)</f>
        <v/>
      </c>
      <c r="DQ35" s="18"/>
      <c r="DR35" s="19"/>
      <c r="DS35" s="33" t="str" cm="1">
        <f t="array" ref="DS35">_xlfn.IFS($D35="","",AND(DQ35=$C35,DR35=$D35),3,($C35-$D35)/MAX(ABS($C35-$D35),1)=(DQ35-DR35)/MAX(ABS(DQ35-DR35),1),1,TRUE,0)</f>
        <v/>
      </c>
      <c r="DT35" s="18"/>
      <c r="DU35" s="19"/>
      <c r="DV35" s="33" t="str" cm="1">
        <f t="array" ref="DV35">_xlfn.IFS($D35="","",AND(DT35=$C35,DU35=$D35),3,($C35-$D35)/MAX(ABS($C35-$D35),1)=(DT35-DU35)/MAX(ABS(DT35-DU35),1),1,TRUE,0)</f>
        <v/>
      </c>
      <c r="DW35" s="18"/>
      <c r="DX35" s="19"/>
      <c r="DY35" s="33" t="str" cm="1">
        <f t="array" ref="DY35">_xlfn.IFS($D35="","",AND(DW35=$C35,DX35=$D35),3,($C35-$D35)/MAX(ABS($C35-$D35),1)=(DW35-DX35)/MAX(ABS(DW35-DX35),1),1,TRUE,0)</f>
        <v/>
      </c>
      <c r="DZ35" s="18"/>
      <c r="EA35" s="19"/>
      <c r="EB35" s="33" t="str" cm="1">
        <f t="array" ref="EB35">_xlfn.IFS($D35="","",AND(DZ35=$C35,EA35=$D35),3,($C35-$D35)/MAX(ABS($C35-$D35),1)=(DZ35-EA35)/MAX(ABS(DZ35-EA35),1),1,TRUE,0)</f>
        <v/>
      </c>
      <c r="EC35" s="18"/>
      <c r="ED35" s="19"/>
      <c r="EE35" s="33" t="str" cm="1">
        <f t="array" ref="EE35">_xlfn.IFS($D35="","",AND(EC35=$C35,ED35=$D35),3,($C35-$D35)/MAX(ABS($C35-$D35),1)=(EC35-ED35)/MAX(ABS(EC35-ED35),1),1,TRUE,0)</f>
        <v/>
      </c>
      <c r="EF35" s="18"/>
      <c r="EG35" s="19"/>
      <c r="EH35" s="33" t="str" cm="1">
        <f t="array" ref="EH35">_xlfn.IFS($D35="","",AND(EF35=$C35,EG35=$D35),3,($C35-$D35)/MAX(ABS($C35-$D35),1)=(EF35-EG35)/MAX(ABS(EF35-EG35),1),1,TRUE,0)</f>
        <v/>
      </c>
      <c r="EI35" s="43"/>
      <c r="EJ35" s="44"/>
      <c r="EK35" s="33" t="str" cm="1">
        <f t="array" ref="EK35">_xlfn.IFS($D35="","",AND(EI35=$C35,EJ35=$D35),3,($C35-$D35)/MAX(ABS($C35-$D35),1)=(EI35-EJ35)/MAX(ABS(EI35-EJ35),1),1,TRUE,0)</f>
        <v/>
      </c>
      <c r="EL35" s="18"/>
      <c r="EM35" s="19"/>
      <c r="EN35" s="33" t="str" cm="1">
        <f t="array" ref="EN35">_xlfn.IFS($D35="","",AND(EL35=$C35,EM35=$D35),3,($C35-$D35)/MAX(ABS($C35-$D35),1)=(EL35-EM35)/MAX(ABS(EL35-EM35),1),1,TRUE,0)</f>
        <v/>
      </c>
      <c r="EO35" s="18"/>
      <c r="EP35" s="19"/>
      <c r="EQ35" s="33" t="str" cm="1">
        <f t="array" ref="EQ35">_xlfn.IFS($D35="","",AND(EO35=$C35,EP35=$D35),3,($C35-$D35)/MAX(ABS($C35-$D35),1)=(EO35-EP35)/MAX(ABS(EO35-EP35),1),1,TRUE,0)</f>
        <v/>
      </c>
      <c r="ER35" s="18"/>
      <c r="ES35" s="19"/>
      <c r="ET35" s="33" t="str" cm="1">
        <f t="array" ref="ET35">_xlfn.IFS($D35="","",AND(ER35=$C35,ES35=$D35),3,($C35-$D35)/MAX(ABS($C35-$D35),1)=(ER35-ES35)/MAX(ABS(ER35-ES35),1),1,TRUE,0)</f>
        <v/>
      </c>
      <c r="EU35" s="18"/>
      <c r="EV35" s="19"/>
      <c r="EW35" s="33" t="str" cm="1">
        <f t="array" ref="EW35">_xlfn.IFS($D35="","",AND(EU35=$C35,EV35=$D35),3,($C35-$D35)/MAX(ABS($C35-$D35),1)=(EU35-EV35)/MAX(ABS(EU35-EV35),1),1,TRUE,0)</f>
        <v/>
      </c>
      <c r="EX35" s="18"/>
      <c r="EY35" s="19"/>
      <c r="EZ35" s="33" t="str" cm="1">
        <f t="array" ref="EZ35">_xlfn.IFS($D35="","",AND(EX35=$C35,EY35=$D35),3,($C35-$D35)/MAX(ABS($C35-$D35),1)=(EX35-EY35)/MAX(ABS(EX35-EY35),1),1,TRUE,0)</f>
        <v/>
      </c>
      <c r="FA35" s="18"/>
      <c r="FB35" s="19"/>
      <c r="FC35" s="33" t="str" cm="1">
        <f t="array" ref="FC35">_xlfn.IFS($D35="","",AND(FA35=$C35,FB35=$D35),3,($C35-$D35)/MAX(ABS($C35-$D35),1)=(FA35-FB35)/MAX(ABS(FA35-FB35),1),1,TRUE,0)</f>
        <v/>
      </c>
      <c r="FD35" s="18"/>
      <c r="FE35" s="19"/>
      <c r="FF35" s="33" t="str" cm="1">
        <f t="array" ref="FF35">_xlfn.IFS($D35="","",AND(FD35=$C35,FE35=$D35),3,($C35-$D35)/MAX(ABS($C35-$D35),1)=(FD35-FE35)/MAX(ABS(FD35-FE35),1),1,TRUE,0)</f>
        <v/>
      </c>
      <c r="FG35" s="18"/>
      <c r="FH35" s="19"/>
      <c r="FI35" s="33" t="str" cm="1">
        <f t="array" ref="FI35">_xlfn.IFS($D35="","",AND(FG35=$C35,FH35=$D35),3,($C35-$D35)/MAX(ABS($C35-$D35),1)=(FG35-FH35)/MAX(ABS(FG35-FH35),1),1,TRUE,0)</f>
        <v/>
      </c>
      <c r="FJ35" s="18"/>
      <c r="FK35" s="19"/>
      <c r="FL35" s="33" t="str" cm="1">
        <f t="array" ref="FL35">_xlfn.IFS($D35="","",AND(FJ35=$C35,FK35=$D35),3,($C35-$D35)/MAX(ABS($C35-$D35),1)=(FJ35-FK35)/MAX(ABS(FJ35-FK35),1),1,TRUE,0)</f>
        <v/>
      </c>
      <c r="FM35" s="18"/>
      <c r="FN35" s="19"/>
      <c r="FO35" s="33" t="str" cm="1">
        <f t="array" ref="FO35">_xlfn.IFS($D35="","",AND(FM35=$C35,FN35=$D35),3,($C35-$D35)/MAX(ABS($C35-$D35),1)=(FM35-FN35)/MAX(ABS(FM35-FN35),1),1,TRUE,0)</f>
        <v/>
      </c>
      <c r="FP35" s="18"/>
      <c r="FQ35" s="19"/>
      <c r="FR35" s="33" t="str" cm="1">
        <f t="array" ref="FR35">_xlfn.IFS($D35="","",AND(FP35=$C35,FQ35=$D35),3,($C35-$D35)/MAX(ABS($C35-$D35),1)=(FP35-FQ35)/MAX(ABS(FP35-FQ35),1),1,TRUE,0)</f>
        <v/>
      </c>
      <c r="FS35" s="18"/>
      <c r="FT35" s="19"/>
      <c r="FU35" s="33" t="str" cm="1">
        <f t="array" ref="FU35">_xlfn.IFS($D35="","",AND(FS35=$C35,FT35=$D35),3,($C35-$D35)/MAX(ABS($C35-$D35),1)=(FS35-FT35)/MAX(ABS(FS35-FT35),1),1,TRUE,0)</f>
        <v/>
      </c>
      <c r="FV35" s="18"/>
      <c r="FW35" s="19"/>
      <c r="FX35" s="33" t="str" cm="1">
        <f t="array" ref="FX35">_xlfn.IFS($D35="","",AND(FV35=$C35,FW35=$D35),3,($C35-$D35)/MAX(ABS($C35-$D35),1)=(FV35-FW35)/MAX(ABS(FV35-FW35),1),1,TRUE,0)</f>
        <v/>
      </c>
      <c r="FY35" s="18"/>
      <c r="FZ35" s="19"/>
      <c r="GA35" s="33" t="str" cm="1">
        <f t="array" ref="GA35">_xlfn.IFS($D35="","",AND(FY35=$C35,FZ35=$D35),3,($C35-$D35)/MAX(ABS($C35-$D35),1)=(FY35-FZ35)/MAX(ABS(FY35-FZ35),1),1,TRUE,0)</f>
        <v/>
      </c>
      <c r="GB35" s="18"/>
      <c r="GC35" s="19"/>
      <c r="GD35" s="33" t="str" cm="1">
        <f t="array" ref="GD35">_xlfn.IFS($D35="","",AND(GB35=$C35,GC35=$D35),3,($C35-$D35)/MAX(ABS($C35-$D35),1)=(GB35-GC35)/MAX(ABS(GB35-GC35),1),1,TRUE,0)</f>
        <v/>
      </c>
      <c r="GE35" s="47"/>
      <c r="GF35" s="45"/>
      <c r="GG35" s="33" t="str" cm="1">
        <f t="array" ref="GG35">_xlfn.IFS($D35="","",AND(GE35=$C35,GF35=$D35),3,($C35-$D35)/MAX(ABS($C35-$D35),1)=(GE35-GF35)/MAX(ABS(GE35-GF35),1),1,TRUE,0)</f>
        <v/>
      </c>
      <c r="GH35" s="18"/>
      <c r="GI35" s="19"/>
      <c r="GJ35" s="33" t="str" cm="1">
        <f t="array" ref="GJ35">_xlfn.IFS($D35="","",AND(GH35=$C35,GI35=$D35),3,($C35-$D35)/MAX(ABS($C35-$D35),1)=(GH35-GI35)/MAX(ABS(GH35-GI35),1),1,TRUE,0)</f>
        <v/>
      </c>
      <c r="GK35" s="18"/>
      <c r="GL35" s="19"/>
      <c r="GM35" s="33" t="str" cm="1">
        <f t="array" ref="GM35">_xlfn.IFS($D35="","",AND(GK35=$C35,GL35=$D35),3,($C35-$D35)/MAX(ABS($C35-$D35),1)=(GK35-GL35)/MAX(ABS(GK35-GL35),1),1,TRUE,0)</f>
        <v/>
      </c>
      <c r="GN35" s="18"/>
      <c r="GO35" s="19"/>
      <c r="GP35" s="33" t="str" cm="1">
        <f t="array" ref="GP35">_xlfn.IFS($D35="","",AND(GN35=$C35,GO35=$D35),3,($C35-$D35)/MAX(ABS($C35-$D35),1)=(GN35-GO35)/MAX(ABS(GN35-GO35),1),1,TRUE,0)</f>
        <v/>
      </c>
      <c r="GQ35" s="18"/>
      <c r="GR35" s="19"/>
      <c r="GS35" s="33" t="str" cm="1">
        <f t="array" ref="GS35">_xlfn.IFS($D35="","",AND(GQ35=$C35,GR35=$D35),3,($C35-$D35)/MAX(ABS($C35-$D35),1)=(GQ35-GR35)/MAX(ABS(GQ35-GR35),1),1,TRUE,0)</f>
        <v/>
      </c>
      <c r="GT35" s="18"/>
      <c r="GU35" s="19"/>
      <c r="GV35" s="33" t="str" cm="1">
        <f t="array" ref="GV35">_xlfn.IFS($D35="","",AND(GT35=$C35,GU35=$D35),3,($C35-$D35)/MAX(ABS($C35-$D35),1)=(GT35-GU35)/MAX(ABS(GT35-GU35),1),1,TRUE,0)</f>
        <v/>
      </c>
      <c r="GW35" s="18"/>
      <c r="GX35" s="19"/>
      <c r="GY35" s="33" t="str" cm="1">
        <f t="array" ref="GY35">_xlfn.IFS($D35="","",AND(GW35=$C35,GX35=$D35),3,($C35-$D35)/MAX(ABS($C35-$D35),1)=(GW35-GX35)/MAX(ABS(GW35-GX35),1),1,TRUE,0)</f>
        <v/>
      </c>
      <c r="GZ35" s="18"/>
      <c r="HA35" s="19"/>
      <c r="HB35" s="33" t="str" cm="1">
        <f t="array" ref="HB35">_xlfn.IFS($D35="","",AND(GZ35=$C35,HA35=$D35),3,($C35-$D35)/MAX(ABS($C35-$D35),1)=(GZ35-HA35)/MAX(ABS(GZ35-HA35),1),1,TRUE,0)</f>
        <v/>
      </c>
      <c r="HC35" s="18"/>
      <c r="HD35" s="14"/>
      <c r="HE35" s="33" t="str" cm="1">
        <f t="array" ref="HE35">_xlfn.IFS($D35="","",AND(HC35=$C35,HD35=$D35),3,($C35-$D35)/MAX(ABS($C35-$D35),1)=(HC35-HD35)/MAX(ABS(HC35-HD35),1),1,TRUE,0)</f>
        <v/>
      </c>
      <c r="HF35" s="18"/>
      <c r="HG35" s="19"/>
      <c r="HH35" s="33" t="str" cm="1">
        <f t="array" ref="HH35">_xlfn.IFS($D35="","",AND(HF35=$C35,HG35=$D35),3,($C35-$D35)/MAX(ABS($C35-$D35),1)=(HF35-HG35)/MAX(ABS(HF35-HG35),1),1,TRUE,0)</f>
        <v/>
      </c>
      <c r="HI35" s="18"/>
      <c r="HJ35" s="19"/>
      <c r="HK35" s="33" t="str" cm="1">
        <f t="array" ref="HK35">_xlfn.IFS($D35="","",AND(HI35=$C35,HJ35=$D35),3,($C35-$D35)/MAX(ABS($C35-$D35),1)=(HI35-HJ35)/MAX(ABS(HI35-HJ35),1),1,TRUE,0)</f>
        <v/>
      </c>
      <c r="HL35" s="18"/>
      <c r="HM35" s="19"/>
      <c r="HN35" s="33" t="str" cm="1">
        <f t="array" ref="HN35">_xlfn.IFS($D35="","",AND(HL35=$C35,HM35=$D35),3,($C35-$D35)/MAX(ABS($C35-$D35),1)=(HL35-HM35)/MAX(ABS(HL35-HM35),1),1,TRUE,0)</f>
        <v/>
      </c>
      <c r="HO35" s="18"/>
      <c r="HP35" s="19"/>
      <c r="HQ35" s="33" t="str" cm="1">
        <f t="array" ref="HQ35">_xlfn.IFS($D35="","",AND(HO35=$C35,HP35=$D35),3,($C35-$D35)/MAX(ABS($C35-$D35),1)=(HO35-HP35)/MAX(ABS(HO35-HP35),1),1,TRUE,0)</f>
        <v/>
      </c>
      <c r="HR35" s="18"/>
      <c r="HS35" s="19"/>
      <c r="HT35" s="33" t="str" cm="1">
        <f t="array" ref="HT35">_xlfn.IFS($D35="","",AND(HR35=$C35,HS35=$D35),3,($C35-$D35)/MAX(ABS($C35-$D35),1)=(HR35-HS35)/MAX(ABS(HR35-HS35),1),1,TRUE,0)</f>
        <v/>
      </c>
      <c r="HU35" s="18"/>
      <c r="HV35" s="19"/>
      <c r="HW35" s="33" t="str" cm="1">
        <f t="array" ref="HW35">_xlfn.IFS($D35="","",AND(HU35=$C35,HV35=$D35),3,($C35-$D35)/MAX(ABS($C35-$D35),1)=(HU35-HV35)/MAX(ABS(HU35-HV35),1),1,TRUE,0)</f>
        <v/>
      </c>
      <c r="HX35" s="18"/>
      <c r="HY35" s="19"/>
      <c r="HZ35" s="33" t="str" cm="1">
        <f t="array" ref="HZ35">_xlfn.IFS($D35="","",AND(HX35=$C35,HY35=$D35),3,($C35-$D35)/MAX(ABS($C35-$D35),1)=(HX35-HY35)/MAX(ABS(HX35-HY35),1),1,TRUE,0)</f>
        <v/>
      </c>
      <c r="IA35" s="18"/>
      <c r="IB35" s="19"/>
      <c r="IC35" s="33" t="str" cm="1">
        <f t="array" ref="IC35">_xlfn.IFS($D35="","",AND(IA35=$C35,IB35=$D35),3,($C35-$D35)/MAX(ABS($C35-$D35),1)=(IA35-IB35)/MAX(ABS(IA35-IB35),1),1,TRUE,0)</f>
        <v/>
      </c>
      <c r="ID35" s="18"/>
      <c r="IE35" s="19"/>
      <c r="IF35" s="33" t="str" cm="1">
        <f t="array" ref="IF35">_xlfn.IFS($D35="","",AND(ID35=$C35,IE35=$D35),3,($C35-$D35)/MAX(ABS($C35-$D35),1)=(ID35-IE35)/MAX(ABS(ID35-IE35),1),1,TRUE,0)</f>
        <v/>
      </c>
      <c r="IG35" s="18"/>
      <c r="IH35" s="19"/>
      <c r="II35" s="33" t="str" cm="1">
        <f t="array" ref="II35">_xlfn.IFS($D35="","",AND(IG35=$C35,IH35=$D35),3,($C35-$D35)/MAX(ABS($C35-$D35),1)=(IG35-IH35)/MAX(ABS(IG35-IH35),1),1,TRUE,0)</f>
        <v/>
      </c>
      <c r="IJ35" s="18"/>
      <c r="IK35" s="19"/>
      <c r="IL35" s="33" t="str" cm="1">
        <f t="array" ref="IL35">_xlfn.IFS($D35="","",AND(IJ35=$C35,IK35=$D35),3,($C35-$D35)/MAX(ABS($C35-$D35),1)=(IJ35-IK35)/MAX(ABS(IJ35-IK35),1),1,TRUE,0)</f>
        <v/>
      </c>
      <c r="IM35" s="18"/>
      <c r="IN35" s="19"/>
      <c r="IO35" s="33" t="str" cm="1">
        <f t="array" ref="IO35">_xlfn.IFS($D35="","",AND(IM35=$C35,IN35=$D35),3,($C35-$D35)/MAX(ABS($C35-$D35),1)=(IM35-IN35)/MAX(ABS(IM35-IN35),1),1,TRUE,0)</f>
        <v/>
      </c>
      <c r="IP35" s="18"/>
      <c r="IQ35" s="19"/>
      <c r="IR35" s="33" t="str" cm="1">
        <f t="array" ref="IR35">_xlfn.IFS($D35="","",AND(IP35=$C35,IQ35=$D35),3,($C35-$D35)/MAX(ABS($C35-$D35),1)=(IP35-IQ35)/MAX(ABS(IP35-IQ35),1),1,TRUE,0)</f>
        <v/>
      </c>
      <c r="IS35" s="18"/>
      <c r="IT35" s="19"/>
      <c r="IU35" s="33" t="str" cm="1">
        <f t="array" ref="IU35">_xlfn.IFS($D35="","",AND(IS35=$C35,IT35=$D35),3,($C35-$D35)/MAX(ABS($C35-$D35),1)=(IS35-IT35)/MAX(ABS(IS35-IT35),1),1,TRUE,0)</f>
        <v/>
      </c>
      <c r="IV35" s="18"/>
      <c r="IW35" s="19"/>
      <c r="IX35" s="33" t="str" cm="1">
        <f t="array" ref="IX35">_xlfn.IFS($D35="","",AND(IV35=$C35,IW35=$D35),3,($C35-$D35)/MAX(ABS($C35-$D35),1)=(IV35-IW35)/MAX(ABS(IV35-IW35),1),1,TRUE,0)</f>
        <v/>
      </c>
      <c r="IY35" s="18"/>
      <c r="IZ35" s="19"/>
      <c r="JA35" s="33" t="str" cm="1">
        <f t="array" ref="JA35">_xlfn.IFS($D35="","",AND(IY35=$C35,IZ35=$D35),3,($C35-$D35)/MAX(ABS($C35-$D35),1)=(IY35-IZ35)/MAX(ABS(IY35-IZ35),1),1,TRUE,0)</f>
        <v/>
      </c>
      <c r="JB35" s="18"/>
      <c r="JC35" s="19"/>
      <c r="JD35" s="33" t="str" cm="1">
        <f t="array" ref="JD35">_xlfn.IFS($D35="","",AND(JB35=$C35,JC35=$D35),3,($C35-$D35)/MAX(ABS($C35-$D35),1)=(JB35-JC35)/MAX(ABS(JB35-JC35),1),1,TRUE,0)</f>
        <v/>
      </c>
    </row>
    <row r="36" spans="1:264" ht="15" thickBot="1" x14ac:dyDescent="0.35">
      <c r="A36" s="22">
        <v>46193</v>
      </c>
      <c r="B36" s="28" t="s">
        <v>13</v>
      </c>
      <c r="C36" s="53" t="str" cm="1">
        <f t="array" ref="C36">_xlfn.LET(
_xlpm.x,_xlfn.XLOOKUP(1,(Scores_Fixtures[Date]=A36)*(Scores_Fixtures[Home.1]=B36),Scores_Fixtures[Score.1],""),
IF(_xlpm.x="","",_xlpm.x)
)</f>
        <v/>
      </c>
      <c r="D36" s="53" t="str" cm="1">
        <f t="array" ref="D36">_xlfn.LET(
_xlpm.x,_xlfn.XLOOKUP(1,(Scores_Fixtures[Date]=A36)*(Scores_Fixtures[Home.1]=B36),Scores_Fixtures[Score.2],""),
IF(_xlpm.x="","",_xlpm.x)
)</f>
        <v/>
      </c>
      <c r="E36" s="12" t="s">
        <v>42</v>
      </c>
      <c r="F36" s="15"/>
      <c r="G36" s="53"/>
      <c r="H36" s="53"/>
      <c r="I36" s="33" t="str" cm="1">
        <f t="array" ref="I36">_xlfn.IFS($D36="","",AND(G36=$C36,H36=$D36),3,($C36-$D36)/MAX(ABS($C36-$D36),1)=(G36-H36)/MAX(ABS(G36-H36),1),1,TRUE,0)</f>
        <v/>
      </c>
      <c r="J36" s="18"/>
      <c r="K36" s="19"/>
      <c r="L36" s="33" t="str" cm="1">
        <f t="array" ref="L36">_xlfn.IFS($D36="","",AND(J36=$C36,K36=$D36),3,($C36-$D36)/MAX(ABS($C36-$D36),1)=(J36-K36)/MAX(ABS(J36-K36),1),1,TRUE,0)</f>
        <v/>
      </c>
      <c r="M36" s="18"/>
      <c r="N36" s="19"/>
      <c r="O36" s="33" t="str" cm="1">
        <f t="array" ref="O36">_xlfn.IFS($D36="","",AND(M36=$C36,N36=$D36),3,($C36-$D36)/MAX(ABS($C36-$D36),1)=(M36-N36)/MAX(ABS(M36-N36),1),1,TRUE,0)</f>
        <v/>
      </c>
      <c r="P36" s="18"/>
      <c r="Q36" s="19"/>
      <c r="R36" s="33" t="str" cm="1">
        <f t="array" ref="R36">_xlfn.IFS($D36="","",AND(P36=$C36,Q36=$D36),3,($C36-$D36)/MAX(ABS($C36-$D36),1)=(P36-Q36)/MAX(ABS(P36-Q36),1),1,TRUE,0)</f>
        <v/>
      </c>
      <c r="S36" s="18"/>
      <c r="T36" s="19"/>
      <c r="U36" s="33" t="str" cm="1">
        <f t="array" ref="U36">_xlfn.IFS($D36="","",AND(S36=$C36,T36=$D36),3,($C36-$D36)/MAX(ABS($C36-$D36),1)=(S36-T36)/MAX(ABS(S36-T36),1),1,TRUE,0)</f>
        <v/>
      </c>
      <c r="V36" s="18"/>
      <c r="W36" s="19"/>
      <c r="X36" s="33" t="str" cm="1">
        <f t="array" ref="X36">_xlfn.IFS($D36="","",AND(V36=$C36,W36=$D36),3,($C36-$D36)/MAX(ABS($C36-$D36),1)=(V36-W36)/MAX(ABS(V36-W36),1),1,TRUE,0)</f>
        <v/>
      </c>
      <c r="Y36" s="18"/>
      <c r="Z36" s="19"/>
      <c r="AA36" s="33" t="str" cm="1">
        <f t="array" ref="AA36">_xlfn.IFS($D36="","",AND(Y36=$C36,Z36=$D36),3,($C36-$D36)/MAX(ABS($C36-$D36),1)=(Y36-Z36)/MAX(ABS(Y36-Z36),1),1,TRUE,0)</f>
        <v/>
      </c>
      <c r="AB36" s="18"/>
      <c r="AC36" s="19"/>
      <c r="AD36" s="33" t="str" cm="1">
        <f t="array" ref="AD36">_xlfn.IFS($D36="","",AND(AB36=$C36,AC36=$D36),3,($C36-$D36)/MAX(ABS($C36-$D36),1)=(AB36-AC36)/MAX(ABS(AB36-AC36),1),1,TRUE,0)</f>
        <v/>
      </c>
      <c r="AE36" s="18"/>
      <c r="AF36" s="19"/>
      <c r="AG36" s="33" t="str" cm="1">
        <f t="array" ref="AG36">_xlfn.IFS($D36="","",AND(AE36=$C36,AF36=$D36),3,($C36-$D36)/MAX(ABS($C36-$D36),1)=(AE36-AF36)/MAX(ABS(AE36-AF36),1),1,TRUE,0)</f>
        <v/>
      </c>
      <c r="AH36" s="18"/>
      <c r="AI36" s="19"/>
      <c r="AJ36" s="33" t="str" cm="1">
        <f t="array" ref="AJ36">_xlfn.IFS($D36="","",AND(AH36=$C36,AI36=$D36),3,($C36-$D36)/MAX(ABS($C36-$D36),1)=(AH36-AI36)/MAX(ABS(AH36-AI36),1),1,TRUE,0)</f>
        <v/>
      </c>
      <c r="AK36" s="18"/>
      <c r="AL36" s="19"/>
      <c r="AM36" s="33" t="str" cm="1">
        <f t="array" ref="AM36">_xlfn.IFS($D36="","",AND(AK36=$C36,AL36=$D36),3,($C36-$D36)/MAX(ABS($C36-$D36),1)=(AK36-AL36)/MAX(ABS(AK36-AL36),1),1,TRUE,0)</f>
        <v/>
      </c>
      <c r="AN36" s="18"/>
      <c r="AO36" s="19"/>
      <c r="AP36" s="33" t="str" cm="1">
        <f t="array" ref="AP36">_xlfn.IFS($D36="","",AND(AN36=$C36,AO36=$D36),3,($C36-$D36)/MAX(ABS($C36-$D36),1)=(AN36-AO36)/MAX(ABS(AN36-AO36),1),1,TRUE,0)</f>
        <v/>
      </c>
      <c r="AQ36" s="18"/>
      <c r="AR36" s="19"/>
      <c r="AS36" s="33" t="str" cm="1">
        <f t="array" ref="AS36">_xlfn.IFS($D36="","",AND(AQ36=$C36,AR36=$D36),3,($C36-$D36)/MAX(ABS($C36-$D36),1)=(AQ36-AR36)/MAX(ABS(AQ36-AR36),1),1,TRUE,0)</f>
        <v/>
      </c>
      <c r="AT36" s="18"/>
      <c r="AU36" s="19"/>
      <c r="AV36" s="33" t="str" cm="1">
        <f t="array" ref="AV36">_xlfn.IFS($D36="","",AND(AT36=$C36,AU36=$D36),3,($C36-$D36)/MAX(ABS($C36-$D36),1)=(AT36-AU36)/MAX(ABS(AT36-AU36),1),1,TRUE,0)</f>
        <v/>
      </c>
      <c r="AW36" s="18"/>
      <c r="AX36" s="19"/>
      <c r="AY36" s="33" t="str" cm="1">
        <f t="array" ref="AY36">_xlfn.IFS($D36="","",AND(AW36=$C36,AX36=$D36),3,($C36-$D36)/MAX(ABS($C36-$D36),1)=(AW36-AX36)/MAX(ABS(AW36-AX36),1),1,TRUE,0)</f>
        <v/>
      </c>
      <c r="AZ36" s="18"/>
      <c r="BA36" s="19"/>
      <c r="BB36" s="33" t="str" cm="1">
        <f t="array" ref="BB36">_xlfn.IFS($D36="","",AND(AZ36=$C36,BA36=$D36),3,($C36-$D36)/MAX(ABS($C36-$D36),1)=(AZ36-BA36)/MAX(ABS(AZ36-BA36),1),1,TRUE,0)</f>
        <v/>
      </c>
      <c r="BC36" s="18"/>
      <c r="BD36" s="19"/>
      <c r="BE36" s="33" t="str" cm="1">
        <f t="array" ref="BE36">_xlfn.IFS($D36="","",AND(BC36=$C36,BD36=$D36),3,($C36-$D36)/MAX(ABS($C36-$D36),1)=(BC36-BD36)/MAX(ABS(BC36-BD36),1),1,TRUE,0)</f>
        <v/>
      </c>
      <c r="BF36" s="18"/>
      <c r="BG36" s="19"/>
      <c r="BH36" s="33" t="str" cm="1">
        <f t="array" ref="BH36">_xlfn.IFS($D36="","",AND(BF36=$C36,BG36=$D36),3,($C36-$D36)/MAX(ABS($C36-$D36),1)=(BF36-BG36)/MAX(ABS(BF36-BG36),1),1,TRUE,0)</f>
        <v/>
      </c>
      <c r="BI36" s="18"/>
      <c r="BJ36" s="19"/>
      <c r="BK36" s="33" t="str" cm="1">
        <f t="array" ref="BK36">_xlfn.IFS($D36="","",AND(BI36=$C36,BJ36=$D36),3,($C36-$D36)/MAX(ABS($C36-$D36),1)=(BI36-BJ36)/MAX(ABS(BI36-BJ36),1),1,TRUE,0)</f>
        <v/>
      </c>
      <c r="BL36" s="18"/>
      <c r="BM36" s="19"/>
      <c r="BN36" s="33" t="str" cm="1">
        <f t="array" ref="BN36">_xlfn.IFS($D36="","",AND(BL36=$C36,BM36=$D36),3,($C36-$D36)/MAX(ABS($C36-$D36),1)=(BL36-BM36)/MAX(ABS(BL36-BM36),1),1,TRUE,0)</f>
        <v/>
      </c>
      <c r="BO36" s="18"/>
      <c r="BP36" s="19"/>
      <c r="BQ36" s="33" t="str" cm="1">
        <f t="array" ref="BQ36">_xlfn.IFS($D36="","",AND(BO36=$C36,BP36=$D36),3,($C36-$D36)/MAX(ABS($C36-$D36),1)=(BO36-BP36)/MAX(ABS(BO36-BP36),1),1,TRUE,0)</f>
        <v/>
      </c>
      <c r="BR36" s="18"/>
      <c r="BS36" s="19"/>
      <c r="BT36" s="33" t="str" cm="1">
        <f t="array" ref="BT36">_xlfn.IFS($D36="","",AND(BR36=$C36,BS36=$D36),3,($C36-$D36)/MAX(ABS($C36-$D36),1)=(BR36-BS36)/MAX(ABS(BR36-BS36),1),1,TRUE,0)</f>
        <v/>
      </c>
      <c r="BU36" s="18"/>
      <c r="BV36" s="19"/>
      <c r="BW36" s="33" t="str" cm="1">
        <f t="array" ref="BW36">_xlfn.IFS($D36="","",AND(BU36=$C36,BV36=$D36),3,($C36-$D36)/MAX(ABS($C36-$D36),1)=(BU36-BV36)/MAX(ABS(BU36-BV36),1),1,TRUE,0)</f>
        <v/>
      </c>
      <c r="BX36" s="18"/>
      <c r="BY36" s="19"/>
      <c r="BZ36" s="33" t="str" cm="1">
        <f t="array" ref="BZ36">_xlfn.IFS($D36="","",AND(BX36=$C36,BY36=$D36),3,($C36-$D36)/MAX(ABS($C36-$D36),1)=(BX36-BY36)/MAX(ABS(BX36-BY36),1),1,TRUE,0)</f>
        <v/>
      </c>
      <c r="CA36" s="18"/>
      <c r="CB36" s="19"/>
      <c r="CC36" s="33" t="str" cm="1">
        <f t="array" ref="CC36">_xlfn.IFS($D36="","",AND(CA36=$C36,CB36=$D36),3,($C36-$D36)/MAX(ABS($C36-$D36),1)=(CA36-CB36)/MAX(ABS(CA36-CB36),1),1,TRUE,0)</f>
        <v/>
      </c>
      <c r="CD36" s="18"/>
      <c r="CE36" s="19"/>
      <c r="CF36" s="33" t="str" cm="1">
        <f t="array" ref="CF36">_xlfn.IFS($D36="","",AND(CD36=$C36,CE36=$D36),3,($C36-$D36)/MAX(ABS($C36-$D36),1)=(CD36-CE36)/MAX(ABS(CD36-CE36),1),1,TRUE,0)</f>
        <v/>
      </c>
      <c r="CG36" s="18"/>
      <c r="CH36" s="19"/>
      <c r="CI36" s="33" t="str" cm="1">
        <f t="array" ref="CI36">_xlfn.IFS($D36="","",AND(CG36=$C36,CH36=$D36),3,($C36-$D36)/MAX(ABS($C36-$D36),1)=(CG36-CH36)/MAX(ABS(CG36-CH36),1),1,TRUE,0)</f>
        <v/>
      </c>
      <c r="CJ36" s="18"/>
      <c r="CK36" s="19"/>
      <c r="CL36" s="33" t="str" cm="1">
        <f t="array" ref="CL36">_xlfn.IFS($D36="","",AND(CJ36=$C36,CK36=$D36),3,($C36-$D36)/MAX(ABS($C36-$D36),1)=(CJ36-CK36)/MAX(ABS(CJ36-CK36),1),1,TRUE,0)</f>
        <v/>
      </c>
      <c r="CM36" s="18"/>
      <c r="CN36" s="19"/>
      <c r="CO36" s="33" t="str" cm="1">
        <f t="array" ref="CO36">_xlfn.IFS($D36="","",AND(CM36=$C36,CN36=$D36),3,($C36-$D36)/MAX(ABS($C36-$D36),1)=(CM36-CN36)/MAX(ABS(CM36-CN36),1),1,TRUE,0)</f>
        <v/>
      </c>
      <c r="CP36" s="18"/>
      <c r="CQ36" s="19"/>
      <c r="CR36" s="33" t="str" cm="1">
        <f t="array" ref="CR36">_xlfn.IFS($D36="","",AND(CP36=$C36,CQ36=$D36),3,($C36-$D36)/MAX(ABS($C36-$D36),1)=(CP36-CQ36)/MAX(ABS(CP36-CQ36),1),1,TRUE,0)</f>
        <v/>
      </c>
      <c r="CS36" s="18"/>
      <c r="CT36" s="19"/>
      <c r="CU36" s="33" t="str" cm="1">
        <f t="array" ref="CU36">_xlfn.IFS($D36="","",AND(CS36=$C36,CT36=$D36),3,($C36-$D36)/MAX(ABS($C36-$D36),1)=(CS36-CT36)/MAX(ABS(CS36-CT36),1),1,TRUE,0)</f>
        <v/>
      </c>
      <c r="CV36" s="18"/>
      <c r="CW36" s="19"/>
      <c r="CX36" s="33" t="str" cm="1">
        <f t="array" ref="CX36">_xlfn.IFS($D36="","",AND(CV36=$C36,CW36=$D36),3,($C36-$D36)/MAX(ABS($C36-$D36),1)=(CV36-CW36)/MAX(ABS(CV36-CW36),1),1,TRUE,0)</f>
        <v/>
      </c>
      <c r="CY36" s="18"/>
      <c r="CZ36" s="19"/>
      <c r="DA36" s="33" t="str" cm="1">
        <f t="array" ref="DA36">_xlfn.IFS($D36="","",AND(CY36=$C36,CZ36=$D36),3,($C36-$D36)/MAX(ABS($C36-$D36),1)=(CY36-CZ36)/MAX(ABS(CY36-CZ36),1),1,TRUE,0)</f>
        <v/>
      </c>
      <c r="DB36" s="37"/>
      <c r="DC36" s="38"/>
      <c r="DD36" s="33" t="str" cm="1">
        <f t="array" ref="DD36">_xlfn.IFS($D36="","",AND(DB36=$C36,DC36=$D36),3,($C36-$D36)/MAX(ABS($C36-$D36),1)=(DB36-DC36)/MAX(ABS(DB36-DC36),1),1,TRUE,0)</f>
        <v/>
      </c>
      <c r="DE36" s="18"/>
      <c r="DF36" s="19"/>
      <c r="DG36" s="33" t="str" cm="1">
        <f t="array" ref="DG36">_xlfn.IFS($D36="","",AND(DE36=$C36,DF36=$D36),3,($C36-$D36)/MAX(ABS($C36-$D36),1)=(DE36-DF36)/MAX(ABS(DE36-DF36),1),1,TRUE,0)</f>
        <v/>
      </c>
      <c r="DH36" s="18"/>
      <c r="DI36" s="19"/>
      <c r="DJ36" s="33" t="str" cm="1">
        <f t="array" ref="DJ36">_xlfn.IFS($D36="","",AND(DH36=$C36,DI36=$D36),3,($C36-$D36)/MAX(ABS($C36-$D36),1)=(DH36-DI36)/MAX(ABS(DH36-DI36),1),1,TRUE,0)</f>
        <v/>
      </c>
      <c r="DK36" s="18"/>
      <c r="DL36" s="19"/>
      <c r="DM36" s="33" t="str" cm="1">
        <f t="array" ref="DM36">_xlfn.IFS($D36="","",AND(DK36=$C36,DL36=$D36),3,($C36-$D36)/MAX(ABS($C36-$D36),1)=(DK36-DL36)/MAX(ABS(DK36-DL36),1),1,TRUE,0)</f>
        <v/>
      </c>
      <c r="DN36" s="18"/>
      <c r="DO36" s="19"/>
      <c r="DP36" s="33" t="str" cm="1">
        <f t="array" ref="DP36">_xlfn.IFS($D36="","",AND(DN36=$C36,DO36=$D36),3,($C36-$D36)/MAX(ABS($C36-$D36),1)=(DN36-DO36)/MAX(ABS(DN36-DO36),1),1,TRUE,0)</f>
        <v/>
      </c>
      <c r="DQ36" s="18"/>
      <c r="DR36" s="19"/>
      <c r="DS36" s="33" t="str" cm="1">
        <f t="array" ref="DS36">_xlfn.IFS($D36="","",AND(DQ36=$C36,DR36=$D36),3,($C36-$D36)/MAX(ABS($C36-$D36),1)=(DQ36-DR36)/MAX(ABS(DQ36-DR36),1),1,TRUE,0)</f>
        <v/>
      </c>
      <c r="DT36" s="18"/>
      <c r="DU36" s="19"/>
      <c r="DV36" s="33" t="str" cm="1">
        <f t="array" ref="DV36">_xlfn.IFS($D36="","",AND(DT36=$C36,DU36=$D36),3,($C36-$D36)/MAX(ABS($C36-$D36),1)=(DT36-DU36)/MAX(ABS(DT36-DU36),1),1,TRUE,0)</f>
        <v/>
      </c>
      <c r="DW36" s="18"/>
      <c r="DX36" s="19"/>
      <c r="DY36" s="33" t="str" cm="1">
        <f t="array" ref="DY36">_xlfn.IFS($D36="","",AND(DW36=$C36,DX36=$D36),3,($C36-$D36)/MAX(ABS($C36-$D36),1)=(DW36-DX36)/MAX(ABS(DW36-DX36),1),1,TRUE,0)</f>
        <v/>
      </c>
      <c r="DZ36" s="18"/>
      <c r="EA36" s="19"/>
      <c r="EB36" s="33" t="str" cm="1">
        <f t="array" ref="EB36">_xlfn.IFS($D36="","",AND(DZ36=$C36,EA36=$D36),3,($C36-$D36)/MAX(ABS($C36-$D36),1)=(DZ36-EA36)/MAX(ABS(DZ36-EA36),1),1,TRUE,0)</f>
        <v/>
      </c>
      <c r="EC36" s="18"/>
      <c r="ED36" s="19"/>
      <c r="EE36" s="33" t="str" cm="1">
        <f t="array" ref="EE36">_xlfn.IFS($D36="","",AND(EC36=$C36,ED36=$D36),3,($C36-$D36)/MAX(ABS($C36-$D36),1)=(EC36-ED36)/MAX(ABS(EC36-ED36),1),1,TRUE,0)</f>
        <v/>
      </c>
      <c r="EF36" s="18"/>
      <c r="EG36" s="19"/>
      <c r="EH36" s="33" t="str" cm="1">
        <f t="array" ref="EH36">_xlfn.IFS($D36="","",AND(EF36=$C36,EG36=$D36),3,($C36-$D36)/MAX(ABS($C36-$D36),1)=(EF36-EG36)/MAX(ABS(EF36-EG36),1),1,TRUE,0)</f>
        <v/>
      </c>
      <c r="EI36" s="43"/>
      <c r="EJ36" s="44"/>
      <c r="EK36" s="33" t="str" cm="1">
        <f t="array" ref="EK36">_xlfn.IFS($D36="","",AND(EI36=$C36,EJ36=$D36),3,($C36-$D36)/MAX(ABS($C36-$D36),1)=(EI36-EJ36)/MAX(ABS(EI36-EJ36),1),1,TRUE,0)</f>
        <v/>
      </c>
      <c r="EL36" s="18"/>
      <c r="EM36" s="19"/>
      <c r="EN36" s="33" t="str" cm="1">
        <f t="array" ref="EN36">_xlfn.IFS($D36="","",AND(EL36=$C36,EM36=$D36),3,($C36-$D36)/MAX(ABS($C36-$D36),1)=(EL36-EM36)/MAX(ABS(EL36-EM36),1),1,TRUE,0)</f>
        <v/>
      </c>
      <c r="EO36" s="18"/>
      <c r="EP36" s="19"/>
      <c r="EQ36" s="33" t="str" cm="1">
        <f t="array" ref="EQ36">_xlfn.IFS($D36="","",AND(EO36=$C36,EP36=$D36),3,($C36-$D36)/MAX(ABS($C36-$D36),1)=(EO36-EP36)/MAX(ABS(EO36-EP36),1),1,TRUE,0)</f>
        <v/>
      </c>
      <c r="ER36" s="18"/>
      <c r="ES36" s="19"/>
      <c r="ET36" s="33" t="str" cm="1">
        <f t="array" ref="ET36">_xlfn.IFS($D36="","",AND(ER36=$C36,ES36=$D36),3,($C36-$D36)/MAX(ABS($C36-$D36),1)=(ER36-ES36)/MAX(ABS(ER36-ES36),1),1,TRUE,0)</f>
        <v/>
      </c>
      <c r="EU36" s="18"/>
      <c r="EV36" s="19"/>
      <c r="EW36" s="33" t="str" cm="1">
        <f t="array" ref="EW36">_xlfn.IFS($D36="","",AND(EU36=$C36,EV36=$D36),3,($C36-$D36)/MAX(ABS($C36-$D36),1)=(EU36-EV36)/MAX(ABS(EU36-EV36),1),1,TRUE,0)</f>
        <v/>
      </c>
      <c r="EX36" s="18"/>
      <c r="EY36" s="19"/>
      <c r="EZ36" s="33" t="str" cm="1">
        <f t="array" ref="EZ36">_xlfn.IFS($D36="","",AND(EX36=$C36,EY36=$D36),3,($C36-$D36)/MAX(ABS($C36-$D36),1)=(EX36-EY36)/MAX(ABS(EX36-EY36),1),1,TRUE,0)</f>
        <v/>
      </c>
      <c r="FA36" s="18"/>
      <c r="FB36" s="19"/>
      <c r="FC36" s="33" t="str" cm="1">
        <f t="array" ref="FC36">_xlfn.IFS($D36="","",AND(FA36=$C36,FB36=$D36),3,($C36-$D36)/MAX(ABS($C36-$D36),1)=(FA36-FB36)/MAX(ABS(FA36-FB36),1),1,TRUE,0)</f>
        <v/>
      </c>
      <c r="FD36" s="18"/>
      <c r="FE36" s="19"/>
      <c r="FF36" s="33" t="str" cm="1">
        <f t="array" ref="FF36">_xlfn.IFS($D36="","",AND(FD36=$C36,FE36=$D36),3,($C36-$D36)/MAX(ABS($C36-$D36),1)=(FD36-FE36)/MAX(ABS(FD36-FE36),1),1,TRUE,0)</f>
        <v/>
      </c>
      <c r="FG36" s="18"/>
      <c r="FH36" s="19"/>
      <c r="FI36" s="33" t="str" cm="1">
        <f t="array" ref="FI36">_xlfn.IFS($D36="","",AND(FG36=$C36,FH36=$D36),3,($C36-$D36)/MAX(ABS($C36-$D36),1)=(FG36-FH36)/MAX(ABS(FG36-FH36),1),1,TRUE,0)</f>
        <v/>
      </c>
      <c r="FJ36" s="18"/>
      <c r="FK36" s="19"/>
      <c r="FL36" s="33" t="str" cm="1">
        <f t="array" ref="FL36">_xlfn.IFS($D36="","",AND(FJ36=$C36,FK36=$D36),3,($C36-$D36)/MAX(ABS($C36-$D36),1)=(FJ36-FK36)/MAX(ABS(FJ36-FK36),1),1,TRUE,0)</f>
        <v/>
      </c>
      <c r="FM36" s="18"/>
      <c r="FN36" s="19"/>
      <c r="FO36" s="33" t="str" cm="1">
        <f t="array" ref="FO36">_xlfn.IFS($D36="","",AND(FM36=$C36,FN36=$D36),3,($C36-$D36)/MAX(ABS($C36-$D36),1)=(FM36-FN36)/MAX(ABS(FM36-FN36),1),1,TRUE,0)</f>
        <v/>
      </c>
      <c r="FP36" s="18"/>
      <c r="FQ36" s="19"/>
      <c r="FR36" s="33" t="str" cm="1">
        <f t="array" ref="FR36">_xlfn.IFS($D36="","",AND(FP36=$C36,FQ36=$D36),3,($C36-$D36)/MAX(ABS($C36-$D36),1)=(FP36-FQ36)/MAX(ABS(FP36-FQ36),1),1,TRUE,0)</f>
        <v/>
      </c>
      <c r="FS36" s="18"/>
      <c r="FT36" s="19"/>
      <c r="FU36" s="33" t="str" cm="1">
        <f t="array" ref="FU36">_xlfn.IFS($D36="","",AND(FS36=$C36,FT36=$D36),3,($C36-$D36)/MAX(ABS($C36-$D36),1)=(FS36-FT36)/MAX(ABS(FS36-FT36),1),1,TRUE,0)</f>
        <v/>
      </c>
      <c r="FV36" s="18"/>
      <c r="FW36" s="19"/>
      <c r="FX36" s="33" t="str" cm="1">
        <f t="array" ref="FX36">_xlfn.IFS($D36="","",AND(FV36=$C36,FW36=$D36),3,($C36-$D36)/MAX(ABS($C36-$D36),1)=(FV36-FW36)/MAX(ABS(FV36-FW36),1),1,TRUE,0)</f>
        <v/>
      </c>
      <c r="FY36" s="18"/>
      <c r="FZ36" s="19"/>
      <c r="GA36" s="33" t="str" cm="1">
        <f t="array" ref="GA36">_xlfn.IFS($D36="","",AND(FY36=$C36,FZ36=$D36),3,($C36-$D36)/MAX(ABS($C36-$D36),1)=(FY36-FZ36)/MAX(ABS(FY36-FZ36),1),1,TRUE,0)</f>
        <v/>
      </c>
      <c r="GB36" s="18"/>
      <c r="GC36" s="19"/>
      <c r="GD36" s="33" t="str" cm="1">
        <f t="array" ref="GD36">_xlfn.IFS($D36="","",AND(GB36=$C36,GC36=$D36),3,($C36-$D36)/MAX(ABS($C36-$D36),1)=(GB36-GC36)/MAX(ABS(GB36-GC36),1),1,TRUE,0)</f>
        <v/>
      </c>
      <c r="GE36" s="47"/>
      <c r="GF36" s="45"/>
      <c r="GG36" s="33" t="str" cm="1">
        <f t="array" ref="GG36">_xlfn.IFS($D36="","",AND(GE36=$C36,GF36=$D36),3,($C36-$D36)/MAX(ABS($C36-$D36),1)=(GE36-GF36)/MAX(ABS(GE36-GF36),1),1,TRUE,0)</f>
        <v/>
      </c>
      <c r="GH36" s="18"/>
      <c r="GI36" s="19"/>
      <c r="GJ36" s="33" t="str" cm="1">
        <f t="array" ref="GJ36">_xlfn.IFS($D36="","",AND(GH36=$C36,GI36=$D36),3,($C36-$D36)/MAX(ABS($C36-$D36),1)=(GH36-GI36)/MAX(ABS(GH36-GI36),1),1,TRUE,0)</f>
        <v/>
      </c>
      <c r="GK36" s="18"/>
      <c r="GL36" s="19"/>
      <c r="GM36" s="33" t="str" cm="1">
        <f t="array" ref="GM36">_xlfn.IFS($D36="","",AND(GK36=$C36,GL36=$D36),3,($C36-$D36)/MAX(ABS($C36-$D36),1)=(GK36-GL36)/MAX(ABS(GK36-GL36),1),1,TRUE,0)</f>
        <v/>
      </c>
      <c r="GN36" s="18"/>
      <c r="GO36" s="19"/>
      <c r="GP36" s="33" t="str" cm="1">
        <f t="array" ref="GP36">_xlfn.IFS($D36="","",AND(GN36=$C36,GO36=$D36),3,($C36-$D36)/MAX(ABS($C36-$D36),1)=(GN36-GO36)/MAX(ABS(GN36-GO36),1),1,TRUE,0)</f>
        <v/>
      </c>
      <c r="GQ36" s="18"/>
      <c r="GR36" s="19"/>
      <c r="GS36" s="33" t="str" cm="1">
        <f t="array" ref="GS36">_xlfn.IFS($D36="","",AND(GQ36=$C36,GR36=$D36),3,($C36-$D36)/MAX(ABS($C36-$D36),1)=(GQ36-GR36)/MAX(ABS(GQ36-GR36),1),1,TRUE,0)</f>
        <v/>
      </c>
      <c r="GT36" s="18"/>
      <c r="GU36" s="19"/>
      <c r="GV36" s="33" t="str" cm="1">
        <f t="array" ref="GV36">_xlfn.IFS($D36="","",AND(GT36=$C36,GU36=$D36),3,($C36-$D36)/MAX(ABS($C36-$D36),1)=(GT36-GU36)/MAX(ABS(GT36-GU36),1),1,TRUE,0)</f>
        <v/>
      </c>
      <c r="GW36" s="18"/>
      <c r="GX36" s="19"/>
      <c r="GY36" s="33" t="str" cm="1">
        <f t="array" ref="GY36">_xlfn.IFS($D36="","",AND(GW36=$C36,GX36=$D36),3,($C36-$D36)/MAX(ABS($C36-$D36),1)=(GW36-GX36)/MAX(ABS(GW36-GX36),1),1,TRUE,0)</f>
        <v/>
      </c>
      <c r="GZ36" s="18"/>
      <c r="HA36" s="19"/>
      <c r="HB36" s="33" t="str" cm="1">
        <f t="array" ref="HB36">_xlfn.IFS($D36="","",AND(GZ36=$C36,HA36=$D36),3,($C36-$D36)/MAX(ABS($C36-$D36),1)=(GZ36-HA36)/MAX(ABS(GZ36-HA36),1),1,TRUE,0)</f>
        <v/>
      </c>
      <c r="HC36" s="18"/>
      <c r="HD36" s="19"/>
      <c r="HE36" s="33" t="str" cm="1">
        <f t="array" ref="HE36">_xlfn.IFS($D36="","",AND(HC36=$C36,HD36=$D36),3,($C36-$D36)/MAX(ABS($C36-$D36),1)=(HC36-HD36)/MAX(ABS(HC36-HD36),1),1,TRUE,0)</f>
        <v/>
      </c>
      <c r="HF36" s="18"/>
      <c r="HG36" s="19"/>
      <c r="HH36" s="33" t="str" cm="1">
        <f t="array" ref="HH36">_xlfn.IFS($D36="","",AND(HF36=$C36,HG36=$D36),3,($C36-$D36)/MAX(ABS($C36-$D36),1)=(HF36-HG36)/MAX(ABS(HF36-HG36),1),1,TRUE,0)</f>
        <v/>
      </c>
      <c r="HI36" s="18"/>
      <c r="HJ36" s="19"/>
      <c r="HK36" s="33" t="str" cm="1">
        <f t="array" ref="HK36">_xlfn.IFS($D36="","",AND(HI36=$C36,HJ36=$D36),3,($C36-$D36)/MAX(ABS($C36-$D36),1)=(HI36-HJ36)/MAX(ABS(HI36-HJ36),1),1,TRUE,0)</f>
        <v/>
      </c>
      <c r="HL36" s="18"/>
      <c r="HM36" s="19"/>
      <c r="HN36" s="33" t="str" cm="1">
        <f t="array" ref="HN36">_xlfn.IFS($D36="","",AND(HL36=$C36,HM36=$D36),3,($C36-$D36)/MAX(ABS($C36-$D36),1)=(HL36-HM36)/MAX(ABS(HL36-HM36),1),1,TRUE,0)</f>
        <v/>
      </c>
      <c r="HO36" s="18"/>
      <c r="HP36" s="19"/>
      <c r="HQ36" s="33" t="str" cm="1">
        <f t="array" ref="HQ36">_xlfn.IFS($D36="","",AND(HO36=$C36,HP36=$D36),3,($C36-$D36)/MAX(ABS($C36-$D36),1)=(HO36-HP36)/MAX(ABS(HO36-HP36),1),1,TRUE,0)</f>
        <v/>
      </c>
      <c r="HR36" s="18"/>
      <c r="HS36" s="19"/>
      <c r="HT36" s="33" t="str" cm="1">
        <f t="array" ref="HT36">_xlfn.IFS($D36="","",AND(HR36=$C36,HS36=$D36),3,($C36-$D36)/MAX(ABS($C36-$D36),1)=(HR36-HS36)/MAX(ABS(HR36-HS36),1),1,TRUE,0)</f>
        <v/>
      </c>
      <c r="HU36" s="18"/>
      <c r="HV36" s="19"/>
      <c r="HW36" s="33" t="str" cm="1">
        <f t="array" ref="HW36">_xlfn.IFS($D36="","",AND(HU36=$C36,HV36=$D36),3,($C36-$D36)/MAX(ABS($C36-$D36),1)=(HU36-HV36)/MAX(ABS(HU36-HV36),1),1,TRUE,0)</f>
        <v/>
      </c>
      <c r="HX36" s="18"/>
      <c r="HY36" s="19"/>
      <c r="HZ36" s="33" t="str" cm="1">
        <f t="array" ref="HZ36">_xlfn.IFS($D36="","",AND(HX36=$C36,HY36=$D36),3,($C36-$D36)/MAX(ABS($C36-$D36),1)=(HX36-HY36)/MAX(ABS(HX36-HY36),1),1,TRUE,0)</f>
        <v/>
      </c>
      <c r="IA36" s="18"/>
      <c r="IB36" s="19"/>
      <c r="IC36" s="33" t="str" cm="1">
        <f t="array" ref="IC36">_xlfn.IFS($D36="","",AND(IA36=$C36,IB36=$D36),3,($C36-$D36)/MAX(ABS($C36-$D36),1)=(IA36-IB36)/MAX(ABS(IA36-IB36),1),1,TRUE,0)</f>
        <v/>
      </c>
      <c r="ID36" s="18"/>
      <c r="IE36" s="19"/>
      <c r="IF36" s="33" t="str" cm="1">
        <f t="array" ref="IF36">_xlfn.IFS($D36="","",AND(ID36=$C36,IE36=$D36),3,($C36-$D36)/MAX(ABS($C36-$D36),1)=(ID36-IE36)/MAX(ABS(ID36-IE36),1),1,TRUE,0)</f>
        <v/>
      </c>
      <c r="IG36" s="18"/>
      <c r="IH36" s="19"/>
      <c r="II36" s="33" t="str" cm="1">
        <f t="array" ref="II36">_xlfn.IFS($D36="","",AND(IG36=$C36,IH36=$D36),3,($C36-$D36)/MAX(ABS($C36-$D36),1)=(IG36-IH36)/MAX(ABS(IG36-IH36),1),1,TRUE,0)</f>
        <v/>
      </c>
      <c r="IJ36" s="18"/>
      <c r="IK36" s="19"/>
      <c r="IL36" s="33" t="str" cm="1">
        <f t="array" ref="IL36">_xlfn.IFS($D36="","",AND(IJ36=$C36,IK36=$D36),3,($C36-$D36)/MAX(ABS($C36-$D36),1)=(IJ36-IK36)/MAX(ABS(IJ36-IK36),1),1,TRUE,0)</f>
        <v/>
      </c>
      <c r="IM36" s="18"/>
      <c r="IN36" s="19"/>
      <c r="IO36" s="33" t="str" cm="1">
        <f t="array" ref="IO36">_xlfn.IFS($D36="","",AND(IM36=$C36,IN36=$D36),3,($C36-$D36)/MAX(ABS($C36-$D36),1)=(IM36-IN36)/MAX(ABS(IM36-IN36),1),1,TRUE,0)</f>
        <v/>
      </c>
      <c r="IP36" s="18"/>
      <c r="IQ36" s="19"/>
      <c r="IR36" s="33" t="str" cm="1">
        <f t="array" ref="IR36">_xlfn.IFS($D36="","",AND(IP36=$C36,IQ36=$D36),3,($C36-$D36)/MAX(ABS($C36-$D36),1)=(IP36-IQ36)/MAX(ABS(IP36-IQ36),1),1,TRUE,0)</f>
        <v/>
      </c>
      <c r="IS36" s="18"/>
      <c r="IT36" s="19"/>
      <c r="IU36" s="33" t="str" cm="1">
        <f t="array" ref="IU36">_xlfn.IFS($D36="","",AND(IS36=$C36,IT36=$D36),3,($C36-$D36)/MAX(ABS($C36-$D36),1)=(IS36-IT36)/MAX(ABS(IS36-IT36),1),1,TRUE,0)</f>
        <v/>
      </c>
      <c r="IV36" s="18"/>
      <c r="IW36" s="19"/>
      <c r="IX36" s="33" t="str" cm="1">
        <f t="array" ref="IX36">_xlfn.IFS($D36="","",AND(IV36=$C36,IW36=$D36),3,($C36-$D36)/MAX(ABS($C36-$D36),1)=(IV36-IW36)/MAX(ABS(IV36-IW36),1),1,TRUE,0)</f>
        <v/>
      </c>
      <c r="IY36" s="18"/>
      <c r="IZ36" s="19"/>
      <c r="JA36" s="33" t="str" cm="1">
        <f t="array" ref="JA36">_xlfn.IFS($D36="","",AND(IY36=$C36,IZ36=$D36),3,($C36-$D36)/MAX(ABS($C36-$D36),1)=(IY36-IZ36)/MAX(ABS(IY36-IZ36),1),1,TRUE,0)</f>
        <v/>
      </c>
      <c r="JB36" s="18"/>
      <c r="JC36" s="19"/>
      <c r="JD36" s="33" t="str" cm="1">
        <f t="array" ref="JD36">_xlfn.IFS($D36="","",AND(JB36=$C36,JC36=$D36),3,($C36-$D36)/MAX(ABS($C36-$D36),1)=(JB36-JC36)/MAX(ABS(JB36-JC36),1),1,TRUE,0)</f>
        <v/>
      </c>
    </row>
    <row r="37" spans="1:264" ht="15" thickBot="1" x14ac:dyDescent="0.35">
      <c r="A37" s="22">
        <v>46194</v>
      </c>
      <c r="B37" s="28" t="s">
        <v>51</v>
      </c>
      <c r="C37" s="53" t="str" cm="1">
        <f t="array" ref="C37">_xlfn.LET(
_xlpm.x,_xlfn.XLOOKUP(1,(Scores_Fixtures[Date]=A37)*(Scores_Fixtures[Home.1]=B37),Scores_Fixtures[Score.1],""),
IF(_xlpm.x="","",_xlpm.x)
)</f>
        <v/>
      </c>
      <c r="D37" s="53" t="str" cm="1">
        <f t="array" ref="D37">_xlfn.LET(
_xlpm.x,_xlfn.XLOOKUP(1,(Scores_Fixtures[Date]=A37)*(Scores_Fixtures[Home.1]=B37),Scores_Fixtures[Score.2],""),
IF(_xlpm.x="","",_xlpm.x)
)</f>
        <v/>
      </c>
      <c r="E37" s="12" t="s">
        <v>62</v>
      </c>
      <c r="F37" s="15"/>
      <c r="G37" s="53"/>
      <c r="H37" s="53"/>
      <c r="I37" s="33" t="str" cm="1">
        <f t="array" ref="I37">_xlfn.IFS($D37="","",AND(G37=$C37,H37=$D37),3,($C37-$D37)/MAX(ABS($C37-$D37),1)=(G37-H37)/MAX(ABS(G37-H37),1),1,TRUE,0)</f>
        <v/>
      </c>
      <c r="J37" s="18"/>
      <c r="K37" s="19"/>
      <c r="L37" s="33" t="str" cm="1">
        <f t="array" ref="L37">_xlfn.IFS($D37="","",AND(J37=$C37,K37=$D37),3,($C37-$D37)/MAX(ABS($C37-$D37),1)=(J37-K37)/MAX(ABS(J37-K37),1),1,TRUE,0)</f>
        <v/>
      </c>
      <c r="M37" s="18"/>
      <c r="N37" s="19"/>
      <c r="O37" s="33" t="str" cm="1">
        <f t="array" ref="O37">_xlfn.IFS($D37="","",AND(M37=$C37,N37=$D37),3,($C37-$D37)/MAX(ABS($C37-$D37),1)=(M37-N37)/MAX(ABS(M37-N37),1),1,TRUE,0)</f>
        <v/>
      </c>
      <c r="P37" s="18"/>
      <c r="Q37" s="19"/>
      <c r="R37" s="33" t="str" cm="1">
        <f t="array" ref="R37">_xlfn.IFS($D37="","",AND(P37=$C37,Q37=$D37),3,($C37-$D37)/MAX(ABS($C37-$D37),1)=(P37-Q37)/MAX(ABS(P37-Q37),1),1,TRUE,0)</f>
        <v/>
      </c>
      <c r="S37" s="18"/>
      <c r="T37" s="19"/>
      <c r="U37" s="33" t="str" cm="1">
        <f t="array" ref="U37">_xlfn.IFS($D37="","",AND(S37=$C37,T37=$D37),3,($C37-$D37)/MAX(ABS($C37-$D37),1)=(S37-T37)/MAX(ABS(S37-T37),1),1,TRUE,0)</f>
        <v/>
      </c>
      <c r="V37" s="18"/>
      <c r="W37" s="19"/>
      <c r="X37" s="33" t="str" cm="1">
        <f t="array" ref="X37">_xlfn.IFS($D37="","",AND(V37=$C37,W37=$D37),3,($C37-$D37)/MAX(ABS($C37-$D37),1)=(V37-W37)/MAX(ABS(V37-W37),1),1,TRUE,0)</f>
        <v/>
      </c>
      <c r="Y37" s="18"/>
      <c r="Z37" s="19"/>
      <c r="AA37" s="33" t="str" cm="1">
        <f t="array" ref="AA37">_xlfn.IFS($D37="","",AND(Y37=$C37,Z37=$D37),3,($C37-$D37)/MAX(ABS($C37-$D37),1)=(Y37-Z37)/MAX(ABS(Y37-Z37),1),1,TRUE,0)</f>
        <v/>
      </c>
      <c r="AB37" s="18"/>
      <c r="AC37" s="19"/>
      <c r="AD37" s="33" t="str" cm="1">
        <f t="array" ref="AD37">_xlfn.IFS($D37="","",AND(AB37=$C37,AC37=$D37),3,($C37-$D37)/MAX(ABS($C37-$D37),1)=(AB37-AC37)/MAX(ABS(AB37-AC37),1),1,TRUE,0)</f>
        <v/>
      </c>
      <c r="AE37" s="18"/>
      <c r="AF37" s="19"/>
      <c r="AG37" s="33" t="str" cm="1">
        <f t="array" ref="AG37">_xlfn.IFS($D37="","",AND(AE37=$C37,AF37=$D37),3,($C37-$D37)/MAX(ABS($C37-$D37),1)=(AE37-AF37)/MAX(ABS(AE37-AF37),1),1,TRUE,0)</f>
        <v/>
      </c>
      <c r="AH37" s="18"/>
      <c r="AI37" s="19"/>
      <c r="AJ37" s="33" t="str" cm="1">
        <f t="array" ref="AJ37">_xlfn.IFS($D37="","",AND(AH37=$C37,AI37=$D37),3,($C37-$D37)/MAX(ABS($C37-$D37),1)=(AH37-AI37)/MAX(ABS(AH37-AI37),1),1,TRUE,0)</f>
        <v/>
      </c>
      <c r="AK37" s="18"/>
      <c r="AL37" s="19"/>
      <c r="AM37" s="33" t="str" cm="1">
        <f t="array" ref="AM37">_xlfn.IFS($D37="","",AND(AK37=$C37,AL37=$D37),3,($C37-$D37)/MAX(ABS($C37-$D37),1)=(AK37-AL37)/MAX(ABS(AK37-AL37),1),1,TRUE,0)</f>
        <v/>
      </c>
      <c r="AN37" s="18"/>
      <c r="AO37" s="19"/>
      <c r="AP37" s="33" t="str" cm="1">
        <f t="array" ref="AP37">_xlfn.IFS($D37="","",AND(AN37=$C37,AO37=$D37),3,($C37-$D37)/MAX(ABS($C37-$D37),1)=(AN37-AO37)/MAX(ABS(AN37-AO37),1),1,TRUE,0)</f>
        <v/>
      </c>
      <c r="AQ37" s="18"/>
      <c r="AR37" s="19"/>
      <c r="AS37" s="33" t="str" cm="1">
        <f t="array" ref="AS37">_xlfn.IFS($D37="","",AND(AQ37=$C37,AR37=$D37),3,($C37-$D37)/MAX(ABS($C37-$D37),1)=(AQ37-AR37)/MAX(ABS(AQ37-AR37),1),1,TRUE,0)</f>
        <v/>
      </c>
      <c r="AT37" s="18"/>
      <c r="AU37" s="19"/>
      <c r="AV37" s="33" t="str" cm="1">
        <f t="array" ref="AV37">_xlfn.IFS($D37="","",AND(AT37=$C37,AU37=$D37),3,($C37-$D37)/MAX(ABS($C37-$D37),1)=(AT37-AU37)/MAX(ABS(AT37-AU37),1),1,TRUE,0)</f>
        <v/>
      </c>
      <c r="AW37" s="18"/>
      <c r="AX37" s="19"/>
      <c r="AY37" s="33" t="str" cm="1">
        <f t="array" ref="AY37">_xlfn.IFS($D37="","",AND(AW37=$C37,AX37=$D37),3,($C37-$D37)/MAX(ABS($C37-$D37),1)=(AW37-AX37)/MAX(ABS(AW37-AX37),1),1,TRUE,0)</f>
        <v/>
      </c>
      <c r="AZ37" s="18"/>
      <c r="BA37" s="19"/>
      <c r="BB37" s="33" t="str" cm="1">
        <f t="array" ref="BB37">_xlfn.IFS($D37="","",AND(AZ37=$C37,BA37=$D37),3,($C37-$D37)/MAX(ABS($C37-$D37),1)=(AZ37-BA37)/MAX(ABS(AZ37-BA37),1),1,TRUE,0)</f>
        <v/>
      </c>
      <c r="BC37" s="18"/>
      <c r="BD37" s="19"/>
      <c r="BE37" s="33" t="str" cm="1">
        <f t="array" ref="BE37">_xlfn.IFS($D37="","",AND(BC37=$C37,BD37=$D37),3,($C37-$D37)/MAX(ABS($C37-$D37),1)=(BC37-BD37)/MAX(ABS(BC37-BD37),1),1,TRUE,0)</f>
        <v/>
      </c>
      <c r="BF37" s="18"/>
      <c r="BG37" s="19"/>
      <c r="BH37" s="33" t="str" cm="1">
        <f t="array" ref="BH37">_xlfn.IFS($D37="","",AND(BF37=$C37,BG37=$D37),3,($C37-$D37)/MAX(ABS($C37-$D37),1)=(BF37-BG37)/MAX(ABS(BF37-BG37),1),1,TRUE,0)</f>
        <v/>
      </c>
      <c r="BI37" s="18"/>
      <c r="BJ37" s="19"/>
      <c r="BK37" s="33" t="str" cm="1">
        <f t="array" ref="BK37">_xlfn.IFS($D37="","",AND(BI37=$C37,BJ37=$D37),3,($C37-$D37)/MAX(ABS($C37-$D37),1)=(BI37-BJ37)/MAX(ABS(BI37-BJ37),1),1,TRUE,0)</f>
        <v/>
      </c>
      <c r="BL37" s="18"/>
      <c r="BM37" s="19"/>
      <c r="BN37" s="33" t="str" cm="1">
        <f t="array" ref="BN37">_xlfn.IFS($D37="","",AND(BL37=$C37,BM37=$D37),3,($C37-$D37)/MAX(ABS($C37-$D37),1)=(BL37-BM37)/MAX(ABS(BL37-BM37),1),1,TRUE,0)</f>
        <v/>
      </c>
      <c r="BO37" s="18"/>
      <c r="BP37" s="19"/>
      <c r="BQ37" s="33" t="str" cm="1">
        <f t="array" ref="BQ37">_xlfn.IFS($D37="","",AND(BO37=$C37,BP37=$D37),3,($C37-$D37)/MAX(ABS($C37-$D37),1)=(BO37-BP37)/MAX(ABS(BO37-BP37),1),1,TRUE,0)</f>
        <v/>
      </c>
      <c r="BR37" s="18"/>
      <c r="BS37" s="19"/>
      <c r="BT37" s="33" t="str" cm="1">
        <f t="array" ref="BT37">_xlfn.IFS($D37="","",AND(BR37=$C37,BS37=$D37),3,($C37-$D37)/MAX(ABS($C37-$D37),1)=(BR37-BS37)/MAX(ABS(BR37-BS37),1),1,TRUE,0)</f>
        <v/>
      </c>
      <c r="BU37" s="18"/>
      <c r="BV37" s="19"/>
      <c r="BW37" s="33" t="str" cm="1">
        <f t="array" ref="BW37">_xlfn.IFS($D37="","",AND(BU37=$C37,BV37=$D37),3,($C37-$D37)/MAX(ABS($C37-$D37),1)=(BU37-BV37)/MAX(ABS(BU37-BV37),1),1,TRUE,0)</f>
        <v/>
      </c>
      <c r="BX37" s="18"/>
      <c r="BY37" s="19"/>
      <c r="BZ37" s="33" t="str" cm="1">
        <f t="array" ref="BZ37">_xlfn.IFS($D37="","",AND(BX37=$C37,BY37=$D37),3,($C37-$D37)/MAX(ABS($C37-$D37),1)=(BX37-BY37)/MAX(ABS(BX37-BY37),1),1,TRUE,0)</f>
        <v/>
      </c>
      <c r="CA37" s="18"/>
      <c r="CB37" s="19"/>
      <c r="CC37" s="33" t="str" cm="1">
        <f t="array" ref="CC37">_xlfn.IFS($D37="","",AND(CA37=$C37,CB37=$D37),3,($C37-$D37)/MAX(ABS($C37-$D37),1)=(CA37-CB37)/MAX(ABS(CA37-CB37),1),1,TRUE,0)</f>
        <v/>
      </c>
      <c r="CD37" s="18"/>
      <c r="CE37" s="19"/>
      <c r="CF37" s="33" t="str" cm="1">
        <f t="array" ref="CF37">_xlfn.IFS($D37="","",AND(CD37=$C37,CE37=$D37),3,($C37-$D37)/MAX(ABS($C37-$D37),1)=(CD37-CE37)/MAX(ABS(CD37-CE37),1),1,TRUE,0)</f>
        <v/>
      </c>
      <c r="CG37" s="18"/>
      <c r="CH37" s="19"/>
      <c r="CI37" s="33" t="str" cm="1">
        <f t="array" ref="CI37">_xlfn.IFS($D37="","",AND(CG37=$C37,CH37=$D37),3,($C37-$D37)/MAX(ABS($C37-$D37),1)=(CG37-CH37)/MAX(ABS(CG37-CH37),1),1,TRUE,0)</f>
        <v/>
      </c>
      <c r="CJ37" s="18"/>
      <c r="CK37" s="19"/>
      <c r="CL37" s="33" t="str" cm="1">
        <f t="array" ref="CL37">_xlfn.IFS($D37="","",AND(CJ37=$C37,CK37=$D37),3,($C37-$D37)/MAX(ABS($C37-$D37),1)=(CJ37-CK37)/MAX(ABS(CJ37-CK37),1),1,TRUE,0)</f>
        <v/>
      </c>
      <c r="CM37" s="18"/>
      <c r="CN37" s="19"/>
      <c r="CO37" s="33" t="str" cm="1">
        <f t="array" ref="CO37">_xlfn.IFS($D37="","",AND(CM37=$C37,CN37=$D37),3,($C37-$D37)/MAX(ABS($C37-$D37),1)=(CM37-CN37)/MAX(ABS(CM37-CN37),1),1,TRUE,0)</f>
        <v/>
      </c>
      <c r="CP37" s="18"/>
      <c r="CQ37" s="19"/>
      <c r="CR37" s="33" t="str" cm="1">
        <f t="array" ref="CR37">_xlfn.IFS($D37="","",AND(CP37=$C37,CQ37=$D37),3,($C37-$D37)/MAX(ABS($C37-$D37),1)=(CP37-CQ37)/MAX(ABS(CP37-CQ37),1),1,TRUE,0)</f>
        <v/>
      </c>
      <c r="CS37" s="18"/>
      <c r="CT37" s="19"/>
      <c r="CU37" s="33" t="str" cm="1">
        <f t="array" ref="CU37">_xlfn.IFS($D37="","",AND(CS37=$C37,CT37=$D37),3,($C37-$D37)/MAX(ABS($C37-$D37),1)=(CS37-CT37)/MAX(ABS(CS37-CT37),1),1,TRUE,0)</f>
        <v/>
      </c>
      <c r="CV37" s="18"/>
      <c r="CW37" s="19"/>
      <c r="CX37" s="33" t="str" cm="1">
        <f t="array" ref="CX37">_xlfn.IFS($D37="","",AND(CV37=$C37,CW37=$D37),3,($C37-$D37)/MAX(ABS($C37-$D37),1)=(CV37-CW37)/MAX(ABS(CV37-CW37),1),1,TRUE,0)</f>
        <v/>
      </c>
      <c r="CY37" s="18"/>
      <c r="CZ37" s="19"/>
      <c r="DA37" s="33" t="str" cm="1">
        <f t="array" ref="DA37">_xlfn.IFS($D37="","",AND(CY37=$C37,CZ37=$D37),3,($C37-$D37)/MAX(ABS($C37-$D37),1)=(CY37-CZ37)/MAX(ABS(CY37-CZ37),1),1,TRUE,0)</f>
        <v/>
      </c>
      <c r="DB37" s="37"/>
      <c r="DC37" s="38"/>
      <c r="DD37" s="33" t="str" cm="1">
        <f t="array" ref="DD37">_xlfn.IFS($D37="","",AND(DB37=$C37,DC37=$D37),3,($C37-$D37)/MAX(ABS($C37-$D37),1)=(DB37-DC37)/MAX(ABS(DB37-DC37),1),1,TRUE,0)</f>
        <v/>
      </c>
      <c r="DE37" s="18"/>
      <c r="DF37" s="19"/>
      <c r="DG37" s="33" t="str" cm="1">
        <f t="array" ref="DG37">_xlfn.IFS($D37="","",AND(DE37=$C37,DF37=$D37),3,($C37-$D37)/MAX(ABS($C37-$D37),1)=(DE37-DF37)/MAX(ABS(DE37-DF37),1),1,TRUE,0)</f>
        <v/>
      </c>
      <c r="DH37" s="18"/>
      <c r="DI37" s="19"/>
      <c r="DJ37" s="33" t="str" cm="1">
        <f t="array" ref="DJ37">_xlfn.IFS($D37="","",AND(DH37=$C37,DI37=$D37),3,($C37-$D37)/MAX(ABS($C37-$D37),1)=(DH37-DI37)/MAX(ABS(DH37-DI37),1),1,TRUE,0)</f>
        <v/>
      </c>
      <c r="DK37" s="18"/>
      <c r="DL37" s="19"/>
      <c r="DM37" s="33" t="str" cm="1">
        <f t="array" ref="DM37">_xlfn.IFS($D37="","",AND(DK37=$C37,DL37=$D37),3,($C37-$D37)/MAX(ABS($C37-$D37),1)=(DK37-DL37)/MAX(ABS(DK37-DL37),1),1,TRUE,0)</f>
        <v/>
      </c>
      <c r="DN37" s="18"/>
      <c r="DO37" s="19"/>
      <c r="DP37" s="33" t="str" cm="1">
        <f t="array" ref="DP37">_xlfn.IFS($D37="","",AND(DN37=$C37,DO37=$D37),3,($C37-$D37)/MAX(ABS($C37-$D37),1)=(DN37-DO37)/MAX(ABS(DN37-DO37),1),1,TRUE,0)</f>
        <v/>
      </c>
      <c r="DQ37" s="18"/>
      <c r="DR37" s="19"/>
      <c r="DS37" s="33" t="str" cm="1">
        <f t="array" ref="DS37">_xlfn.IFS($D37="","",AND(DQ37=$C37,DR37=$D37),3,($C37-$D37)/MAX(ABS($C37-$D37),1)=(DQ37-DR37)/MAX(ABS(DQ37-DR37),1),1,TRUE,0)</f>
        <v/>
      </c>
      <c r="DT37" s="18"/>
      <c r="DU37" s="19"/>
      <c r="DV37" s="33" t="str" cm="1">
        <f t="array" ref="DV37">_xlfn.IFS($D37="","",AND(DT37=$C37,DU37=$D37),3,($C37-$D37)/MAX(ABS($C37-$D37),1)=(DT37-DU37)/MAX(ABS(DT37-DU37),1),1,TRUE,0)</f>
        <v/>
      </c>
      <c r="DW37" s="18"/>
      <c r="DX37" s="19"/>
      <c r="DY37" s="33" t="str" cm="1">
        <f t="array" ref="DY37">_xlfn.IFS($D37="","",AND(DW37=$C37,DX37=$D37),3,($C37-$D37)/MAX(ABS($C37-$D37),1)=(DW37-DX37)/MAX(ABS(DW37-DX37),1),1,TRUE,0)</f>
        <v/>
      </c>
      <c r="DZ37" s="18"/>
      <c r="EA37" s="19"/>
      <c r="EB37" s="33" t="str" cm="1">
        <f t="array" ref="EB37">_xlfn.IFS($D37="","",AND(DZ37=$C37,EA37=$D37),3,($C37-$D37)/MAX(ABS($C37-$D37),1)=(DZ37-EA37)/MAX(ABS(DZ37-EA37),1),1,TRUE,0)</f>
        <v/>
      </c>
      <c r="EC37" s="18"/>
      <c r="ED37" s="19"/>
      <c r="EE37" s="33" t="str" cm="1">
        <f t="array" ref="EE37">_xlfn.IFS($D37="","",AND(EC37=$C37,ED37=$D37),3,($C37-$D37)/MAX(ABS($C37-$D37),1)=(EC37-ED37)/MAX(ABS(EC37-ED37),1),1,TRUE,0)</f>
        <v/>
      </c>
      <c r="EF37" s="18"/>
      <c r="EG37" s="19"/>
      <c r="EH37" s="33" t="str" cm="1">
        <f t="array" ref="EH37">_xlfn.IFS($D37="","",AND(EF37=$C37,EG37=$D37),3,($C37-$D37)/MAX(ABS($C37-$D37),1)=(EF37-EG37)/MAX(ABS(EF37-EG37),1),1,TRUE,0)</f>
        <v/>
      </c>
      <c r="EI37" s="43"/>
      <c r="EJ37" s="44"/>
      <c r="EK37" s="33" t="str" cm="1">
        <f t="array" ref="EK37">_xlfn.IFS($D37="","",AND(EI37=$C37,EJ37=$D37),3,($C37-$D37)/MAX(ABS($C37-$D37),1)=(EI37-EJ37)/MAX(ABS(EI37-EJ37),1),1,TRUE,0)</f>
        <v/>
      </c>
      <c r="EL37" s="18"/>
      <c r="EM37" s="19"/>
      <c r="EN37" s="33" t="str" cm="1">
        <f t="array" ref="EN37">_xlfn.IFS($D37="","",AND(EL37=$C37,EM37=$D37),3,($C37-$D37)/MAX(ABS($C37-$D37),1)=(EL37-EM37)/MAX(ABS(EL37-EM37),1),1,TRUE,0)</f>
        <v/>
      </c>
      <c r="EO37" s="18"/>
      <c r="EP37" s="19"/>
      <c r="EQ37" s="33" t="str" cm="1">
        <f t="array" ref="EQ37">_xlfn.IFS($D37="","",AND(EO37=$C37,EP37=$D37),3,($C37-$D37)/MAX(ABS($C37-$D37),1)=(EO37-EP37)/MAX(ABS(EO37-EP37),1),1,TRUE,0)</f>
        <v/>
      </c>
      <c r="ER37" s="18"/>
      <c r="ES37" s="19"/>
      <c r="ET37" s="33" t="str" cm="1">
        <f t="array" ref="ET37">_xlfn.IFS($D37="","",AND(ER37=$C37,ES37=$D37),3,($C37-$D37)/MAX(ABS($C37-$D37),1)=(ER37-ES37)/MAX(ABS(ER37-ES37),1),1,TRUE,0)</f>
        <v/>
      </c>
      <c r="EU37" s="18"/>
      <c r="EV37" s="19"/>
      <c r="EW37" s="33" t="str" cm="1">
        <f t="array" ref="EW37">_xlfn.IFS($D37="","",AND(EU37=$C37,EV37=$D37),3,($C37-$D37)/MAX(ABS($C37-$D37),1)=(EU37-EV37)/MAX(ABS(EU37-EV37),1),1,TRUE,0)</f>
        <v/>
      </c>
      <c r="EX37" s="18"/>
      <c r="EY37" s="19"/>
      <c r="EZ37" s="33" t="str" cm="1">
        <f t="array" ref="EZ37">_xlfn.IFS($D37="","",AND(EX37=$C37,EY37=$D37),3,($C37-$D37)/MAX(ABS($C37-$D37),1)=(EX37-EY37)/MAX(ABS(EX37-EY37),1),1,TRUE,0)</f>
        <v/>
      </c>
      <c r="FA37" s="18"/>
      <c r="FB37" s="19"/>
      <c r="FC37" s="33" t="str" cm="1">
        <f t="array" ref="FC37">_xlfn.IFS($D37="","",AND(FA37=$C37,FB37=$D37),3,($C37-$D37)/MAX(ABS($C37-$D37),1)=(FA37-FB37)/MAX(ABS(FA37-FB37),1),1,TRUE,0)</f>
        <v/>
      </c>
      <c r="FD37" s="18"/>
      <c r="FE37" s="19"/>
      <c r="FF37" s="33" t="str" cm="1">
        <f t="array" ref="FF37">_xlfn.IFS($D37="","",AND(FD37=$C37,FE37=$D37),3,($C37-$D37)/MAX(ABS($C37-$D37),1)=(FD37-FE37)/MAX(ABS(FD37-FE37),1),1,TRUE,0)</f>
        <v/>
      </c>
      <c r="FG37" s="18"/>
      <c r="FH37" s="19"/>
      <c r="FI37" s="33" t="str" cm="1">
        <f t="array" ref="FI37">_xlfn.IFS($D37="","",AND(FG37=$C37,FH37=$D37),3,($C37-$D37)/MAX(ABS($C37-$D37),1)=(FG37-FH37)/MAX(ABS(FG37-FH37),1),1,TRUE,0)</f>
        <v/>
      </c>
      <c r="FJ37" s="18"/>
      <c r="FK37" s="19"/>
      <c r="FL37" s="33" t="str" cm="1">
        <f t="array" ref="FL37">_xlfn.IFS($D37="","",AND(FJ37=$C37,FK37=$D37),3,($C37-$D37)/MAX(ABS($C37-$D37),1)=(FJ37-FK37)/MAX(ABS(FJ37-FK37),1),1,TRUE,0)</f>
        <v/>
      </c>
      <c r="FM37" s="18"/>
      <c r="FN37" s="19"/>
      <c r="FO37" s="33" t="str" cm="1">
        <f t="array" ref="FO37">_xlfn.IFS($D37="","",AND(FM37=$C37,FN37=$D37),3,($C37-$D37)/MAX(ABS($C37-$D37),1)=(FM37-FN37)/MAX(ABS(FM37-FN37),1),1,TRUE,0)</f>
        <v/>
      </c>
      <c r="FP37" s="18"/>
      <c r="FQ37" s="19"/>
      <c r="FR37" s="33" t="str" cm="1">
        <f t="array" ref="FR37">_xlfn.IFS($D37="","",AND(FP37=$C37,FQ37=$D37),3,($C37-$D37)/MAX(ABS($C37-$D37),1)=(FP37-FQ37)/MAX(ABS(FP37-FQ37),1),1,TRUE,0)</f>
        <v/>
      </c>
      <c r="FS37" s="18"/>
      <c r="FT37" s="19"/>
      <c r="FU37" s="33" t="str" cm="1">
        <f t="array" ref="FU37">_xlfn.IFS($D37="","",AND(FS37=$C37,FT37=$D37),3,($C37-$D37)/MAX(ABS($C37-$D37),1)=(FS37-FT37)/MAX(ABS(FS37-FT37),1),1,TRUE,0)</f>
        <v/>
      </c>
      <c r="FV37" s="18"/>
      <c r="FW37" s="19"/>
      <c r="FX37" s="33" t="str" cm="1">
        <f t="array" ref="FX37">_xlfn.IFS($D37="","",AND(FV37=$C37,FW37=$D37),3,($C37-$D37)/MAX(ABS($C37-$D37),1)=(FV37-FW37)/MAX(ABS(FV37-FW37),1),1,TRUE,0)</f>
        <v/>
      </c>
      <c r="FY37" s="18"/>
      <c r="FZ37" s="19"/>
      <c r="GA37" s="33" t="str" cm="1">
        <f t="array" ref="GA37">_xlfn.IFS($D37="","",AND(FY37=$C37,FZ37=$D37),3,($C37-$D37)/MAX(ABS($C37-$D37),1)=(FY37-FZ37)/MAX(ABS(FY37-FZ37),1),1,TRUE,0)</f>
        <v/>
      </c>
      <c r="GB37" s="18"/>
      <c r="GC37" s="19"/>
      <c r="GD37" s="33" t="str" cm="1">
        <f t="array" ref="GD37">_xlfn.IFS($D37="","",AND(GB37=$C37,GC37=$D37),3,($C37-$D37)/MAX(ABS($C37-$D37),1)=(GB37-GC37)/MAX(ABS(GB37-GC37),1),1,TRUE,0)</f>
        <v/>
      </c>
      <c r="GE37" s="47"/>
      <c r="GF37" s="45"/>
      <c r="GG37" s="33" t="str" cm="1">
        <f t="array" ref="GG37">_xlfn.IFS($D37="","",AND(GE37=$C37,GF37=$D37),3,($C37-$D37)/MAX(ABS($C37-$D37),1)=(GE37-GF37)/MAX(ABS(GE37-GF37),1),1,TRUE,0)</f>
        <v/>
      </c>
      <c r="GH37" s="18"/>
      <c r="GI37" s="19"/>
      <c r="GJ37" s="33" t="str" cm="1">
        <f t="array" ref="GJ37">_xlfn.IFS($D37="","",AND(GH37=$C37,GI37=$D37),3,($C37-$D37)/MAX(ABS($C37-$D37),1)=(GH37-GI37)/MAX(ABS(GH37-GI37),1),1,TRUE,0)</f>
        <v/>
      </c>
      <c r="GK37" s="18"/>
      <c r="GL37" s="19"/>
      <c r="GM37" s="33" t="str" cm="1">
        <f t="array" ref="GM37">_xlfn.IFS($D37="","",AND(GK37=$C37,GL37=$D37),3,($C37-$D37)/MAX(ABS($C37-$D37),1)=(GK37-GL37)/MAX(ABS(GK37-GL37),1),1,TRUE,0)</f>
        <v/>
      </c>
      <c r="GN37" s="18"/>
      <c r="GO37" s="19"/>
      <c r="GP37" s="33" t="str" cm="1">
        <f t="array" ref="GP37">_xlfn.IFS($D37="","",AND(GN37=$C37,GO37=$D37),3,($C37-$D37)/MAX(ABS($C37-$D37),1)=(GN37-GO37)/MAX(ABS(GN37-GO37),1),1,TRUE,0)</f>
        <v/>
      </c>
      <c r="GQ37" s="18"/>
      <c r="GR37" s="19"/>
      <c r="GS37" s="33" t="str" cm="1">
        <f t="array" ref="GS37">_xlfn.IFS($D37="","",AND(GQ37=$C37,GR37=$D37),3,($C37-$D37)/MAX(ABS($C37-$D37),1)=(GQ37-GR37)/MAX(ABS(GQ37-GR37),1),1,TRUE,0)</f>
        <v/>
      </c>
      <c r="GT37" s="18"/>
      <c r="GU37" s="19"/>
      <c r="GV37" s="33" t="str" cm="1">
        <f t="array" ref="GV37">_xlfn.IFS($D37="","",AND(GT37=$C37,GU37=$D37),3,($C37-$D37)/MAX(ABS($C37-$D37),1)=(GT37-GU37)/MAX(ABS(GT37-GU37),1),1,TRUE,0)</f>
        <v/>
      </c>
      <c r="GW37" s="18"/>
      <c r="GX37" s="19"/>
      <c r="GY37" s="33" t="str" cm="1">
        <f t="array" ref="GY37">_xlfn.IFS($D37="","",AND(GW37=$C37,GX37=$D37),3,($C37-$D37)/MAX(ABS($C37-$D37),1)=(GW37-GX37)/MAX(ABS(GW37-GX37),1),1,TRUE,0)</f>
        <v/>
      </c>
      <c r="GZ37" s="18"/>
      <c r="HA37" s="19"/>
      <c r="HB37" s="33" t="str" cm="1">
        <f t="array" ref="HB37">_xlfn.IFS($D37="","",AND(GZ37=$C37,HA37=$D37),3,($C37-$D37)/MAX(ABS($C37-$D37),1)=(GZ37-HA37)/MAX(ABS(GZ37-HA37),1),1,TRUE,0)</f>
        <v/>
      </c>
      <c r="HC37" s="18"/>
      <c r="HD37" s="19"/>
      <c r="HE37" s="33" t="str" cm="1">
        <f t="array" ref="HE37">_xlfn.IFS($D37="","",AND(HC37=$C37,HD37=$D37),3,($C37-$D37)/MAX(ABS($C37-$D37),1)=(HC37-HD37)/MAX(ABS(HC37-HD37),1),1,TRUE,0)</f>
        <v/>
      </c>
      <c r="HF37" s="18"/>
      <c r="HG37" s="19"/>
      <c r="HH37" s="33" t="str" cm="1">
        <f t="array" ref="HH37">_xlfn.IFS($D37="","",AND(HF37=$C37,HG37=$D37),3,($C37-$D37)/MAX(ABS($C37-$D37),1)=(HF37-HG37)/MAX(ABS(HF37-HG37),1),1,TRUE,0)</f>
        <v/>
      </c>
      <c r="HI37" s="18"/>
      <c r="HJ37" s="19"/>
      <c r="HK37" s="33" t="str" cm="1">
        <f t="array" ref="HK37">_xlfn.IFS($D37="","",AND(HI37=$C37,HJ37=$D37),3,($C37-$D37)/MAX(ABS($C37-$D37),1)=(HI37-HJ37)/MAX(ABS(HI37-HJ37),1),1,TRUE,0)</f>
        <v/>
      </c>
      <c r="HL37" s="18"/>
      <c r="HM37" s="19"/>
      <c r="HN37" s="33" t="str" cm="1">
        <f t="array" ref="HN37">_xlfn.IFS($D37="","",AND(HL37=$C37,HM37=$D37),3,($C37-$D37)/MAX(ABS($C37-$D37),1)=(HL37-HM37)/MAX(ABS(HL37-HM37),1),1,TRUE,0)</f>
        <v/>
      </c>
      <c r="HO37" s="18"/>
      <c r="HP37" s="19"/>
      <c r="HQ37" s="33" t="str" cm="1">
        <f t="array" ref="HQ37">_xlfn.IFS($D37="","",AND(HO37=$C37,HP37=$D37),3,($C37-$D37)/MAX(ABS($C37-$D37),1)=(HO37-HP37)/MAX(ABS(HO37-HP37),1),1,TRUE,0)</f>
        <v/>
      </c>
      <c r="HR37" s="18"/>
      <c r="HS37" s="19"/>
      <c r="HT37" s="33" t="str" cm="1">
        <f t="array" ref="HT37">_xlfn.IFS($D37="","",AND(HR37=$C37,HS37=$D37),3,($C37-$D37)/MAX(ABS($C37-$D37),1)=(HR37-HS37)/MAX(ABS(HR37-HS37),1),1,TRUE,0)</f>
        <v/>
      </c>
      <c r="HU37" s="18"/>
      <c r="HV37" s="19"/>
      <c r="HW37" s="33" t="str" cm="1">
        <f t="array" ref="HW37">_xlfn.IFS($D37="","",AND(HU37=$C37,HV37=$D37),3,($C37-$D37)/MAX(ABS($C37-$D37),1)=(HU37-HV37)/MAX(ABS(HU37-HV37),1),1,TRUE,0)</f>
        <v/>
      </c>
      <c r="HX37" s="18"/>
      <c r="HY37" s="19"/>
      <c r="HZ37" s="33" t="str" cm="1">
        <f t="array" ref="HZ37">_xlfn.IFS($D37="","",AND(HX37=$C37,HY37=$D37),3,($C37-$D37)/MAX(ABS($C37-$D37),1)=(HX37-HY37)/MAX(ABS(HX37-HY37),1),1,TRUE,0)</f>
        <v/>
      </c>
      <c r="IA37" s="18"/>
      <c r="IB37" s="19"/>
      <c r="IC37" s="33" t="str" cm="1">
        <f t="array" ref="IC37">_xlfn.IFS($D37="","",AND(IA37=$C37,IB37=$D37),3,($C37-$D37)/MAX(ABS($C37-$D37),1)=(IA37-IB37)/MAX(ABS(IA37-IB37),1),1,TRUE,0)</f>
        <v/>
      </c>
      <c r="ID37" s="18"/>
      <c r="IE37" s="19"/>
      <c r="IF37" s="33" t="str" cm="1">
        <f t="array" ref="IF37">_xlfn.IFS($D37="","",AND(ID37=$C37,IE37=$D37),3,($C37-$D37)/MAX(ABS($C37-$D37),1)=(ID37-IE37)/MAX(ABS(ID37-IE37),1),1,TRUE,0)</f>
        <v/>
      </c>
      <c r="IG37" s="18"/>
      <c r="IH37" s="19"/>
      <c r="II37" s="33" t="str" cm="1">
        <f t="array" ref="II37">_xlfn.IFS($D37="","",AND(IG37=$C37,IH37=$D37),3,($C37-$D37)/MAX(ABS($C37-$D37),1)=(IG37-IH37)/MAX(ABS(IG37-IH37),1),1,TRUE,0)</f>
        <v/>
      </c>
      <c r="IJ37" s="18"/>
      <c r="IK37" s="19"/>
      <c r="IL37" s="33" t="str" cm="1">
        <f t="array" ref="IL37">_xlfn.IFS($D37="","",AND(IJ37=$C37,IK37=$D37),3,($C37-$D37)/MAX(ABS($C37-$D37),1)=(IJ37-IK37)/MAX(ABS(IJ37-IK37),1),1,TRUE,0)</f>
        <v/>
      </c>
      <c r="IM37" s="18"/>
      <c r="IN37" s="19"/>
      <c r="IO37" s="33" t="str" cm="1">
        <f t="array" ref="IO37">_xlfn.IFS($D37="","",AND(IM37=$C37,IN37=$D37),3,($C37-$D37)/MAX(ABS($C37-$D37),1)=(IM37-IN37)/MAX(ABS(IM37-IN37),1),1,TRUE,0)</f>
        <v/>
      </c>
      <c r="IP37" s="18"/>
      <c r="IQ37" s="19"/>
      <c r="IR37" s="33" t="str" cm="1">
        <f t="array" ref="IR37">_xlfn.IFS($D37="","",AND(IP37=$C37,IQ37=$D37),3,($C37-$D37)/MAX(ABS($C37-$D37),1)=(IP37-IQ37)/MAX(ABS(IP37-IQ37),1),1,TRUE,0)</f>
        <v/>
      </c>
      <c r="IS37" s="18"/>
      <c r="IT37" s="19"/>
      <c r="IU37" s="33" t="str" cm="1">
        <f t="array" ref="IU37">_xlfn.IFS($D37="","",AND(IS37=$C37,IT37=$D37),3,($C37-$D37)/MAX(ABS($C37-$D37),1)=(IS37-IT37)/MAX(ABS(IS37-IT37),1),1,TRUE,0)</f>
        <v/>
      </c>
      <c r="IV37" s="18"/>
      <c r="IW37" s="19"/>
      <c r="IX37" s="33" t="str" cm="1">
        <f t="array" ref="IX37">_xlfn.IFS($D37="","",AND(IV37=$C37,IW37=$D37),3,($C37-$D37)/MAX(ABS($C37-$D37),1)=(IV37-IW37)/MAX(ABS(IV37-IW37),1),1,TRUE,0)</f>
        <v/>
      </c>
      <c r="IY37" s="18"/>
      <c r="IZ37" s="19"/>
      <c r="JA37" s="33" t="str" cm="1">
        <f t="array" ref="JA37">_xlfn.IFS($D37="","",AND(IY37=$C37,IZ37=$D37),3,($C37-$D37)/MAX(ABS($C37-$D37),1)=(IY37-IZ37)/MAX(ABS(IY37-IZ37),1),1,TRUE,0)</f>
        <v/>
      </c>
      <c r="JB37" s="18"/>
      <c r="JC37" s="19"/>
      <c r="JD37" s="33" t="str" cm="1">
        <f t="array" ref="JD37">_xlfn.IFS($D37="","",AND(JB37=$C37,JC37=$D37),3,($C37-$D37)/MAX(ABS($C37-$D37),1)=(JB37-JC37)/MAX(ABS(JB37-JC37),1),1,TRUE,0)</f>
        <v/>
      </c>
    </row>
    <row r="38" spans="1:264" ht="15" thickBot="1" x14ac:dyDescent="0.35">
      <c r="A38" s="22">
        <v>46194</v>
      </c>
      <c r="B38" s="28" t="s">
        <v>52</v>
      </c>
      <c r="C38" s="53" t="str" cm="1">
        <f t="array" ref="C38">_xlfn.LET(
_xlpm.x,_xlfn.XLOOKUP(1,(Scores_Fixtures[Date]=A38)*(Scores_Fixtures[Home.1]=B38),Scores_Fixtures[Score.1],""),
IF(_xlpm.x="","",_xlpm.x)
)</f>
        <v/>
      </c>
      <c r="D38" s="53" t="str" cm="1">
        <f t="array" ref="D38">_xlfn.LET(
_xlpm.x,_xlfn.XLOOKUP(1,(Scores_Fixtures[Date]=A38)*(Scores_Fixtures[Home.1]=B38),Scores_Fixtures[Score.2],""),
IF(_xlpm.x="","",_xlpm.x)
)</f>
        <v/>
      </c>
      <c r="E38" s="12" t="s">
        <v>63</v>
      </c>
      <c r="F38" s="15"/>
      <c r="G38" s="53"/>
      <c r="H38" s="53"/>
      <c r="I38" s="33" t="str" cm="1">
        <f t="array" ref="I38">_xlfn.IFS($D38="","",AND(G38=$C38,H38=$D38),3,($C38-$D38)/MAX(ABS($C38-$D38),1)=(G38-H38)/MAX(ABS(G38-H38),1),1,TRUE,0)</f>
        <v/>
      </c>
      <c r="J38" s="18"/>
      <c r="K38" s="19"/>
      <c r="L38" s="33" t="str" cm="1">
        <f t="array" ref="L38">_xlfn.IFS($D38="","",AND(J38=$C38,K38=$D38),3,($C38-$D38)/MAX(ABS($C38-$D38),1)=(J38-K38)/MAX(ABS(J38-K38),1),1,TRUE,0)</f>
        <v/>
      </c>
      <c r="M38" s="18"/>
      <c r="N38" s="19"/>
      <c r="O38" s="33" t="str" cm="1">
        <f t="array" ref="O38">_xlfn.IFS($D38="","",AND(M38=$C38,N38=$D38),3,($C38-$D38)/MAX(ABS($C38-$D38),1)=(M38-N38)/MAX(ABS(M38-N38),1),1,TRUE,0)</f>
        <v/>
      </c>
      <c r="P38" s="18"/>
      <c r="Q38" s="19"/>
      <c r="R38" s="33" t="str" cm="1">
        <f t="array" ref="R38">_xlfn.IFS($D38="","",AND(P38=$C38,Q38=$D38),3,($C38-$D38)/MAX(ABS($C38-$D38),1)=(P38-Q38)/MAX(ABS(P38-Q38),1),1,TRUE,0)</f>
        <v/>
      </c>
      <c r="S38" s="18"/>
      <c r="T38" s="19"/>
      <c r="U38" s="33" t="str" cm="1">
        <f t="array" ref="U38">_xlfn.IFS($D38="","",AND(S38=$C38,T38=$D38),3,($C38-$D38)/MAX(ABS($C38-$D38),1)=(S38-T38)/MAX(ABS(S38-T38),1),1,TRUE,0)</f>
        <v/>
      </c>
      <c r="V38" s="18"/>
      <c r="W38" s="19"/>
      <c r="X38" s="33" t="str" cm="1">
        <f t="array" ref="X38">_xlfn.IFS($D38="","",AND(V38=$C38,W38=$D38),3,($C38-$D38)/MAX(ABS($C38-$D38),1)=(V38-W38)/MAX(ABS(V38-W38),1),1,TRUE,0)</f>
        <v/>
      </c>
      <c r="Y38" s="18"/>
      <c r="Z38" s="19"/>
      <c r="AA38" s="33" t="str" cm="1">
        <f t="array" ref="AA38">_xlfn.IFS($D38="","",AND(Y38=$C38,Z38=$D38),3,($C38-$D38)/MAX(ABS($C38-$D38),1)=(Y38-Z38)/MAX(ABS(Y38-Z38),1),1,TRUE,0)</f>
        <v/>
      </c>
      <c r="AB38" s="18"/>
      <c r="AC38" s="19"/>
      <c r="AD38" s="33" t="str" cm="1">
        <f t="array" ref="AD38">_xlfn.IFS($D38="","",AND(AB38=$C38,AC38=$D38),3,($C38-$D38)/MAX(ABS($C38-$D38),1)=(AB38-AC38)/MAX(ABS(AB38-AC38),1),1,TRUE,0)</f>
        <v/>
      </c>
      <c r="AE38" s="18"/>
      <c r="AF38" s="19"/>
      <c r="AG38" s="33" t="str" cm="1">
        <f t="array" ref="AG38">_xlfn.IFS($D38="","",AND(AE38=$C38,AF38=$D38),3,($C38-$D38)/MAX(ABS($C38-$D38),1)=(AE38-AF38)/MAX(ABS(AE38-AF38),1),1,TRUE,0)</f>
        <v/>
      </c>
      <c r="AH38" s="18"/>
      <c r="AI38" s="19"/>
      <c r="AJ38" s="33" t="str" cm="1">
        <f t="array" ref="AJ38">_xlfn.IFS($D38="","",AND(AH38=$C38,AI38=$D38),3,($C38-$D38)/MAX(ABS($C38-$D38),1)=(AH38-AI38)/MAX(ABS(AH38-AI38),1),1,TRUE,0)</f>
        <v/>
      </c>
      <c r="AK38" s="18"/>
      <c r="AL38" s="19"/>
      <c r="AM38" s="33" t="str" cm="1">
        <f t="array" ref="AM38">_xlfn.IFS($D38="","",AND(AK38=$C38,AL38=$D38),3,($C38-$D38)/MAX(ABS($C38-$D38),1)=(AK38-AL38)/MAX(ABS(AK38-AL38),1),1,TRUE,0)</f>
        <v/>
      </c>
      <c r="AN38" s="18"/>
      <c r="AO38" s="19"/>
      <c r="AP38" s="33" t="str" cm="1">
        <f t="array" ref="AP38">_xlfn.IFS($D38="","",AND(AN38=$C38,AO38=$D38),3,($C38-$D38)/MAX(ABS($C38-$D38),1)=(AN38-AO38)/MAX(ABS(AN38-AO38),1),1,TRUE,0)</f>
        <v/>
      </c>
      <c r="AQ38" s="18"/>
      <c r="AR38" s="19"/>
      <c r="AS38" s="33" t="str" cm="1">
        <f t="array" ref="AS38">_xlfn.IFS($D38="","",AND(AQ38=$C38,AR38=$D38),3,($C38-$D38)/MAX(ABS($C38-$D38),1)=(AQ38-AR38)/MAX(ABS(AQ38-AR38),1),1,TRUE,0)</f>
        <v/>
      </c>
      <c r="AT38" s="18"/>
      <c r="AU38" s="19"/>
      <c r="AV38" s="33" t="str" cm="1">
        <f t="array" ref="AV38">_xlfn.IFS($D38="","",AND(AT38=$C38,AU38=$D38),3,($C38-$D38)/MAX(ABS($C38-$D38),1)=(AT38-AU38)/MAX(ABS(AT38-AU38),1),1,TRUE,0)</f>
        <v/>
      </c>
      <c r="AW38" s="18"/>
      <c r="AX38" s="19"/>
      <c r="AY38" s="33" t="str" cm="1">
        <f t="array" ref="AY38">_xlfn.IFS($D38="","",AND(AW38=$C38,AX38=$D38),3,($C38-$D38)/MAX(ABS($C38-$D38),1)=(AW38-AX38)/MAX(ABS(AW38-AX38),1),1,TRUE,0)</f>
        <v/>
      </c>
      <c r="AZ38" s="18"/>
      <c r="BA38" s="19"/>
      <c r="BB38" s="33" t="str" cm="1">
        <f t="array" ref="BB38">_xlfn.IFS($D38="","",AND(AZ38=$C38,BA38=$D38),3,($C38-$D38)/MAX(ABS($C38-$D38),1)=(AZ38-BA38)/MAX(ABS(AZ38-BA38),1),1,TRUE,0)</f>
        <v/>
      </c>
      <c r="BC38" s="18"/>
      <c r="BD38" s="19"/>
      <c r="BE38" s="33" t="str" cm="1">
        <f t="array" ref="BE38">_xlfn.IFS($D38="","",AND(BC38=$C38,BD38=$D38),3,($C38-$D38)/MAX(ABS($C38-$D38),1)=(BC38-BD38)/MAX(ABS(BC38-BD38),1),1,TRUE,0)</f>
        <v/>
      </c>
      <c r="BF38" s="18"/>
      <c r="BG38" s="19"/>
      <c r="BH38" s="33" t="str" cm="1">
        <f t="array" ref="BH38">_xlfn.IFS($D38="","",AND(BF38=$C38,BG38=$D38),3,($C38-$D38)/MAX(ABS($C38-$D38),1)=(BF38-BG38)/MAX(ABS(BF38-BG38),1),1,TRUE,0)</f>
        <v/>
      </c>
      <c r="BI38" s="18"/>
      <c r="BJ38" s="19"/>
      <c r="BK38" s="33" t="str" cm="1">
        <f t="array" ref="BK38">_xlfn.IFS($D38="","",AND(BI38=$C38,BJ38=$D38),3,($C38-$D38)/MAX(ABS($C38-$D38),1)=(BI38-BJ38)/MAX(ABS(BI38-BJ38),1),1,TRUE,0)</f>
        <v/>
      </c>
      <c r="BL38" s="18"/>
      <c r="BM38" s="19"/>
      <c r="BN38" s="33" t="str" cm="1">
        <f t="array" ref="BN38">_xlfn.IFS($D38="","",AND(BL38=$C38,BM38=$D38),3,($C38-$D38)/MAX(ABS($C38-$D38),1)=(BL38-BM38)/MAX(ABS(BL38-BM38),1),1,TRUE,0)</f>
        <v/>
      </c>
      <c r="BO38" s="18"/>
      <c r="BP38" s="19"/>
      <c r="BQ38" s="33" t="str" cm="1">
        <f t="array" ref="BQ38">_xlfn.IFS($D38="","",AND(BO38=$C38,BP38=$D38),3,($C38-$D38)/MAX(ABS($C38-$D38),1)=(BO38-BP38)/MAX(ABS(BO38-BP38),1),1,TRUE,0)</f>
        <v/>
      </c>
      <c r="BR38" s="18"/>
      <c r="BS38" s="19"/>
      <c r="BT38" s="33" t="str" cm="1">
        <f t="array" ref="BT38">_xlfn.IFS($D38="","",AND(BR38=$C38,BS38=$D38),3,($C38-$D38)/MAX(ABS($C38-$D38),1)=(BR38-BS38)/MAX(ABS(BR38-BS38),1),1,TRUE,0)</f>
        <v/>
      </c>
      <c r="BU38" s="18"/>
      <c r="BV38" s="19"/>
      <c r="BW38" s="33" t="str" cm="1">
        <f t="array" ref="BW38">_xlfn.IFS($D38="","",AND(BU38=$C38,BV38=$D38),3,($C38-$D38)/MAX(ABS($C38-$D38),1)=(BU38-BV38)/MAX(ABS(BU38-BV38),1),1,TRUE,0)</f>
        <v/>
      </c>
      <c r="BX38" s="18"/>
      <c r="BY38" s="19"/>
      <c r="BZ38" s="33" t="str" cm="1">
        <f t="array" ref="BZ38">_xlfn.IFS($D38="","",AND(BX38=$C38,BY38=$D38),3,($C38-$D38)/MAX(ABS($C38-$D38),1)=(BX38-BY38)/MAX(ABS(BX38-BY38),1),1,TRUE,0)</f>
        <v/>
      </c>
      <c r="CA38" s="18"/>
      <c r="CB38" s="19"/>
      <c r="CC38" s="33" t="str" cm="1">
        <f t="array" ref="CC38">_xlfn.IFS($D38="","",AND(CA38=$C38,CB38=$D38),3,($C38-$D38)/MAX(ABS($C38-$D38),1)=(CA38-CB38)/MAX(ABS(CA38-CB38),1),1,TRUE,0)</f>
        <v/>
      </c>
      <c r="CD38" s="18"/>
      <c r="CE38" s="19"/>
      <c r="CF38" s="33" t="str" cm="1">
        <f t="array" ref="CF38">_xlfn.IFS($D38="","",AND(CD38=$C38,CE38=$D38),3,($C38-$D38)/MAX(ABS($C38-$D38),1)=(CD38-CE38)/MAX(ABS(CD38-CE38),1),1,TRUE,0)</f>
        <v/>
      </c>
      <c r="CG38" s="18"/>
      <c r="CH38" s="19"/>
      <c r="CI38" s="33" t="str" cm="1">
        <f t="array" ref="CI38">_xlfn.IFS($D38="","",AND(CG38=$C38,CH38=$D38),3,($C38-$D38)/MAX(ABS($C38-$D38),1)=(CG38-CH38)/MAX(ABS(CG38-CH38),1),1,TRUE,0)</f>
        <v/>
      </c>
      <c r="CJ38" s="18"/>
      <c r="CK38" s="19"/>
      <c r="CL38" s="33" t="str" cm="1">
        <f t="array" ref="CL38">_xlfn.IFS($D38="","",AND(CJ38=$C38,CK38=$D38),3,($C38-$D38)/MAX(ABS($C38-$D38),1)=(CJ38-CK38)/MAX(ABS(CJ38-CK38),1),1,TRUE,0)</f>
        <v/>
      </c>
      <c r="CM38" s="18"/>
      <c r="CN38" s="19"/>
      <c r="CO38" s="33" t="str" cm="1">
        <f t="array" ref="CO38">_xlfn.IFS($D38="","",AND(CM38=$C38,CN38=$D38),3,($C38-$D38)/MAX(ABS($C38-$D38),1)=(CM38-CN38)/MAX(ABS(CM38-CN38),1),1,TRUE,0)</f>
        <v/>
      </c>
      <c r="CP38" s="18"/>
      <c r="CQ38" s="19"/>
      <c r="CR38" s="33" t="str" cm="1">
        <f t="array" ref="CR38">_xlfn.IFS($D38="","",AND(CP38=$C38,CQ38=$D38),3,($C38-$D38)/MAX(ABS($C38-$D38),1)=(CP38-CQ38)/MAX(ABS(CP38-CQ38),1),1,TRUE,0)</f>
        <v/>
      </c>
      <c r="CS38" s="18"/>
      <c r="CT38" s="19"/>
      <c r="CU38" s="33" t="str" cm="1">
        <f t="array" ref="CU38">_xlfn.IFS($D38="","",AND(CS38=$C38,CT38=$D38),3,($C38-$D38)/MAX(ABS($C38-$D38),1)=(CS38-CT38)/MAX(ABS(CS38-CT38),1),1,TRUE,0)</f>
        <v/>
      </c>
      <c r="CV38" s="18"/>
      <c r="CW38" s="19"/>
      <c r="CX38" s="33" t="str" cm="1">
        <f t="array" ref="CX38">_xlfn.IFS($D38="","",AND(CV38=$C38,CW38=$D38),3,($C38-$D38)/MAX(ABS($C38-$D38),1)=(CV38-CW38)/MAX(ABS(CV38-CW38),1),1,TRUE,0)</f>
        <v/>
      </c>
      <c r="CY38" s="18"/>
      <c r="CZ38" s="19"/>
      <c r="DA38" s="33" t="str" cm="1">
        <f t="array" ref="DA38">_xlfn.IFS($D38="","",AND(CY38=$C38,CZ38=$D38),3,($C38-$D38)/MAX(ABS($C38-$D38),1)=(CY38-CZ38)/MAX(ABS(CY38-CZ38),1),1,TRUE,0)</f>
        <v/>
      </c>
      <c r="DB38" s="37"/>
      <c r="DC38" s="38"/>
      <c r="DD38" s="33" t="str" cm="1">
        <f t="array" ref="DD38">_xlfn.IFS($D38="","",AND(DB38=$C38,DC38=$D38),3,($C38-$D38)/MAX(ABS($C38-$D38),1)=(DB38-DC38)/MAX(ABS(DB38-DC38),1),1,TRUE,0)</f>
        <v/>
      </c>
      <c r="DE38" s="18"/>
      <c r="DF38" s="19"/>
      <c r="DG38" s="33" t="str" cm="1">
        <f t="array" ref="DG38">_xlfn.IFS($D38="","",AND(DE38=$C38,DF38=$D38),3,($C38-$D38)/MAX(ABS($C38-$D38),1)=(DE38-DF38)/MAX(ABS(DE38-DF38),1),1,TRUE,0)</f>
        <v/>
      </c>
      <c r="DH38" s="18"/>
      <c r="DI38" s="19"/>
      <c r="DJ38" s="33" t="str" cm="1">
        <f t="array" ref="DJ38">_xlfn.IFS($D38="","",AND(DH38=$C38,DI38=$D38),3,($C38-$D38)/MAX(ABS($C38-$D38),1)=(DH38-DI38)/MAX(ABS(DH38-DI38),1),1,TRUE,0)</f>
        <v/>
      </c>
      <c r="DK38" s="18"/>
      <c r="DL38" s="19"/>
      <c r="DM38" s="33" t="str" cm="1">
        <f t="array" ref="DM38">_xlfn.IFS($D38="","",AND(DK38=$C38,DL38=$D38),3,($C38-$D38)/MAX(ABS($C38-$D38),1)=(DK38-DL38)/MAX(ABS(DK38-DL38),1),1,TRUE,0)</f>
        <v/>
      </c>
      <c r="DN38" s="18"/>
      <c r="DO38" s="19"/>
      <c r="DP38" s="33" t="str" cm="1">
        <f t="array" ref="DP38">_xlfn.IFS($D38="","",AND(DN38=$C38,DO38=$D38),3,($C38-$D38)/MAX(ABS($C38-$D38),1)=(DN38-DO38)/MAX(ABS(DN38-DO38),1),1,TRUE,0)</f>
        <v/>
      </c>
      <c r="DQ38" s="18"/>
      <c r="DR38" s="19"/>
      <c r="DS38" s="33" t="str" cm="1">
        <f t="array" ref="DS38">_xlfn.IFS($D38="","",AND(DQ38=$C38,DR38=$D38),3,($C38-$D38)/MAX(ABS($C38-$D38),1)=(DQ38-DR38)/MAX(ABS(DQ38-DR38),1),1,TRUE,0)</f>
        <v/>
      </c>
      <c r="DT38" s="18"/>
      <c r="DU38" s="19"/>
      <c r="DV38" s="33" t="str" cm="1">
        <f t="array" ref="DV38">_xlfn.IFS($D38="","",AND(DT38=$C38,DU38=$D38),3,($C38-$D38)/MAX(ABS($C38-$D38),1)=(DT38-DU38)/MAX(ABS(DT38-DU38),1),1,TRUE,0)</f>
        <v/>
      </c>
      <c r="DW38" s="18"/>
      <c r="DX38" s="19"/>
      <c r="DY38" s="33" t="str" cm="1">
        <f t="array" ref="DY38">_xlfn.IFS($D38="","",AND(DW38=$C38,DX38=$D38),3,($C38-$D38)/MAX(ABS($C38-$D38),1)=(DW38-DX38)/MAX(ABS(DW38-DX38),1),1,TRUE,0)</f>
        <v/>
      </c>
      <c r="DZ38" s="18"/>
      <c r="EA38" s="19"/>
      <c r="EB38" s="33" t="str" cm="1">
        <f t="array" ref="EB38">_xlfn.IFS($D38="","",AND(DZ38=$C38,EA38=$D38),3,($C38-$D38)/MAX(ABS($C38-$D38),1)=(DZ38-EA38)/MAX(ABS(DZ38-EA38),1),1,TRUE,0)</f>
        <v/>
      </c>
      <c r="EC38" s="18"/>
      <c r="ED38" s="19"/>
      <c r="EE38" s="33" t="str" cm="1">
        <f t="array" ref="EE38">_xlfn.IFS($D38="","",AND(EC38=$C38,ED38=$D38),3,($C38-$D38)/MAX(ABS($C38-$D38),1)=(EC38-ED38)/MAX(ABS(EC38-ED38),1),1,TRUE,0)</f>
        <v/>
      </c>
      <c r="EF38" s="18"/>
      <c r="EG38" s="19"/>
      <c r="EH38" s="33" t="str" cm="1">
        <f t="array" ref="EH38">_xlfn.IFS($D38="","",AND(EF38=$C38,EG38=$D38),3,($C38-$D38)/MAX(ABS($C38-$D38),1)=(EF38-EG38)/MAX(ABS(EF38-EG38),1),1,TRUE,0)</f>
        <v/>
      </c>
      <c r="EI38" s="50"/>
      <c r="EJ38" s="51"/>
      <c r="EK38" s="33" t="str" cm="1">
        <f t="array" ref="EK38">_xlfn.IFS($D38="","",AND(EI38=$C38,EJ38=$D38),3,($C38-$D38)/MAX(ABS($C38-$D38),1)=(EI38-EJ38)/MAX(ABS(EI38-EJ38),1),1,TRUE,0)</f>
        <v/>
      </c>
      <c r="EL38" s="18"/>
      <c r="EM38" s="19"/>
      <c r="EN38" s="33" t="str" cm="1">
        <f t="array" ref="EN38">_xlfn.IFS($D38="","",AND(EL38=$C38,EM38=$D38),3,($C38-$D38)/MAX(ABS($C38-$D38),1)=(EL38-EM38)/MAX(ABS(EL38-EM38),1),1,TRUE,0)</f>
        <v/>
      </c>
      <c r="EO38" s="18"/>
      <c r="EP38" s="19"/>
      <c r="EQ38" s="33" t="str" cm="1">
        <f t="array" ref="EQ38">_xlfn.IFS($D38="","",AND(EO38=$C38,EP38=$D38),3,($C38-$D38)/MAX(ABS($C38-$D38),1)=(EO38-EP38)/MAX(ABS(EO38-EP38),1),1,TRUE,0)</f>
        <v/>
      </c>
      <c r="ER38" s="18"/>
      <c r="ES38" s="19"/>
      <c r="ET38" s="33" t="str" cm="1">
        <f t="array" ref="ET38">_xlfn.IFS($D38="","",AND(ER38=$C38,ES38=$D38),3,($C38-$D38)/MAX(ABS($C38-$D38),1)=(ER38-ES38)/MAX(ABS(ER38-ES38),1),1,TRUE,0)</f>
        <v/>
      </c>
      <c r="EU38" s="18"/>
      <c r="EV38" s="19"/>
      <c r="EW38" s="33" t="str" cm="1">
        <f t="array" ref="EW38">_xlfn.IFS($D38="","",AND(EU38=$C38,EV38=$D38),3,($C38-$D38)/MAX(ABS($C38-$D38),1)=(EU38-EV38)/MAX(ABS(EU38-EV38),1),1,TRUE,0)</f>
        <v/>
      </c>
      <c r="EX38" s="18"/>
      <c r="EY38" s="19"/>
      <c r="EZ38" s="33" t="str" cm="1">
        <f t="array" ref="EZ38">_xlfn.IFS($D38="","",AND(EX38=$C38,EY38=$D38),3,($C38-$D38)/MAX(ABS($C38-$D38),1)=(EX38-EY38)/MAX(ABS(EX38-EY38),1),1,TRUE,0)</f>
        <v/>
      </c>
      <c r="FA38" s="18"/>
      <c r="FB38" s="19"/>
      <c r="FC38" s="33" t="str" cm="1">
        <f t="array" ref="FC38">_xlfn.IFS($D38="","",AND(FA38=$C38,FB38=$D38),3,($C38-$D38)/MAX(ABS($C38-$D38),1)=(FA38-FB38)/MAX(ABS(FA38-FB38),1),1,TRUE,0)</f>
        <v/>
      </c>
      <c r="FD38" s="18"/>
      <c r="FE38" s="19"/>
      <c r="FF38" s="33" t="str" cm="1">
        <f t="array" ref="FF38">_xlfn.IFS($D38="","",AND(FD38=$C38,FE38=$D38),3,($C38-$D38)/MAX(ABS($C38-$D38),1)=(FD38-FE38)/MAX(ABS(FD38-FE38),1),1,TRUE,0)</f>
        <v/>
      </c>
      <c r="FG38" s="18"/>
      <c r="FH38" s="19"/>
      <c r="FI38" s="33" t="str" cm="1">
        <f t="array" ref="FI38">_xlfn.IFS($D38="","",AND(FG38=$C38,FH38=$D38),3,($C38-$D38)/MAX(ABS($C38-$D38),1)=(FG38-FH38)/MAX(ABS(FG38-FH38),1),1,TRUE,0)</f>
        <v/>
      </c>
      <c r="FJ38" s="18"/>
      <c r="FK38" s="19"/>
      <c r="FL38" s="33" t="str" cm="1">
        <f t="array" ref="FL38">_xlfn.IFS($D38="","",AND(FJ38=$C38,FK38=$D38),3,($C38-$D38)/MAX(ABS($C38-$D38),1)=(FJ38-FK38)/MAX(ABS(FJ38-FK38),1),1,TRUE,0)</f>
        <v/>
      </c>
      <c r="FM38" s="18"/>
      <c r="FN38" s="19"/>
      <c r="FO38" s="33" t="str" cm="1">
        <f t="array" ref="FO38">_xlfn.IFS($D38="","",AND(FM38=$C38,FN38=$D38),3,($C38-$D38)/MAX(ABS($C38-$D38),1)=(FM38-FN38)/MAX(ABS(FM38-FN38),1),1,TRUE,0)</f>
        <v/>
      </c>
      <c r="FP38" s="18"/>
      <c r="FQ38" s="19"/>
      <c r="FR38" s="33" t="str" cm="1">
        <f t="array" ref="FR38">_xlfn.IFS($D38="","",AND(FP38=$C38,FQ38=$D38),3,($C38-$D38)/MAX(ABS($C38-$D38),1)=(FP38-FQ38)/MAX(ABS(FP38-FQ38),1),1,TRUE,0)</f>
        <v/>
      </c>
      <c r="FS38" s="18"/>
      <c r="FT38" s="19"/>
      <c r="FU38" s="33" t="str" cm="1">
        <f t="array" ref="FU38">_xlfn.IFS($D38="","",AND(FS38=$C38,FT38=$D38),3,($C38-$D38)/MAX(ABS($C38-$D38),1)=(FS38-FT38)/MAX(ABS(FS38-FT38),1),1,TRUE,0)</f>
        <v/>
      </c>
      <c r="FV38" s="18"/>
      <c r="FW38" s="19"/>
      <c r="FX38" s="33" t="str" cm="1">
        <f t="array" ref="FX38">_xlfn.IFS($D38="","",AND(FV38=$C38,FW38=$D38),3,($C38-$D38)/MAX(ABS($C38-$D38),1)=(FV38-FW38)/MAX(ABS(FV38-FW38),1),1,TRUE,0)</f>
        <v/>
      </c>
      <c r="FY38" s="18"/>
      <c r="FZ38" s="19"/>
      <c r="GA38" s="33" t="str" cm="1">
        <f t="array" ref="GA38">_xlfn.IFS($D38="","",AND(FY38=$C38,FZ38=$D38),3,($C38-$D38)/MAX(ABS($C38-$D38),1)=(FY38-FZ38)/MAX(ABS(FY38-FZ38),1),1,TRUE,0)</f>
        <v/>
      </c>
      <c r="GB38" s="18"/>
      <c r="GC38" s="19"/>
      <c r="GD38" s="33" t="str" cm="1">
        <f t="array" ref="GD38">_xlfn.IFS($D38="","",AND(GB38=$C38,GC38=$D38),3,($C38-$D38)/MAX(ABS($C38-$D38),1)=(GB38-GC38)/MAX(ABS(GB38-GC38),1),1,TRUE,0)</f>
        <v/>
      </c>
      <c r="GE38" s="52"/>
      <c r="GF38" s="19"/>
      <c r="GG38" s="33" t="str" cm="1">
        <f t="array" ref="GG38">_xlfn.IFS($D38="","",AND(GE38=$C38,GF38=$D38),3,($C38-$D38)/MAX(ABS($C38-$D38),1)=(GE38-GF38)/MAX(ABS(GE38-GF38),1),1,TRUE,0)</f>
        <v/>
      </c>
      <c r="GH38" s="18"/>
      <c r="GI38" s="19"/>
      <c r="GJ38" s="33" t="str" cm="1">
        <f t="array" ref="GJ38">_xlfn.IFS($D38="","",AND(GH38=$C38,GI38=$D38),3,($C38-$D38)/MAX(ABS($C38-$D38),1)=(GH38-GI38)/MAX(ABS(GH38-GI38),1),1,TRUE,0)</f>
        <v/>
      </c>
      <c r="GK38" s="18"/>
      <c r="GL38" s="19"/>
      <c r="GM38" s="33" t="str" cm="1">
        <f t="array" ref="GM38">_xlfn.IFS($D38="","",AND(GK38=$C38,GL38=$D38),3,($C38-$D38)/MAX(ABS($C38-$D38),1)=(GK38-GL38)/MAX(ABS(GK38-GL38),1),1,TRUE,0)</f>
        <v/>
      </c>
      <c r="GN38" s="18"/>
      <c r="GO38" s="19"/>
      <c r="GP38" s="33" t="str" cm="1">
        <f t="array" ref="GP38">_xlfn.IFS($D38="","",AND(GN38=$C38,GO38=$D38),3,($C38-$D38)/MAX(ABS($C38-$D38),1)=(GN38-GO38)/MAX(ABS(GN38-GO38),1),1,TRUE,0)</f>
        <v/>
      </c>
      <c r="GQ38" s="18"/>
      <c r="GR38" s="19"/>
      <c r="GS38" s="33" t="str" cm="1">
        <f t="array" ref="GS38">_xlfn.IFS($D38="","",AND(GQ38=$C38,GR38=$D38),3,($C38-$D38)/MAX(ABS($C38-$D38),1)=(GQ38-GR38)/MAX(ABS(GQ38-GR38),1),1,TRUE,0)</f>
        <v/>
      </c>
      <c r="GT38" s="18"/>
      <c r="GU38" s="19"/>
      <c r="GV38" s="33" t="str" cm="1">
        <f t="array" ref="GV38">_xlfn.IFS($D38="","",AND(GT38=$C38,GU38=$D38),3,($C38-$D38)/MAX(ABS($C38-$D38),1)=(GT38-GU38)/MAX(ABS(GT38-GU38),1),1,TRUE,0)</f>
        <v/>
      </c>
      <c r="GW38" s="18"/>
      <c r="GX38" s="19"/>
      <c r="GY38" s="33" t="str" cm="1">
        <f t="array" ref="GY38">_xlfn.IFS($D38="","",AND(GW38=$C38,GX38=$D38),3,($C38-$D38)/MAX(ABS($C38-$D38),1)=(GW38-GX38)/MAX(ABS(GW38-GX38),1),1,TRUE,0)</f>
        <v/>
      </c>
      <c r="GZ38" s="18"/>
      <c r="HA38" s="19"/>
      <c r="HB38" s="33" t="str" cm="1">
        <f t="array" ref="HB38">_xlfn.IFS($D38="","",AND(GZ38=$C38,HA38=$D38),3,($C38-$D38)/MAX(ABS($C38-$D38),1)=(GZ38-HA38)/MAX(ABS(GZ38-HA38),1),1,TRUE,0)</f>
        <v/>
      </c>
      <c r="HC38" s="18"/>
      <c r="HD38" s="19"/>
      <c r="HE38" s="33" t="str" cm="1">
        <f t="array" ref="HE38">_xlfn.IFS($D38="","",AND(HC38=$C38,HD38=$D38),3,($C38-$D38)/MAX(ABS($C38-$D38),1)=(HC38-HD38)/MAX(ABS(HC38-HD38),1),1,TRUE,0)</f>
        <v/>
      </c>
      <c r="HF38" s="18"/>
      <c r="HG38" s="19"/>
      <c r="HH38" s="33" t="str" cm="1">
        <f t="array" ref="HH38">_xlfn.IFS($D38="","",AND(HF38=$C38,HG38=$D38),3,($C38-$D38)/MAX(ABS($C38-$D38),1)=(HF38-HG38)/MAX(ABS(HF38-HG38),1),1,TRUE,0)</f>
        <v/>
      </c>
      <c r="HI38" s="18"/>
      <c r="HJ38" s="19"/>
      <c r="HK38" s="33" t="str" cm="1">
        <f t="array" ref="HK38">_xlfn.IFS($D38="","",AND(HI38=$C38,HJ38=$D38),3,($C38-$D38)/MAX(ABS($C38-$D38),1)=(HI38-HJ38)/MAX(ABS(HI38-HJ38),1),1,TRUE,0)</f>
        <v/>
      </c>
      <c r="HL38" s="18"/>
      <c r="HM38" s="19"/>
      <c r="HN38" s="33" t="str" cm="1">
        <f t="array" ref="HN38">_xlfn.IFS($D38="","",AND(HL38=$C38,HM38=$D38),3,($C38-$D38)/MAX(ABS($C38-$D38),1)=(HL38-HM38)/MAX(ABS(HL38-HM38),1),1,TRUE,0)</f>
        <v/>
      </c>
      <c r="HO38" s="18"/>
      <c r="HP38" s="19"/>
      <c r="HQ38" s="33" t="str" cm="1">
        <f t="array" ref="HQ38">_xlfn.IFS($D38="","",AND(HO38=$C38,HP38=$D38),3,($C38-$D38)/MAX(ABS($C38-$D38),1)=(HO38-HP38)/MAX(ABS(HO38-HP38),1),1,TRUE,0)</f>
        <v/>
      </c>
      <c r="HR38" s="18"/>
      <c r="HS38" s="19"/>
      <c r="HT38" s="33" t="str" cm="1">
        <f t="array" ref="HT38">_xlfn.IFS($D38="","",AND(HR38=$C38,HS38=$D38),3,($C38-$D38)/MAX(ABS($C38-$D38),1)=(HR38-HS38)/MAX(ABS(HR38-HS38),1),1,TRUE,0)</f>
        <v/>
      </c>
      <c r="HU38" s="18"/>
      <c r="HV38" s="19"/>
      <c r="HW38" s="33" t="str" cm="1">
        <f t="array" ref="HW38">_xlfn.IFS($D38="","",AND(HU38=$C38,HV38=$D38),3,($C38-$D38)/MAX(ABS($C38-$D38),1)=(HU38-HV38)/MAX(ABS(HU38-HV38),1),1,TRUE,0)</f>
        <v/>
      </c>
      <c r="HX38" s="18"/>
      <c r="HY38" s="19"/>
      <c r="HZ38" s="33" t="str" cm="1">
        <f t="array" ref="HZ38">_xlfn.IFS($D38="","",AND(HX38=$C38,HY38=$D38),3,($C38-$D38)/MAX(ABS($C38-$D38),1)=(HX38-HY38)/MAX(ABS(HX38-HY38),1),1,TRUE,0)</f>
        <v/>
      </c>
      <c r="IA38" s="18"/>
      <c r="IB38" s="19"/>
      <c r="IC38" s="33" t="str" cm="1">
        <f t="array" ref="IC38">_xlfn.IFS($D38="","",AND(IA38=$C38,IB38=$D38),3,($C38-$D38)/MAX(ABS($C38-$D38),1)=(IA38-IB38)/MAX(ABS(IA38-IB38),1),1,TRUE,0)</f>
        <v/>
      </c>
      <c r="ID38" s="18"/>
      <c r="IE38" s="19"/>
      <c r="IF38" s="33" t="str" cm="1">
        <f t="array" ref="IF38">_xlfn.IFS($D38="","",AND(ID38=$C38,IE38=$D38),3,($C38-$D38)/MAX(ABS($C38-$D38),1)=(ID38-IE38)/MAX(ABS(ID38-IE38),1),1,TRUE,0)</f>
        <v/>
      </c>
      <c r="IG38" s="18"/>
      <c r="IH38" s="19"/>
      <c r="II38" s="33" t="str" cm="1">
        <f t="array" ref="II38">_xlfn.IFS($D38="","",AND(IG38=$C38,IH38=$D38),3,($C38-$D38)/MAX(ABS($C38-$D38),1)=(IG38-IH38)/MAX(ABS(IG38-IH38),1),1,TRUE,0)</f>
        <v/>
      </c>
      <c r="IJ38" s="18"/>
      <c r="IK38" s="19"/>
      <c r="IL38" s="33" t="str" cm="1">
        <f t="array" ref="IL38">_xlfn.IFS($D38="","",AND(IJ38=$C38,IK38=$D38),3,($C38-$D38)/MAX(ABS($C38-$D38),1)=(IJ38-IK38)/MAX(ABS(IJ38-IK38),1),1,TRUE,0)</f>
        <v/>
      </c>
      <c r="IM38" s="18"/>
      <c r="IN38" s="19"/>
      <c r="IO38" s="33" t="str" cm="1">
        <f t="array" ref="IO38">_xlfn.IFS($D38="","",AND(IM38=$C38,IN38=$D38),3,($C38-$D38)/MAX(ABS($C38-$D38),1)=(IM38-IN38)/MAX(ABS(IM38-IN38),1),1,TRUE,0)</f>
        <v/>
      </c>
      <c r="IP38" s="18"/>
      <c r="IQ38" s="19"/>
      <c r="IR38" s="33" t="str" cm="1">
        <f t="array" ref="IR38">_xlfn.IFS($D38="","",AND(IP38=$C38,IQ38=$D38),3,($C38-$D38)/MAX(ABS($C38-$D38),1)=(IP38-IQ38)/MAX(ABS(IP38-IQ38),1),1,TRUE,0)</f>
        <v/>
      </c>
      <c r="IS38" s="18"/>
      <c r="IT38" s="19"/>
      <c r="IU38" s="33" t="str" cm="1">
        <f t="array" ref="IU38">_xlfn.IFS($D38="","",AND(IS38=$C38,IT38=$D38),3,($C38-$D38)/MAX(ABS($C38-$D38),1)=(IS38-IT38)/MAX(ABS(IS38-IT38),1),1,TRUE,0)</f>
        <v/>
      </c>
      <c r="IV38" s="18"/>
      <c r="IW38" s="19"/>
      <c r="IX38" s="33" t="str" cm="1">
        <f t="array" ref="IX38">_xlfn.IFS($D38="","",AND(IV38=$C38,IW38=$D38),3,($C38-$D38)/MAX(ABS($C38-$D38),1)=(IV38-IW38)/MAX(ABS(IV38-IW38),1),1,TRUE,0)</f>
        <v/>
      </c>
      <c r="IY38" s="18"/>
      <c r="IZ38" s="19"/>
      <c r="JA38" s="33" t="str" cm="1">
        <f t="array" ref="JA38">_xlfn.IFS($D38="","",AND(IY38=$C38,IZ38=$D38),3,($C38-$D38)/MAX(ABS($C38-$D38),1)=(IY38-IZ38)/MAX(ABS(IY38-IZ38),1),1,TRUE,0)</f>
        <v/>
      </c>
      <c r="JB38" s="18"/>
      <c r="JC38" s="19"/>
      <c r="JD38" s="33" t="str" cm="1">
        <f t="array" ref="JD38">_xlfn.IFS($D38="","",AND(JB38=$C38,JC38=$D38),3,($C38-$D38)/MAX(ABS($C38-$D38),1)=(JB38-JC38)/MAX(ABS(JB38-JC38),1),1,TRUE,0)</f>
        <v/>
      </c>
    </row>
    <row r="39" spans="1:264" ht="15" thickBot="1" x14ac:dyDescent="0.35">
      <c r="A39" s="22">
        <v>46194</v>
      </c>
      <c r="B39" s="28" t="s">
        <v>14</v>
      </c>
      <c r="C39" s="53" t="str" cm="1">
        <f t="array" ref="C39">_xlfn.LET(
_xlpm.x,_xlfn.XLOOKUP(1,(Scores_Fixtures[Date]=A39)*(Scores_Fixtures[Home.1]=B39),Scores_Fixtures[Score.1],""),
IF(_xlpm.x="","",_xlpm.x)
)</f>
        <v/>
      </c>
      <c r="D39" s="53" t="str" cm="1">
        <f t="array" ref="D39">_xlfn.LET(
_xlpm.x,_xlfn.XLOOKUP(1,(Scores_Fixtures[Date]=A39)*(Scores_Fixtures[Home.1]=B39),Scores_Fixtures[Score.2],""),
IF(_xlpm.x="","",_xlpm.x)
)</f>
        <v/>
      </c>
      <c r="E39" s="12" t="s">
        <v>44</v>
      </c>
      <c r="F39" s="15"/>
      <c r="G39" s="53"/>
      <c r="H39" s="53"/>
      <c r="I39" s="33" t="str" cm="1">
        <f t="array" ref="I39">_xlfn.IFS($D39="","",AND(G39=$C39,H39=$D39),3,($C39-$D39)/MAX(ABS($C39-$D39),1)=(G39-H39)/MAX(ABS(G39-H39),1),1,TRUE,0)</f>
        <v/>
      </c>
      <c r="J39" s="18"/>
      <c r="K39" s="19"/>
      <c r="L39" s="33" t="str" cm="1">
        <f t="array" ref="L39">_xlfn.IFS($D39="","",AND(J39=$C39,K39=$D39),3,($C39-$D39)/MAX(ABS($C39-$D39),1)=(J39-K39)/MAX(ABS(J39-K39),1),1,TRUE,0)</f>
        <v/>
      </c>
      <c r="M39" s="18"/>
      <c r="N39" s="19"/>
      <c r="O39" s="33" t="str" cm="1">
        <f t="array" ref="O39">_xlfn.IFS($D39="","",AND(M39=$C39,N39=$D39),3,($C39-$D39)/MAX(ABS($C39-$D39),1)=(M39-N39)/MAX(ABS(M39-N39),1),1,TRUE,0)</f>
        <v/>
      </c>
      <c r="P39" s="18"/>
      <c r="Q39" s="19"/>
      <c r="R39" s="33" t="str" cm="1">
        <f t="array" ref="R39">_xlfn.IFS($D39="","",AND(P39=$C39,Q39=$D39),3,($C39-$D39)/MAX(ABS($C39-$D39),1)=(P39-Q39)/MAX(ABS(P39-Q39),1),1,TRUE,0)</f>
        <v/>
      </c>
      <c r="S39" s="18"/>
      <c r="T39" s="19"/>
      <c r="U39" s="33" t="str" cm="1">
        <f t="array" ref="U39">_xlfn.IFS($D39="","",AND(S39=$C39,T39=$D39),3,($C39-$D39)/MAX(ABS($C39-$D39),1)=(S39-T39)/MAX(ABS(S39-T39),1),1,TRUE,0)</f>
        <v/>
      </c>
      <c r="V39" s="18"/>
      <c r="W39" s="19"/>
      <c r="X39" s="33" t="str" cm="1">
        <f t="array" ref="X39">_xlfn.IFS($D39="","",AND(V39=$C39,W39=$D39),3,($C39-$D39)/MAX(ABS($C39-$D39),1)=(V39-W39)/MAX(ABS(V39-W39),1),1,TRUE,0)</f>
        <v/>
      </c>
      <c r="Y39" s="18"/>
      <c r="Z39" s="19"/>
      <c r="AA39" s="33" t="str" cm="1">
        <f t="array" ref="AA39">_xlfn.IFS($D39="","",AND(Y39=$C39,Z39=$D39),3,($C39-$D39)/MAX(ABS($C39-$D39),1)=(Y39-Z39)/MAX(ABS(Y39-Z39),1),1,TRUE,0)</f>
        <v/>
      </c>
      <c r="AB39" s="18"/>
      <c r="AC39" s="19"/>
      <c r="AD39" s="33" t="str" cm="1">
        <f t="array" ref="AD39">_xlfn.IFS($D39="","",AND(AB39=$C39,AC39=$D39),3,($C39-$D39)/MAX(ABS($C39-$D39),1)=(AB39-AC39)/MAX(ABS(AB39-AC39),1),1,TRUE,0)</f>
        <v/>
      </c>
      <c r="AE39" s="18"/>
      <c r="AF39" s="19"/>
      <c r="AG39" s="33" t="str" cm="1">
        <f t="array" ref="AG39">_xlfn.IFS($D39="","",AND(AE39=$C39,AF39=$D39),3,($C39-$D39)/MAX(ABS($C39-$D39),1)=(AE39-AF39)/MAX(ABS(AE39-AF39),1),1,TRUE,0)</f>
        <v/>
      </c>
      <c r="AH39" s="18"/>
      <c r="AI39" s="19"/>
      <c r="AJ39" s="33" t="str" cm="1">
        <f t="array" ref="AJ39">_xlfn.IFS($D39="","",AND(AH39=$C39,AI39=$D39),3,($C39-$D39)/MAX(ABS($C39-$D39),1)=(AH39-AI39)/MAX(ABS(AH39-AI39),1),1,TRUE,0)</f>
        <v/>
      </c>
      <c r="AK39" s="18"/>
      <c r="AL39" s="19"/>
      <c r="AM39" s="33" t="str" cm="1">
        <f t="array" ref="AM39">_xlfn.IFS($D39="","",AND(AK39=$C39,AL39=$D39),3,($C39-$D39)/MAX(ABS($C39-$D39),1)=(AK39-AL39)/MAX(ABS(AK39-AL39),1),1,TRUE,0)</f>
        <v/>
      </c>
      <c r="AN39" s="18"/>
      <c r="AO39" s="19"/>
      <c r="AP39" s="33" t="str" cm="1">
        <f t="array" ref="AP39">_xlfn.IFS($D39="","",AND(AN39=$C39,AO39=$D39),3,($C39-$D39)/MAX(ABS($C39-$D39),1)=(AN39-AO39)/MAX(ABS(AN39-AO39),1),1,TRUE,0)</f>
        <v/>
      </c>
      <c r="AQ39" s="18"/>
      <c r="AR39" s="19"/>
      <c r="AS39" s="33" t="str" cm="1">
        <f t="array" ref="AS39">_xlfn.IFS($D39="","",AND(AQ39=$C39,AR39=$D39),3,($C39-$D39)/MAX(ABS($C39-$D39),1)=(AQ39-AR39)/MAX(ABS(AQ39-AR39),1),1,TRUE,0)</f>
        <v/>
      </c>
      <c r="AT39" s="18"/>
      <c r="AU39" s="19"/>
      <c r="AV39" s="33" t="str" cm="1">
        <f t="array" ref="AV39">_xlfn.IFS($D39="","",AND(AT39=$C39,AU39=$D39),3,($C39-$D39)/MAX(ABS($C39-$D39),1)=(AT39-AU39)/MAX(ABS(AT39-AU39),1),1,TRUE,0)</f>
        <v/>
      </c>
      <c r="AW39" s="18"/>
      <c r="AX39" s="19"/>
      <c r="AY39" s="33" t="str" cm="1">
        <f t="array" ref="AY39">_xlfn.IFS($D39="","",AND(AW39=$C39,AX39=$D39),3,($C39-$D39)/MAX(ABS($C39-$D39),1)=(AW39-AX39)/MAX(ABS(AW39-AX39),1),1,TRUE,0)</f>
        <v/>
      </c>
      <c r="AZ39" s="18"/>
      <c r="BA39" s="19"/>
      <c r="BB39" s="33" t="str" cm="1">
        <f t="array" ref="BB39">_xlfn.IFS($D39="","",AND(AZ39=$C39,BA39=$D39),3,($C39-$D39)/MAX(ABS($C39-$D39),1)=(AZ39-BA39)/MAX(ABS(AZ39-BA39),1),1,TRUE,0)</f>
        <v/>
      </c>
      <c r="BC39" s="18"/>
      <c r="BD39" s="19"/>
      <c r="BE39" s="33" t="str" cm="1">
        <f t="array" ref="BE39">_xlfn.IFS($D39="","",AND(BC39=$C39,BD39=$D39),3,($C39-$D39)/MAX(ABS($C39-$D39),1)=(BC39-BD39)/MAX(ABS(BC39-BD39),1),1,TRUE,0)</f>
        <v/>
      </c>
      <c r="BF39" s="18"/>
      <c r="BG39" s="19"/>
      <c r="BH39" s="33" t="str" cm="1">
        <f t="array" ref="BH39">_xlfn.IFS($D39="","",AND(BF39=$C39,BG39=$D39),3,($C39-$D39)/MAX(ABS($C39-$D39),1)=(BF39-BG39)/MAX(ABS(BF39-BG39),1),1,TRUE,0)</f>
        <v/>
      </c>
      <c r="BI39" s="18"/>
      <c r="BJ39" s="19"/>
      <c r="BK39" s="33" t="str" cm="1">
        <f t="array" ref="BK39">_xlfn.IFS($D39="","",AND(BI39=$C39,BJ39=$D39),3,($C39-$D39)/MAX(ABS($C39-$D39),1)=(BI39-BJ39)/MAX(ABS(BI39-BJ39),1),1,TRUE,0)</f>
        <v/>
      </c>
      <c r="BL39" s="18"/>
      <c r="BM39" s="19"/>
      <c r="BN39" s="33" t="str" cm="1">
        <f t="array" ref="BN39">_xlfn.IFS($D39="","",AND(BL39=$C39,BM39=$D39),3,($C39-$D39)/MAX(ABS($C39-$D39),1)=(BL39-BM39)/MAX(ABS(BL39-BM39),1),1,TRUE,0)</f>
        <v/>
      </c>
      <c r="BO39" s="18"/>
      <c r="BP39" s="19"/>
      <c r="BQ39" s="33" t="str" cm="1">
        <f t="array" ref="BQ39">_xlfn.IFS($D39="","",AND(BO39=$C39,BP39=$D39),3,($C39-$D39)/MAX(ABS($C39-$D39),1)=(BO39-BP39)/MAX(ABS(BO39-BP39),1),1,TRUE,0)</f>
        <v/>
      </c>
      <c r="BR39" s="18"/>
      <c r="BS39" s="19"/>
      <c r="BT39" s="33" t="str" cm="1">
        <f t="array" ref="BT39">_xlfn.IFS($D39="","",AND(BR39=$C39,BS39=$D39),3,($C39-$D39)/MAX(ABS($C39-$D39),1)=(BR39-BS39)/MAX(ABS(BR39-BS39),1),1,TRUE,0)</f>
        <v/>
      </c>
      <c r="BU39" s="18"/>
      <c r="BV39" s="19"/>
      <c r="BW39" s="33" t="str" cm="1">
        <f t="array" ref="BW39">_xlfn.IFS($D39="","",AND(BU39=$C39,BV39=$D39),3,($C39-$D39)/MAX(ABS($C39-$D39),1)=(BU39-BV39)/MAX(ABS(BU39-BV39),1),1,TRUE,0)</f>
        <v/>
      </c>
      <c r="BX39" s="18"/>
      <c r="BY39" s="19"/>
      <c r="BZ39" s="33" t="str" cm="1">
        <f t="array" ref="BZ39">_xlfn.IFS($D39="","",AND(BX39=$C39,BY39=$D39),3,($C39-$D39)/MAX(ABS($C39-$D39),1)=(BX39-BY39)/MAX(ABS(BX39-BY39),1),1,TRUE,0)</f>
        <v/>
      </c>
      <c r="CA39" s="18"/>
      <c r="CB39" s="19"/>
      <c r="CC39" s="33" t="str" cm="1">
        <f t="array" ref="CC39">_xlfn.IFS($D39="","",AND(CA39=$C39,CB39=$D39),3,($C39-$D39)/MAX(ABS($C39-$D39),1)=(CA39-CB39)/MAX(ABS(CA39-CB39),1),1,TRUE,0)</f>
        <v/>
      </c>
      <c r="CD39" s="18"/>
      <c r="CE39" s="19"/>
      <c r="CF39" s="33" t="str" cm="1">
        <f t="array" ref="CF39">_xlfn.IFS($D39="","",AND(CD39=$C39,CE39=$D39),3,($C39-$D39)/MAX(ABS($C39-$D39),1)=(CD39-CE39)/MAX(ABS(CD39-CE39),1),1,TRUE,0)</f>
        <v/>
      </c>
      <c r="CG39" s="18"/>
      <c r="CH39" s="19"/>
      <c r="CI39" s="33" t="str" cm="1">
        <f t="array" ref="CI39">_xlfn.IFS($D39="","",AND(CG39=$C39,CH39=$D39),3,($C39-$D39)/MAX(ABS($C39-$D39),1)=(CG39-CH39)/MAX(ABS(CG39-CH39),1),1,TRUE,0)</f>
        <v/>
      </c>
      <c r="CJ39" s="18"/>
      <c r="CK39" s="19"/>
      <c r="CL39" s="33" t="str" cm="1">
        <f t="array" ref="CL39">_xlfn.IFS($D39="","",AND(CJ39=$C39,CK39=$D39),3,($C39-$D39)/MAX(ABS($C39-$D39),1)=(CJ39-CK39)/MAX(ABS(CJ39-CK39),1),1,TRUE,0)</f>
        <v/>
      </c>
      <c r="CM39" s="18"/>
      <c r="CN39" s="19"/>
      <c r="CO39" s="33" t="str" cm="1">
        <f t="array" ref="CO39">_xlfn.IFS($D39="","",AND(CM39=$C39,CN39=$D39),3,($C39-$D39)/MAX(ABS($C39-$D39),1)=(CM39-CN39)/MAX(ABS(CM39-CN39),1),1,TRUE,0)</f>
        <v/>
      </c>
      <c r="CP39" s="18"/>
      <c r="CQ39" s="19"/>
      <c r="CR39" s="33" t="str" cm="1">
        <f t="array" ref="CR39">_xlfn.IFS($D39="","",AND(CP39=$C39,CQ39=$D39),3,($C39-$D39)/MAX(ABS($C39-$D39),1)=(CP39-CQ39)/MAX(ABS(CP39-CQ39),1),1,TRUE,0)</f>
        <v/>
      </c>
      <c r="CS39" s="18"/>
      <c r="CT39" s="19"/>
      <c r="CU39" s="33" t="str" cm="1">
        <f t="array" ref="CU39">_xlfn.IFS($D39="","",AND(CS39=$C39,CT39=$D39),3,($C39-$D39)/MAX(ABS($C39-$D39),1)=(CS39-CT39)/MAX(ABS(CS39-CT39),1),1,TRUE,0)</f>
        <v/>
      </c>
      <c r="CV39" s="18"/>
      <c r="CW39" s="19"/>
      <c r="CX39" s="33" t="str" cm="1">
        <f t="array" ref="CX39">_xlfn.IFS($D39="","",AND(CV39=$C39,CW39=$D39),3,($C39-$D39)/MAX(ABS($C39-$D39),1)=(CV39-CW39)/MAX(ABS(CV39-CW39),1),1,TRUE,0)</f>
        <v/>
      </c>
      <c r="CY39" s="18"/>
      <c r="CZ39" s="19"/>
      <c r="DA39" s="33" t="str" cm="1">
        <f t="array" ref="DA39">_xlfn.IFS($D39="","",AND(CY39=$C39,CZ39=$D39),3,($C39-$D39)/MAX(ABS($C39-$D39),1)=(CY39-CZ39)/MAX(ABS(CY39-CZ39),1),1,TRUE,0)</f>
        <v/>
      </c>
      <c r="DB39" s="37"/>
      <c r="DC39" s="38"/>
      <c r="DD39" s="33" t="str" cm="1">
        <f t="array" ref="DD39">_xlfn.IFS($D39="","",AND(DB39=$C39,DC39=$D39),3,($C39-$D39)/MAX(ABS($C39-$D39),1)=(DB39-DC39)/MAX(ABS(DB39-DC39),1),1,TRUE,0)</f>
        <v/>
      </c>
      <c r="DE39" s="18"/>
      <c r="DF39" s="19"/>
      <c r="DG39" s="33" t="str" cm="1">
        <f t="array" ref="DG39">_xlfn.IFS($D39="","",AND(DE39=$C39,DF39=$D39),3,($C39-$D39)/MAX(ABS($C39-$D39),1)=(DE39-DF39)/MAX(ABS(DE39-DF39),1),1,TRUE,0)</f>
        <v/>
      </c>
      <c r="DH39" s="18"/>
      <c r="DI39" s="19"/>
      <c r="DJ39" s="33" t="str" cm="1">
        <f t="array" ref="DJ39">_xlfn.IFS($D39="","",AND(DH39=$C39,DI39=$D39),3,($C39-$D39)/MAX(ABS($C39-$D39),1)=(DH39-DI39)/MAX(ABS(DH39-DI39),1),1,TRUE,0)</f>
        <v/>
      </c>
      <c r="DK39" s="18"/>
      <c r="DL39" s="19"/>
      <c r="DM39" s="33" t="str" cm="1">
        <f t="array" ref="DM39">_xlfn.IFS($D39="","",AND(DK39=$C39,DL39=$D39),3,($C39-$D39)/MAX(ABS($C39-$D39),1)=(DK39-DL39)/MAX(ABS(DK39-DL39),1),1,TRUE,0)</f>
        <v/>
      </c>
      <c r="DN39" s="18"/>
      <c r="DO39" s="19"/>
      <c r="DP39" s="33" t="str" cm="1">
        <f t="array" ref="DP39">_xlfn.IFS($D39="","",AND(DN39=$C39,DO39=$D39),3,($C39-$D39)/MAX(ABS($C39-$D39),1)=(DN39-DO39)/MAX(ABS(DN39-DO39),1),1,TRUE,0)</f>
        <v/>
      </c>
      <c r="DQ39" s="18"/>
      <c r="DR39" s="19"/>
      <c r="DS39" s="33" t="str" cm="1">
        <f t="array" ref="DS39">_xlfn.IFS($D39="","",AND(DQ39=$C39,DR39=$D39),3,($C39-$D39)/MAX(ABS($C39-$D39),1)=(DQ39-DR39)/MAX(ABS(DQ39-DR39),1),1,TRUE,0)</f>
        <v/>
      </c>
      <c r="DT39" s="18"/>
      <c r="DU39" s="19"/>
      <c r="DV39" s="33" t="str" cm="1">
        <f t="array" ref="DV39">_xlfn.IFS($D39="","",AND(DT39=$C39,DU39=$D39),3,($C39-$D39)/MAX(ABS($C39-$D39),1)=(DT39-DU39)/MAX(ABS(DT39-DU39),1),1,TRUE,0)</f>
        <v/>
      </c>
      <c r="DW39" s="18"/>
      <c r="DX39" s="19"/>
      <c r="DY39" s="33" t="str" cm="1">
        <f t="array" ref="DY39">_xlfn.IFS($D39="","",AND(DW39=$C39,DX39=$D39),3,($C39-$D39)/MAX(ABS($C39-$D39),1)=(DW39-DX39)/MAX(ABS(DW39-DX39),1),1,TRUE,0)</f>
        <v/>
      </c>
      <c r="DZ39" s="18"/>
      <c r="EA39" s="19"/>
      <c r="EB39" s="33" t="str" cm="1">
        <f t="array" ref="EB39">_xlfn.IFS($D39="","",AND(DZ39=$C39,EA39=$D39),3,($C39-$D39)/MAX(ABS($C39-$D39),1)=(DZ39-EA39)/MAX(ABS(DZ39-EA39),1),1,TRUE,0)</f>
        <v/>
      </c>
      <c r="EC39" s="18"/>
      <c r="ED39" s="19"/>
      <c r="EE39" s="33" t="str" cm="1">
        <f t="array" ref="EE39">_xlfn.IFS($D39="","",AND(EC39=$C39,ED39=$D39),3,($C39-$D39)/MAX(ABS($C39-$D39),1)=(EC39-ED39)/MAX(ABS(EC39-ED39),1),1,TRUE,0)</f>
        <v/>
      </c>
      <c r="EF39" s="18"/>
      <c r="EG39" s="19"/>
      <c r="EH39" s="33" t="str" cm="1">
        <f t="array" ref="EH39">_xlfn.IFS($D39="","",AND(EF39=$C39,EG39=$D39),3,($C39-$D39)/MAX(ABS($C39-$D39),1)=(EF39-EG39)/MAX(ABS(EF39-EG39),1),1,TRUE,0)</f>
        <v/>
      </c>
      <c r="EI39" s="50"/>
      <c r="EJ39" s="51"/>
      <c r="EK39" s="33" t="str" cm="1">
        <f t="array" ref="EK39">_xlfn.IFS($D39="","",AND(EI39=$C39,EJ39=$D39),3,($C39-$D39)/MAX(ABS($C39-$D39),1)=(EI39-EJ39)/MAX(ABS(EI39-EJ39),1),1,TRUE,0)</f>
        <v/>
      </c>
      <c r="EL39" s="18"/>
      <c r="EM39" s="19"/>
      <c r="EN39" s="33" t="str" cm="1">
        <f t="array" ref="EN39">_xlfn.IFS($D39="","",AND(EL39=$C39,EM39=$D39),3,($C39-$D39)/MAX(ABS($C39-$D39),1)=(EL39-EM39)/MAX(ABS(EL39-EM39),1),1,TRUE,0)</f>
        <v/>
      </c>
      <c r="EO39" s="18"/>
      <c r="EP39" s="19"/>
      <c r="EQ39" s="33" t="str" cm="1">
        <f t="array" ref="EQ39">_xlfn.IFS($D39="","",AND(EO39=$C39,EP39=$D39),3,($C39-$D39)/MAX(ABS($C39-$D39),1)=(EO39-EP39)/MAX(ABS(EO39-EP39),1),1,TRUE,0)</f>
        <v/>
      </c>
      <c r="ER39" s="18"/>
      <c r="ES39" s="19"/>
      <c r="ET39" s="33" t="str" cm="1">
        <f t="array" ref="ET39">_xlfn.IFS($D39="","",AND(ER39=$C39,ES39=$D39),3,($C39-$D39)/MAX(ABS($C39-$D39),1)=(ER39-ES39)/MAX(ABS(ER39-ES39),1),1,TRUE,0)</f>
        <v/>
      </c>
      <c r="EU39" s="18"/>
      <c r="EV39" s="19"/>
      <c r="EW39" s="33" t="str" cm="1">
        <f t="array" ref="EW39">_xlfn.IFS($D39="","",AND(EU39=$C39,EV39=$D39),3,($C39-$D39)/MAX(ABS($C39-$D39),1)=(EU39-EV39)/MAX(ABS(EU39-EV39),1),1,TRUE,0)</f>
        <v/>
      </c>
      <c r="EX39" s="18"/>
      <c r="EY39" s="19"/>
      <c r="EZ39" s="33" t="str" cm="1">
        <f t="array" ref="EZ39">_xlfn.IFS($D39="","",AND(EX39=$C39,EY39=$D39),3,($C39-$D39)/MAX(ABS($C39-$D39),1)=(EX39-EY39)/MAX(ABS(EX39-EY39),1),1,TRUE,0)</f>
        <v/>
      </c>
      <c r="FA39" s="18"/>
      <c r="FB39" s="19"/>
      <c r="FC39" s="33" t="str" cm="1">
        <f t="array" ref="FC39">_xlfn.IFS($D39="","",AND(FA39=$C39,FB39=$D39),3,($C39-$D39)/MAX(ABS($C39-$D39),1)=(FA39-FB39)/MAX(ABS(FA39-FB39),1),1,TRUE,0)</f>
        <v/>
      </c>
      <c r="FD39" s="18"/>
      <c r="FE39" s="19"/>
      <c r="FF39" s="33" t="str" cm="1">
        <f t="array" ref="FF39">_xlfn.IFS($D39="","",AND(FD39=$C39,FE39=$D39),3,($C39-$D39)/MAX(ABS($C39-$D39),1)=(FD39-FE39)/MAX(ABS(FD39-FE39),1),1,TRUE,0)</f>
        <v/>
      </c>
      <c r="FG39" s="18"/>
      <c r="FH39" s="19"/>
      <c r="FI39" s="33" t="str" cm="1">
        <f t="array" ref="FI39">_xlfn.IFS($D39="","",AND(FG39=$C39,FH39=$D39),3,($C39-$D39)/MAX(ABS($C39-$D39),1)=(FG39-FH39)/MAX(ABS(FG39-FH39),1),1,TRUE,0)</f>
        <v/>
      </c>
      <c r="FJ39" s="18"/>
      <c r="FK39" s="19"/>
      <c r="FL39" s="33" t="str" cm="1">
        <f t="array" ref="FL39">_xlfn.IFS($D39="","",AND(FJ39=$C39,FK39=$D39),3,($C39-$D39)/MAX(ABS($C39-$D39),1)=(FJ39-FK39)/MAX(ABS(FJ39-FK39),1),1,TRUE,0)</f>
        <v/>
      </c>
      <c r="FM39" s="18"/>
      <c r="FN39" s="19"/>
      <c r="FO39" s="33" t="str" cm="1">
        <f t="array" ref="FO39">_xlfn.IFS($D39="","",AND(FM39=$C39,FN39=$D39),3,($C39-$D39)/MAX(ABS($C39-$D39),1)=(FM39-FN39)/MAX(ABS(FM39-FN39),1),1,TRUE,0)</f>
        <v/>
      </c>
      <c r="FP39" s="18"/>
      <c r="FQ39" s="19"/>
      <c r="FR39" s="33" t="str" cm="1">
        <f t="array" ref="FR39">_xlfn.IFS($D39="","",AND(FP39=$C39,FQ39=$D39),3,($C39-$D39)/MAX(ABS($C39-$D39),1)=(FP39-FQ39)/MAX(ABS(FP39-FQ39),1),1,TRUE,0)</f>
        <v/>
      </c>
      <c r="FS39" s="18"/>
      <c r="FT39" s="19"/>
      <c r="FU39" s="33" t="str" cm="1">
        <f t="array" ref="FU39">_xlfn.IFS($D39="","",AND(FS39=$C39,FT39=$D39),3,($C39-$D39)/MAX(ABS($C39-$D39),1)=(FS39-FT39)/MAX(ABS(FS39-FT39),1),1,TRUE,0)</f>
        <v/>
      </c>
      <c r="FV39" s="18"/>
      <c r="FW39" s="19"/>
      <c r="FX39" s="33" t="str" cm="1">
        <f t="array" ref="FX39">_xlfn.IFS($D39="","",AND(FV39=$C39,FW39=$D39),3,($C39-$D39)/MAX(ABS($C39-$D39),1)=(FV39-FW39)/MAX(ABS(FV39-FW39),1),1,TRUE,0)</f>
        <v/>
      </c>
      <c r="FY39" s="18"/>
      <c r="FZ39" s="19"/>
      <c r="GA39" s="33" t="str" cm="1">
        <f t="array" ref="GA39">_xlfn.IFS($D39="","",AND(FY39=$C39,FZ39=$D39),3,($C39-$D39)/MAX(ABS($C39-$D39),1)=(FY39-FZ39)/MAX(ABS(FY39-FZ39),1),1,TRUE,0)</f>
        <v/>
      </c>
      <c r="GB39" s="18"/>
      <c r="GC39" s="19"/>
      <c r="GD39" s="33" t="str" cm="1">
        <f t="array" ref="GD39">_xlfn.IFS($D39="","",AND(GB39=$C39,GC39=$D39),3,($C39-$D39)/MAX(ABS($C39-$D39),1)=(GB39-GC39)/MAX(ABS(GB39-GC39),1),1,TRUE,0)</f>
        <v/>
      </c>
      <c r="GE39" s="52"/>
      <c r="GF39" s="19"/>
      <c r="GG39" s="33" t="str" cm="1">
        <f t="array" ref="GG39">_xlfn.IFS($D39="","",AND(GE39=$C39,GF39=$D39),3,($C39-$D39)/MAX(ABS($C39-$D39),1)=(GE39-GF39)/MAX(ABS(GE39-GF39),1),1,TRUE,0)</f>
        <v/>
      </c>
      <c r="GH39" s="18"/>
      <c r="GI39" s="19"/>
      <c r="GJ39" s="33" t="str" cm="1">
        <f t="array" ref="GJ39">_xlfn.IFS($D39="","",AND(GH39=$C39,GI39=$D39),3,($C39-$D39)/MAX(ABS($C39-$D39),1)=(GH39-GI39)/MAX(ABS(GH39-GI39),1),1,TRUE,0)</f>
        <v/>
      </c>
      <c r="GK39" s="18"/>
      <c r="GL39" s="19"/>
      <c r="GM39" s="33" t="str" cm="1">
        <f t="array" ref="GM39">_xlfn.IFS($D39="","",AND(GK39=$C39,GL39=$D39),3,($C39-$D39)/MAX(ABS($C39-$D39),1)=(GK39-GL39)/MAX(ABS(GK39-GL39),1),1,TRUE,0)</f>
        <v/>
      </c>
      <c r="GN39" s="18"/>
      <c r="GO39" s="19"/>
      <c r="GP39" s="33" t="str" cm="1">
        <f t="array" ref="GP39">_xlfn.IFS($D39="","",AND(GN39=$C39,GO39=$D39),3,($C39-$D39)/MAX(ABS($C39-$D39),1)=(GN39-GO39)/MAX(ABS(GN39-GO39),1),1,TRUE,0)</f>
        <v/>
      </c>
      <c r="GQ39" s="18"/>
      <c r="GR39" s="19"/>
      <c r="GS39" s="33" t="str" cm="1">
        <f t="array" ref="GS39">_xlfn.IFS($D39="","",AND(GQ39=$C39,GR39=$D39),3,($C39-$D39)/MAX(ABS($C39-$D39),1)=(GQ39-GR39)/MAX(ABS(GQ39-GR39),1),1,TRUE,0)</f>
        <v/>
      </c>
      <c r="GT39" s="18"/>
      <c r="GU39" s="19"/>
      <c r="GV39" s="33" t="str" cm="1">
        <f t="array" ref="GV39">_xlfn.IFS($D39="","",AND(GT39=$C39,GU39=$D39),3,($C39-$D39)/MAX(ABS($C39-$D39),1)=(GT39-GU39)/MAX(ABS(GT39-GU39),1),1,TRUE,0)</f>
        <v/>
      </c>
      <c r="GW39" s="18"/>
      <c r="GX39" s="19"/>
      <c r="GY39" s="33" t="str" cm="1">
        <f t="array" ref="GY39">_xlfn.IFS($D39="","",AND(GW39=$C39,GX39=$D39),3,($C39-$D39)/MAX(ABS($C39-$D39),1)=(GW39-GX39)/MAX(ABS(GW39-GX39),1),1,TRUE,0)</f>
        <v/>
      </c>
      <c r="GZ39" s="18"/>
      <c r="HA39" s="19"/>
      <c r="HB39" s="33" t="str" cm="1">
        <f t="array" ref="HB39">_xlfn.IFS($D39="","",AND(GZ39=$C39,HA39=$D39),3,($C39-$D39)/MAX(ABS($C39-$D39),1)=(GZ39-HA39)/MAX(ABS(GZ39-HA39),1),1,TRUE,0)</f>
        <v/>
      </c>
      <c r="HC39" s="18"/>
      <c r="HD39" s="19"/>
      <c r="HE39" s="33" t="str" cm="1">
        <f t="array" ref="HE39">_xlfn.IFS($D39="","",AND(HC39=$C39,HD39=$D39),3,($C39-$D39)/MAX(ABS($C39-$D39),1)=(HC39-HD39)/MAX(ABS(HC39-HD39),1),1,TRUE,0)</f>
        <v/>
      </c>
      <c r="HF39" s="18"/>
      <c r="HG39" s="19"/>
      <c r="HH39" s="33" t="str" cm="1">
        <f t="array" ref="HH39">_xlfn.IFS($D39="","",AND(HF39=$C39,HG39=$D39),3,($C39-$D39)/MAX(ABS($C39-$D39),1)=(HF39-HG39)/MAX(ABS(HF39-HG39),1),1,TRUE,0)</f>
        <v/>
      </c>
      <c r="HI39" s="18"/>
      <c r="HJ39" s="19"/>
      <c r="HK39" s="33" t="str" cm="1">
        <f t="array" ref="HK39">_xlfn.IFS($D39="","",AND(HI39=$C39,HJ39=$D39),3,($C39-$D39)/MAX(ABS($C39-$D39),1)=(HI39-HJ39)/MAX(ABS(HI39-HJ39),1),1,TRUE,0)</f>
        <v/>
      </c>
      <c r="HL39" s="18"/>
      <c r="HM39" s="19"/>
      <c r="HN39" s="33" t="str" cm="1">
        <f t="array" ref="HN39">_xlfn.IFS($D39="","",AND(HL39=$C39,HM39=$D39),3,($C39-$D39)/MAX(ABS($C39-$D39),1)=(HL39-HM39)/MAX(ABS(HL39-HM39),1),1,TRUE,0)</f>
        <v/>
      </c>
      <c r="HO39" s="18"/>
      <c r="HP39" s="19"/>
      <c r="HQ39" s="33" t="str" cm="1">
        <f t="array" ref="HQ39">_xlfn.IFS($D39="","",AND(HO39=$C39,HP39=$D39),3,($C39-$D39)/MAX(ABS($C39-$D39),1)=(HO39-HP39)/MAX(ABS(HO39-HP39),1),1,TRUE,0)</f>
        <v/>
      </c>
      <c r="HR39" s="18"/>
      <c r="HS39" s="19"/>
      <c r="HT39" s="33" t="str" cm="1">
        <f t="array" ref="HT39">_xlfn.IFS($D39="","",AND(HR39=$C39,HS39=$D39),3,($C39-$D39)/MAX(ABS($C39-$D39),1)=(HR39-HS39)/MAX(ABS(HR39-HS39),1),1,TRUE,0)</f>
        <v/>
      </c>
      <c r="HU39" s="18"/>
      <c r="HV39" s="19"/>
      <c r="HW39" s="33" t="str" cm="1">
        <f t="array" ref="HW39">_xlfn.IFS($D39="","",AND(HU39=$C39,HV39=$D39),3,($C39-$D39)/MAX(ABS($C39-$D39),1)=(HU39-HV39)/MAX(ABS(HU39-HV39),1),1,TRUE,0)</f>
        <v/>
      </c>
      <c r="HX39" s="18"/>
      <c r="HY39" s="19"/>
      <c r="HZ39" s="33" t="str" cm="1">
        <f t="array" ref="HZ39">_xlfn.IFS($D39="","",AND(HX39=$C39,HY39=$D39),3,($C39-$D39)/MAX(ABS($C39-$D39),1)=(HX39-HY39)/MAX(ABS(HX39-HY39),1),1,TRUE,0)</f>
        <v/>
      </c>
      <c r="IA39" s="18"/>
      <c r="IB39" s="19"/>
      <c r="IC39" s="33" t="str" cm="1">
        <f t="array" ref="IC39">_xlfn.IFS($D39="","",AND(IA39=$C39,IB39=$D39),3,($C39-$D39)/MAX(ABS($C39-$D39),1)=(IA39-IB39)/MAX(ABS(IA39-IB39),1),1,TRUE,0)</f>
        <v/>
      </c>
      <c r="ID39" s="18"/>
      <c r="IE39" s="19"/>
      <c r="IF39" s="33" t="str" cm="1">
        <f t="array" ref="IF39">_xlfn.IFS($D39="","",AND(ID39=$C39,IE39=$D39),3,($C39-$D39)/MAX(ABS($C39-$D39),1)=(ID39-IE39)/MAX(ABS(ID39-IE39),1),1,TRUE,0)</f>
        <v/>
      </c>
      <c r="IG39" s="18"/>
      <c r="IH39" s="19"/>
      <c r="II39" s="33" t="str" cm="1">
        <f t="array" ref="II39">_xlfn.IFS($D39="","",AND(IG39=$C39,IH39=$D39),3,($C39-$D39)/MAX(ABS($C39-$D39),1)=(IG39-IH39)/MAX(ABS(IG39-IH39),1),1,TRUE,0)</f>
        <v/>
      </c>
      <c r="IJ39" s="18"/>
      <c r="IK39" s="19"/>
      <c r="IL39" s="33" t="str" cm="1">
        <f t="array" ref="IL39">_xlfn.IFS($D39="","",AND(IJ39=$C39,IK39=$D39),3,($C39-$D39)/MAX(ABS($C39-$D39),1)=(IJ39-IK39)/MAX(ABS(IJ39-IK39),1),1,TRUE,0)</f>
        <v/>
      </c>
      <c r="IM39" s="18"/>
      <c r="IN39" s="19"/>
      <c r="IO39" s="33" t="str" cm="1">
        <f t="array" ref="IO39">_xlfn.IFS($D39="","",AND(IM39=$C39,IN39=$D39),3,($C39-$D39)/MAX(ABS($C39-$D39),1)=(IM39-IN39)/MAX(ABS(IM39-IN39),1),1,TRUE,0)</f>
        <v/>
      </c>
      <c r="IP39" s="18"/>
      <c r="IQ39" s="19"/>
      <c r="IR39" s="33" t="str" cm="1">
        <f t="array" ref="IR39">_xlfn.IFS($D39="","",AND(IP39=$C39,IQ39=$D39),3,($C39-$D39)/MAX(ABS($C39-$D39),1)=(IP39-IQ39)/MAX(ABS(IP39-IQ39),1),1,TRUE,0)</f>
        <v/>
      </c>
      <c r="IS39" s="18"/>
      <c r="IT39" s="19"/>
      <c r="IU39" s="33" t="str" cm="1">
        <f t="array" ref="IU39">_xlfn.IFS($D39="","",AND(IS39=$C39,IT39=$D39),3,($C39-$D39)/MAX(ABS($C39-$D39),1)=(IS39-IT39)/MAX(ABS(IS39-IT39),1),1,TRUE,0)</f>
        <v/>
      </c>
      <c r="IV39" s="18"/>
      <c r="IW39" s="19"/>
      <c r="IX39" s="33" t="str" cm="1">
        <f t="array" ref="IX39">_xlfn.IFS($D39="","",AND(IV39=$C39,IW39=$D39),3,($C39-$D39)/MAX(ABS($C39-$D39),1)=(IV39-IW39)/MAX(ABS(IV39-IW39),1),1,TRUE,0)</f>
        <v/>
      </c>
      <c r="IY39" s="18"/>
      <c r="IZ39" s="19"/>
      <c r="JA39" s="33" t="str" cm="1">
        <f t="array" ref="JA39">_xlfn.IFS($D39="","",AND(IY39=$C39,IZ39=$D39),3,($C39-$D39)/MAX(ABS($C39-$D39),1)=(IY39-IZ39)/MAX(ABS(IY39-IZ39),1),1,TRUE,0)</f>
        <v/>
      </c>
      <c r="JB39" s="18"/>
      <c r="JC39" s="19"/>
      <c r="JD39" s="33" t="str" cm="1">
        <f t="array" ref="JD39">_xlfn.IFS($D39="","",AND(JB39=$C39,JC39=$D39),3,($C39-$D39)/MAX(ABS($C39-$D39),1)=(JB39-JC39)/MAX(ABS(JB39-JC39),1),1,TRUE,0)</f>
        <v/>
      </c>
    </row>
    <row r="40" spans="1:264" ht="15" thickBot="1" x14ac:dyDescent="0.35">
      <c r="A40" s="22">
        <v>46194</v>
      </c>
      <c r="B40" s="28" t="s">
        <v>15</v>
      </c>
      <c r="C40" s="53" t="str" cm="1">
        <f t="array" ref="C40">_xlfn.LET(
_xlpm.x,_xlfn.XLOOKUP(1,(Scores_Fixtures[Date]=A40)*(Scores_Fixtures[Home.1]=B40),Scores_Fixtures[Score.1],""),
IF(_xlpm.x="","",_xlpm.x)
)</f>
        <v/>
      </c>
      <c r="D40" s="53" t="str" cm="1">
        <f t="array" ref="D40">_xlfn.LET(
_xlpm.x,_xlfn.XLOOKUP(1,(Scores_Fixtures[Date]=A40)*(Scores_Fixtures[Home.1]=B40),Scores_Fixtures[Score.2],""),
IF(_xlpm.x="","",_xlpm.x)
)</f>
        <v/>
      </c>
      <c r="E40" s="12" t="s">
        <v>45</v>
      </c>
      <c r="F40" s="15"/>
      <c r="G40" s="53"/>
      <c r="H40" s="53"/>
      <c r="I40" s="33" t="str" cm="1">
        <f t="array" ref="I40">_xlfn.IFS($D40="","",AND(G40=$C40,H40=$D40),3,($C40-$D40)/MAX(ABS($C40-$D40),1)=(G40-H40)/MAX(ABS(G40-H40),1),1,TRUE,0)</f>
        <v/>
      </c>
      <c r="J40" s="18"/>
      <c r="K40" s="19"/>
      <c r="L40" s="33" t="str" cm="1">
        <f t="array" ref="L40">_xlfn.IFS($D40="","",AND(J40=$C40,K40=$D40),3,($C40-$D40)/MAX(ABS($C40-$D40),1)=(J40-K40)/MAX(ABS(J40-K40),1),1,TRUE,0)</f>
        <v/>
      </c>
      <c r="M40" s="18"/>
      <c r="N40" s="19"/>
      <c r="O40" s="33" t="str" cm="1">
        <f t="array" ref="O40">_xlfn.IFS($D40="","",AND(M40=$C40,N40=$D40),3,($C40-$D40)/MAX(ABS($C40-$D40),1)=(M40-N40)/MAX(ABS(M40-N40),1),1,TRUE,0)</f>
        <v/>
      </c>
      <c r="P40" s="18"/>
      <c r="Q40" s="19"/>
      <c r="R40" s="33" t="str" cm="1">
        <f t="array" ref="R40">_xlfn.IFS($D40="","",AND(P40=$C40,Q40=$D40),3,($C40-$D40)/MAX(ABS($C40-$D40),1)=(P40-Q40)/MAX(ABS(P40-Q40),1),1,TRUE,0)</f>
        <v/>
      </c>
      <c r="S40" s="18"/>
      <c r="T40" s="19"/>
      <c r="U40" s="33" t="str" cm="1">
        <f t="array" ref="U40">_xlfn.IFS($D40="","",AND(S40=$C40,T40=$D40),3,($C40-$D40)/MAX(ABS($C40-$D40),1)=(S40-T40)/MAX(ABS(S40-T40),1),1,TRUE,0)</f>
        <v/>
      </c>
      <c r="V40" s="18"/>
      <c r="W40" s="19"/>
      <c r="X40" s="33" t="str" cm="1">
        <f t="array" ref="X40">_xlfn.IFS($D40="","",AND(V40=$C40,W40=$D40),3,($C40-$D40)/MAX(ABS($C40-$D40),1)=(V40-W40)/MAX(ABS(V40-W40),1),1,TRUE,0)</f>
        <v/>
      </c>
      <c r="Y40" s="18"/>
      <c r="Z40" s="19"/>
      <c r="AA40" s="33" t="str" cm="1">
        <f t="array" ref="AA40">_xlfn.IFS($D40="","",AND(Y40=$C40,Z40=$D40),3,($C40-$D40)/MAX(ABS($C40-$D40),1)=(Y40-Z40)/MAX(ABS(Y40-Z40),1),1,TRUE,0)</f>
        <v/>
      </c>
      <c r="AB40" s="18"/>
      <c r="AC40" s="19"/>
      <c r="AD40" s="33" t="str" cm="1">
        <f t="array" ref="AD40">_xlfn.IFS($D40="","",AND(AB40=$C40,AC40=$D40),3,($C40-$D40)/MAX(ABS($C40-$D40),1)=(AB40-AC40)/MAX(ABS(AB40-AC40),1),1,TRUE,0)</f>
        <v/>
      </c>
      <c r="AE40" s="18"/>
      <c r="AF40" s="19"/>
      <c r="AG40" s="33" t="str" cm="1">
        <f t="array" ref="AG40">_xlfn.IFS($D40="","",AND(AE40=$C40,AF40=$D40),3,($C40-$D40)/MAX(ABS($C40-$D40),1)=(AE40-AF40)/MAX(ABS(AE40-AF40),1),1,TRUE,0)</f>
        <v/>
      </c>
      <c r="AH40" s="18"/>
      <c r="AI40" s="19"/>
      <c r="AJ40" s="33" t="str" cm="1">
        <f t="array" ref="AJ40">_xlfn.IFS($D40="","",AND(AH40=$C40,AI40=$D40),3,($C40-$D40)/MAX(ABS($C40-$D40),1)=(AH40-AI40)/MAX(ABS(AH40-AI40),1),1,TRUE,0)</f>
        <v/>
      </c>
      <c r="AK40" s="18"/>
      <c r="AL40" s="19"/>
      <c r="AM40" s="33" t="str" cm="1">
        <f t="array" ref="AM40">_xlfn.IFS($D40="","",AND(AK40=$C40,AL40=$D40),3,($C40-$D40)/MAX(ABS($C40-$D40),1)=(AK40-AL40)/MAX(ABS(AK40-AL40),1),1,TRUE,0)</f>
        <v/>
      </c>
      <c r="AN40" s="18"/>
      <c r="AO40" s="19"/>
      <c r="AP40" s="33" t="str" cm="1">
        <f t="array" ref="AP40">_xlfn.IFS($D40="","",AND(AN40=$C40,AO40=$D40),3,($C40-$D40)/MAX(ABS($C40-$D40),1)=(AN40-AO40)/MAX(ABS(AN40-AO40),1),1,TRUE,0)</f>
        <v/>
      </c>
      <c r="AQ40" s="18"/>
      <c r="AR40" s="19"/>
      <c r="AS40" s="33" t="str" cm="1">
        <f t="array" ref="AS40">_xlfn.IFS($D40="","",AND(AQ40=$C40,AR40=$D40),3,($C40-$D40)/MAX(ABS($C40-$D40),1)=(AQ40-AR40)/MAX(ABS(AQ40-AR40),1),1,TRUE,0)</f>
        <v/>
      </c>
      <c r="AT40" s="18"/>
      <c r="AU40" s="19"/>
      <c r="AV40" s="33" t="str" cm="1">
        <f t="array" ref="AV40">_xlfn.IFS($D40="","",AND(AT40=$C40,AU40=$D40),3,($C40-$D40)/MAX(ABS($C40-$D40),1)=(AT40-AU40)/MAX(ABS(AT40-AU40),1),1,TRUE,0)</f>
        <v/>
      </c>
      <c r="AW40" s="18"/>
      <c r="AX40" s="19"/>
      <c r="AY40" s="33" t="str" cm="1">
        <f t="array" ref="AY40">_xlfn.IFS($D40="","",AND(AW40=$C40,AX40=$D40),3,($C40-$D40)/MAX(ABS($C40-$D40),1)=(AW40-AX40)/MAX(ABS(AW40-AX40),1),1,TRUE,0)</f>
        <v/>
      </c>
      <c r="AZ40" s="18"/>
      <c r="BA40" s="19"/>
      <c r="BB40" s="33" t="str" cm="1">
        <f t="array" ref="BB40">_xlfn.IFS($D40="","",AND(AZ40=$C40,BA40=$D40),3,($C40-$D40)/MAX(ABS($C40-$D40),1)=(AZ40-BA40)/MAX(ABS(AZ40-BA40),1),1,TRUE,0)</f>
        <v/>
      </c>
      <c r="BC40" s="18"/>
      <c r="BD40" s="19"/>
      <c r="BE40" s="33" t="str" cm="1">
        <f t="array" ref="BE40">_xlfn.IFS($D40="","",AND(BC40=$C40,BD40=$D40),3,($C40-$D40)/MAX(ABS($C40-$D40),1)=(BC40-BD40)/MAX(ABS(BC40-BD40),1),1,TRUE,0)</f>
        <v/>
      </c>
      <c r="BF40" s="18"/>
      <c r="BG40" s="19"/>
      <c r="BH40" s="33" t="str" cm="1">
        <f t="array" ref="BH40">_xlfn.IFS($D40="","",AND(BF40=$C40,BG40=$D40),3,($C40-$D40)/MAX(ABS($C40-$D40),1)=(BF40-BG40)/MAX(ABS(BF40-BG40),1),1,TRUE,0)</f>
        <v/>
      </c>
      <c r="BI40" s="18"/>
      <c r="BJ40" s="19"/>
      <c r="BK40" s="33" t="str" cm="1">
        <f t="array" ref="BK40">_xlfn.IFS($D40="","",AND(BI40=$C40,BJ40=$D40),3,($C40-$D40)/MAX(ABS($C40-$D40),1)=(BI40-BJ40)/MAX(ABS(BI40-BJ40),1),1,TRUE,0)</f>
        <v/>
      </c>
      <c r="BL40" s="18"/>
      <c r="BM40" s="19"/>
      <c r="BN40" s="33" t="str" cm="1">
        <f t="array" ref="BN40">_xlfn.IFS($D40="","",AND(BL40=$C40,BM40=$D40),3,($C40-$D40)/MAX(ABS($C40-$D40),1)=(BL40-BM40)/MAX(ABS(BL40-BM40),1),1,TRUE,0)</f>
        <v/>
      </c>
      <c r="BO40" s="18"/>
      <c r="BP40" s="19"/>
      <c r="BQ40" s="33" t="str" cm="1">
        <f t="array" ref="BQ40">_xlfn.IFS($D40="","",AND(BO40=$C40,BP40=$D40),3,($C40-$D40)/MAX(ABS($C40-$D40),1)=(BO40-BP40)/MAX(ABS(BO40-BP40),1),1,TRUE,0)</f>
        <v/>
      </c>
      <c r="BR40" s="18"/>
      <c r="BS40" s="19"/>
      <c r="BT40" s="33" t="str" cm="1">
        <f t="array" ref="BT40">_xlfn.IFS($D40="","",AND(BR40=$C40,BS40=$D40),3,($C40-$D40)/MAX(ABS($C40-$D40),1)=(BR40-BS40)/MAX(ABS(BR40-BS40),1),1,TRUE,0)</f>
        <v/>
      </c>
      <c r="BU40" s="18"/>
      <c r="BV40" s="19"/>
      <c r="BW40" s="33" t="str" cm="1">
        <f t="array" ref="BW40">_xlfn.IFS($D40="","",AND(BU40=$C40,BV40=$D40),3,($C40-$D40)/MAX(ABS($C40-$D40),1)=(BU40-BV40)/MAX(ABS(BU40-BV40),1),1,TRUE,0)</f>
        <v/>
      </c>
      <c r="BX40" s="18"/>
      <c r="BY40" s="19"/>
      <c r="BZ40" s="33" t="str" cm="1">
        <f t="array" ref="BZ40">_xlfn.IFS($D40="","",AND(BX40=$C40,BY40=$D40),3,($C40-$D40)/MAX(ABS($C40-$D40),1)=(BX40-BY40)/MAX(ABS(BX40-BY40),1),1,TRUE,0)</f>
        <v/>
      </c>
      <c r="CA40" s="18"/>
      <c r="CB40" s="19"/>
      <c r="CC40" s="33" t="str" cm="1">
        <f t="array" ref="CC40">_xlfn.IFS($D40="","",AND(CA40=$C40,CB40=$D40),3,($C40-$D40)/MAX(ABS($C40-$D40),1)=(CA40-CB40)/MAX(ABS(CA40-CB40),1),1,TRUE,0)</f>
        <v/>
      </c>
      <c r="CD40" s="18"/>
      <c r="CE40" s="19"/>
      <c r="CF40" s="33" t="str" cm="1">
        <f t="array" ref="CF40">_xlfn.IFS($D40="","",AND(CD40=$C40,CE40=$D40),3,($C40-$D40)/MAX(ABS($C40-$D40),1)=(CD40-CE40)/MAX(ABS(CD40-CE40),1),1,TRUE,0)</f>
        <v/>
      </c>
      <c r="CG40" s="18"/>
      <c r="CH40" s="19"/>
      <c r="CI40" s="33" t="str" cm="1">
        <f t="array" ref="CI40">_xlfn.IFS($D40="","",AND(CG40=$C40,CH40=$D40),3,($C40-$D40)/MAX(ABS($C40-$D40),1)=(CG40-CH40)/MAX(ABS(CG40-CH40),1),1,TRUE,0)</f>
        <v/>
      </c>
      <c r="CJ40" s="18"/>
      <c r="CK40" s="19"/>
      <c r="CL40" s="33" t="str" cm="1">
        <f t="array" ref="CL40">_xlfn.IFS($D40="","",AND(CJ40=$C40,CK40=$D40),3,($C40-$D40)/MAX(ABS($C40-$D40),1)=(CJ40-CK40)/MAX(ABS(CJ40-CK40),1),1,TRUE,0)</f>
        <v/>
      </c>
      <c r="CM40" s="18"/>
      <c r="CN40" s="19"/>
      <c r="CO40" s="33" t="str" cm="1">
        <f t="array" ref="CO40">_xlfn.IFS($D40="","",AND(CM40=$C40,CN40=$D40),3,($C40-$D40)/MAX(ABS($C40-$D40),1)=(CM40-CN40)/MAX(ABS(CM40-CN40),1),1,TRUE,0)</f>
        <v/>
      </c>
      <c r="CP40" s="18"/>
      <c r="CQ40" s="19"/>
      <c r="CR40" s="33" t="str" cm="1">
        <f t="array" ref="CR40">_xlfn.IFS($D40="","",AND(CP40=$C40,CQ40=$D40),3,($C40-$D40)/MAX(ABS($C40-$D40),1)=(CP40-CQ40)/MAX(ABS(CP40-CQ40),1),1,TRUE,0)</f>
        <v/>
      </c>
      <c r="CS40" s="18"/>
      <c r="CT40" s="19"/>
      <c r="CU40" s="33" t="str" cm="1">
        <f t="array" ref="CU40">_xlfn.IFS($D40="","",AND(CS40=$C40,CT40=$D40),3,($C40-$D40)/MAX(ABS($C40-$D40),1)=(CS40-CT40)/MAX(ABS(CS40-CT40),1),1,TRUE,0)</f>
        <v/>
      </c>
      <c r="CV40" s="18"/>
      <c r="CW40" s="19"/>
      <c r="CX40" s="33" t="str" cm="1">
        <f t="array" ref="CX40">_xlfn.IFS($D40="","",AND(CV40=$C40,CW40=$D40),3,($C40-$D40)/MAX(ABS($C40-$D40),1)=(CV40-CW40)/MAX(ABS(CV40-CW40),1),1,TRUE,0)</f>
        <v/>
      </c>
      <c r="CY40" s="18"/>
      <c r="CZ40" s="19"/>
      <c r="DA40" s="33" t="str" cm="1">
        <f t="array" ref="DA40">_xlfn.IFS($D40="","",AND(CY40=$C40,CZ40=$D40),3,($C40-$D40)/MAX(ABS($C40-$D40),1)=(CY40-CZ40)/MAX(ABS(CY40-CZ40),1),1,TRUE,0)</f>
        <v/>
      </c>
      <c r="DB40" s="37"/>
      <c r="DC40" s="38"/>
      <c r="DD40" s="33" t="str" cm="1">
        <f t="array" ref="DD40">_xlfn.IFS($D40="","",AND(DB40=$C40,DC40=$D40),3,($C40-$D40)/MAX(ABS($C40-$D40),1)=(DB40-DC40)/MAX(ABS(DB40-DC40),1),1,TRUE,0)</f>
        <v/>
      </c>
      <c r="DE40" s="18"/>
      <c r="DF40" s="19"/>
      <c r="DG40" s="33" t="str" cm="1">
        <f t="array" ref="DG40">_xlfn.IFS($D40="","",AND(DE40=$C40,DF40=$D40),3,($C40-$D40)/MAX(ABS($C40-$D40),1)=(DE40-DF40)/MAX(ABS(DE40-DF40),1),1,TRUE,0)</f>
        <v/>
      </c>
      <c r="DH40" s="18"/>
      <c r="DI40" s="19"/>
      <c r="DJ40" s="33" t="str" cm="1">
        <f t="array" ref="DJ40">_xlfn.IFS($D40="","",AND(DH40=$C40,DI40=$D40),3,($C40-$D40)/MAX(ABS($C40-$D40),1)=(DH40-DI40)/MAX(ABS(DH40-DI40),1),1,TRUE,0)</f>
        <v/>
      </c>
      <c r="DK40" s="18"/>
      <c r="DL40" s="19"/>
      <c r="DM40" s="33" t="str" cm="1">
        <f t="array" ref="DM40">_xlfn.IFS($D40="","",AND(DK40=$C40,DL40=$D40),3,($C40-$D40)/MAX(ABS($C40-$D40),1)=(DK40-DL40)/MAX(ABS(DK40-DL40),1),1,TRUE,0)</f>
        <v/>
      </c>
      <c r="DN40" s="18"/>
      <c r="DO40" s="19"/>
      <c r="DP40" s="33" t="str" cm="1">
        <f t="array" ref="DP40">_xlfn.IFS($D40="","",AND(DN40=$C40,DO40=$D40),3,($C40-$D40)/MAX(ABS($C40-$D40),1)=(DN40-DO40)/MAX(ABS(DN40-DO40),1),1,TRUE,0)</f>
        <v/>
      </c>
      <c r="DQ40" s="18"/>
      <c r="DR40" s="19"/>
      <c r="DS40" s="33" t="str" cm="1">
        <f t="array" ref="DS40">_xlfn.IFS($D40="","",AND(DQ40=$C40,DR40=$D40),3,($C40-$D40)/MAX(ABS($C40-$D40),1)=(DQ40-DR40)/MAX(ABS(DQ40-DR40),1),1,TRUE,0)</f>
        <v/>
      </c>
      <c r="DT40" s="18"/>
      <c r="DU40" s="19"/>
      <c r="DV40" s="33" t="str" cm="1">
        <f t="array" ref="DV40">_xlfn.IFS($D40="","",AND(DT40=$C40,DU40=$D40),3,($C40-$D40)/MAX(ABS($C40-$D40),1)=(DT40-DU40)/MAX(ABS(DT40-DU40),1),1,TRUE,0)</f>
        <v/>
      </c>
      <c r="DW40" s="18"/>
      <c r="DX40" s="19"/>
      <c r="DY40" s="33" t="str" cm="1">
        <f t="array" ref="DY40">_xlfn.IFS($D40="","",AND(DW40=$C40,DX40=$D40),3,($C40-$D40)/MAX(ABS($C40-$D40),1)=(DW40-DX40)/MAX(ABS(DW40-DX40),1),1,TRUE,0)</f>
        <v/>
      </c>
      <c r="DZ40" s="18"/>
      <c r="EA40" s="19"/>
      <c r="EB40" s="33" t="str" cm="1">
        <f t="array" ref="EB40">_xlfn.IFS($D40="","",AND(DZ40=$C40,EA40=$D40),3,($C40-$D40)/MAX(ABS($C40-$D40),1)=(DZ40-EA40)/MAX(ABS(DZ40-EA40),1),1,TRUE,0)</f>
        <v/>
      </c>
      <c r="EC40" s="18"/>
      <c r="ED40" s="19"/>
      <c r="EE40" s="33" t="str" cm="1">
        <f t="array" ref="EE40">_xlfn.IFS($D40="","",AND(EC40=$C40,ED40=$D40),3,($C40-$D40)/MAX(ABS($C40-$D40),1)=(EC40-ED40)/MAX(ABS(EC40-ED40),1),1,TRUE,0)</f>
        <v/>
      </c>
      <c r="EF40" s="18"/>
      <c r="EG40" s="19"/>
      <c r="EH40" s="33" t="str" cm="1">
        <f t="array" ref="EH40">_xlfn.IFS($D40="","",AND(EF40=$C40,EG40=$D40),3,($C40-$D40)/MAX(ABS($C40-$D40),1)=(EF40-EG40)/MAX(ABS(EF40-EG40),1),1,TRUE,0)</f>
        <v/>
      </c>
      <c r="EI40" s="50"/>
      <c r="EJ40" s="51"/>
      <c r="EK40" s="33" t="str" cm="1">
        <f t="array" ref="EK40">_xlfn.IFS($D40="","",AND(EI40=$C40,EJ40=$D40),3,($C40-$D40)/MAX(ABS($C40-$D40),1)=(EI40-EJ40)/MAX(ABS(EI40-EJ40),1),1,TRUE,0)</f>
        <v/>
      </c>
      <c r="EL40" s="18"/>
      <c r="EM40" s="19"/>
      <c r="EN40" s="33" t="str" cm="1">
        <f t="array" ref="EN40">_xlfn.IFS($D40="","",AND(EL40=$C40,EM40=$D40),3,($C40-$D40)/MAX(ABS($C40-$D40),1)=(EL40-EM40)/MAX(ABS(EL40-EM40),1),1,TRUE,0)</f>
        <v/>
      </c>
      <c r="EO40" s="18"/>
      <c r="EP40" s="19"/>
      <c r="EQ40" s="33" t="str" cm="1">
        <f t="array" ref="EQ40">_xlfn.IFS($D40="","",AND(EO40=$C40,EP40=$D40),3,($C40-$D40)/MAX(ABS($C40-$D40),1)=(EO40-EP40)/MAX(ABS(EO40-EP40),1),1,TRUE,0)</f>
        <v/>
      </c>
      <c r="ER40" s="18"/>
      <c r="ES40" s="19"/>
      <c r="ET40" s="33" t="str" cm="1">
        <f t="array" ref="ET40">_xlfn.IFS($D40="","",AND(ER40=$C40,ES40=$D40),3,($C40-$D40)/MAX(ABS($C40-$D40),1)=(ER40-ES40)/MAX(ABS(ER40-ES40),1),1,TRUE,0)</f>
        <v/>
      </c>
      <c r="EU40" s="18"/>
      <c r="EV40" s="19"/>
      <c r="EW40" s="33" t="str" cm="1">
        <f t="array" ref="EW40">_xlfn.IFS($D40="","",AND(EU40=$C40,EV40=$D40),3,($C40-$D40)/MAX(ABS($C40-$D40),1)=(EU40-EV40)/MAX(ABS(EU40-EV40),1),1,TRUE,0)</f>
        <v/>
      </c>
      <c r="EX40" s="18"/>
      <c r="EY40" s="19"/>
      <c r="EZ40" s="33" t="str" cm="1">
        <f t="array" ref="EZ40">_xlfn.IFS($D40="","",AND(EX40=$C40,EY40=$D40),3,($C40-$D40)/MAX(ABS($C40-$D40),1)=(EX40-EY40)/MAX(ABS(EX40-EY40),1),1,TRUE,0)</f>
        <v/>
      </c>
      <c r="FA40" s="18"/>
      <c r="FB40" s="19"/>
      <c r="FC40" s="33" t="str" cm="1">
        <f t="array" ref="FC40">_xlfn.IFS($D40="","",AND(FA40=$C40,FB40=$D40),3,($C40-$D40)/MAX(ABS($C40-$D40),1)=(FA40-FB40)/MAX(ABS(FA40-FB40),1),1,TRUE,0)</f>
        <v/>
      </c>
      <c r="FD40" s="18"/>
      <c r="FE40" s="19"/>
      <c r="FF40" s="33" t="str" cm="1">
        <f t="array" ref="FF40">_xlfn.IFS($D40="","",AND(FD40=$C40,FE40=$D40),3,($C40-$D40)/MAX(ABS($C40-$D40),1)=(FD40-FE40)/MAX(ABS(FD40-FE40),1),1,TRUE,0)</f>
        <v/>
      </c>
      <c r="FG40" s="18"/>
      <c r="FH40" s="19"/>
      <c r="FI40" s="33" t="str" cm="1">
        <f t="array" ref="FI40">_xlfn.IFS($D40="","",AND(FG40=$C40,FH40=$D40),3,($C40-$D40)/MAX(ABS($C40-$D40),1)=(FG40-FH40)/MAX(ABS(FG40-FH40),1),1,TRUE,0)</f>
        <v/>
      </c>
      <c r="FJ40" s="18"/>
      <c r="FK40" s="19"/>
      <c r="FL40" s="33" t="str" cm="1">
        <f t="array" ref="FL40">_xlfn.IFS($D40="","",AND(FJ40=$C40,FK40=$D40),3,($C40-$D40)/MAX(ABS($C40-$D40),1)=(FJ40-FK40)/MAX(ABS(FJ40-FK40),1),1,TRUE,0)</f>
        <v/>
      </c>
      <c r="FM40" s="18"/>
      <c r="FN40" s="19"/>
      <c r="FO40" s="33" t="str" cm="1">
        <f t="array" ref="FO40">_xlfn.IFS($D40="","",AND(FM40=$C40,FN40=$D40),3,($C40-$D40)/MAX(ABS($C40-$D40),1)=(FM40-FN40)/MAX(ABS(FM40-FN40),1),1,TRUE,0)</f>
        <v/>
      </c>
      <c r="FP40" s="18"/>
      <c r="FQ40" s="19"/>
      <c r="FR40" s="33" t="str" cm="1">
        <f t="array" ref="FR40">_xlfn.IFS($D40="","",AND(FP40=$C40,FQ40=$D40),3,($C40-$D40)/MAX(ABS($C40-$D40),1)=(FP40-FQ40)/MAX(ABS(FP40-FQ40),1),1,TRUE,0)</f>
        <v/>
      </c>
      <c r="FS40" s="18"/>
      <c r="FT40" s="19"/>
      <c r="FU40" s="33" t="str" cm="1">
        <f t="array" ref="FU40">_xlfn.IFS($D40="","",AND(FS40=$C40,FT40=$D40),3,($C40-$D40)/MAX(ABS($C40-$D40),1)=(FS40-FT40)/MAX(ABS(FS40-FT40),1),1,TRUE,0)</f>
        <v/>
      </c>
      <c r="FV40" s="18"/>
      <c r="FW40" s="19"/>
      <c r="FX40" s="33" t="str" cm="1">
        <f t="array" ref="FX40">_xlfn.IFS($D40="","",AND(FV40=$C40,FW40=$D40),3,($C40-$D40)/MAX(ABS($C40-$D40),1)=(FV40-FW40)/MAX(ABS(FV40-FW40),1),1,TRUE,0)</f>
        <v/>
      </c>
      <c r="FY40" s="18"/>
      <c r="FZ40" s="19"/>
      <c r="GA40" s="33" t="str" cm="1">
        <f t="array" ref="GA40">_xlfn.IFS($D40="","",AND(FY40=$C40,FZ40=$D40),3,($C40-$D40)/MAX(ABS($C40-$D40),1)=(FY40-FZ40)/MAX(ABS(FY40-FZ40),1),1,TRUE,0)</f>
        <v/>
      </c>
      <c r="GB40" s="18"/>
      <c r="GC40" s="19"/>
      <c r="GD40" s="33" t="str" cm="1">
        <f t="array" ref="GD40">_xlfn.IFS($D40="","",AND(GB40=$C40,GC40=$D40),3,($C40-$D40)/MAX(ABS($C40-$D40),1)=(GB40-GC40)/MAX(ABS(GB40-GC40),1),1,TRUE,0)</f>
        <v/>
      </c>
      <c r="GE40" s="52"/>
      <c r="GF40" s="19"/>
      <c r="GG40" s="33" t="str" cm="1">
        <f t="array" ref="GG40">_xlfn.IFS($D40="","",AND(GE40=$C40,GF40=$D40),3,($C40-$D40)/MAX(ABS($C40-$D40),1)=(GE40-GF40)/MAX(ABS(GE40-GF40),1),1,TRUE,0)</f>
        <v/>
      </c>
      <c r="GH40" s="18"/>
      <c r="GI40" s="19"/>
      <c r="GJ40" s="33" t="str" cm="1">
        <f t="array" ref="GJ40">_xlfn.IFS($D40="","",AND(GH40=$C40,GI40=$D40),3,($C40-$D40)/MAX(ABS($C40-$D40),1)=(GH40-GI40)/MAX(ABS(GH40-GI40),1),1,TRUE,0)</f>
        <v/>
      </c>
      <c r="GK40" s="18"/>
      <c r="GL40" s="19"/>
      <c r="GM40" s="33" t="str" cm="1">
        <f t="array" ref="GM40">_xlfn.IFS($D40="","",AND(GK40=$C40,GL40=$D40),3,($C40-$D40)/MAX(ABS($C40-$D40),1)=(GK40-GL40)/MAX(ABS(GK40-GL40),1),1,TRUE,0)</f>
        <v/>
      </c>
      <c r="GN40" s="18"/>
      <c r="GO40" s="19"/>
      <c r="GP40" s="33" t="str" cm="1">
        <f t="array" ref="GP40">_xlfn.IFS($D40="","",AND(GN40=$C40,GO40=$D40),3,($C40-$D40)/MAX(ABS($C40-$D40),1)=(GN40-GO40)/MAX(ABS(GN40-GO40),1),1,TRUE,0)</f>
        <v/>
      </c>
      <c r="GQ40" s="18"/>
      <c r="GR40" s="19"/>
      <c r="GS40" s="33" t="str" cm="1">
        <f t="array" ref="GS40">_xlfn.IFS($D40="","",AND(GQ40=$C40,GR40=$D40),3,($C40-$D40)/MAX(ABS($C40-$D40),1)=(GQ40-GR40)/MAX(ABS(GQ40-GR40),1),1,TRUE,0)</f>
        <v/>
      </c>
      <c r="GT40" s="18"/>
      <c r="GU40" s="19"/>
      <c r="GV40" s="33" t="str" cm="1">
        <f t="array" ref="GV40">_xlfn.IFS($D40="","",AND(GT40=$C40,GU40=$D40),3,($C40-$D40)/MAX(ABS($C40-$D40),1)=(GT40-GU40)/MAX(ABS(GT40-GU40),1),1,TRUE,0)</f>
        <v/>
      </c>
      <c r="GW40" s="18"/>
      <c r="GX40" s="19"/>
      <c r="GY40" s="33" t="str" cm="1">
        <f t="array" ref="GY40">_xlfn.IFS($D40="","",AND(GW40=$C40,GX40=$D40),3,($C40-$D40)/MAX(ABS($C40-$D40),1)=(GW40-GX40)/MAX(ABS(GW40-GX40),1),1,TRUE,0)</f>
        <v/>
      </c>
      <c r="GZ40" s="18"/>
      <c r="HA40" s="19"/>
      <c r="HB40" s="33" t="str" cm="1">
        <f t="array" ref="HB40">_xlfn.IFS($D40="","",AND(GZ40=$C40,HA40=$D40),3,($C40-$D40)/MAX(ABS($C40-$D40),1)=(GZ40-HA40)/MAX(ABS(GZ40-HA40),1),1,TRUE,0)</f>
        <v/>
      </c>
      <c r="HC40" s="18"/>
      <c r="HD40" s="19"/>
      <c r="HE40" s="33" t="str" cm="1">
        <f t="array" ref="HE40">_xlfn.IFS($D40="","",AND(HC40=$C40,HD40=$D40),3,($C40-$D40)/MAX(ABS($C40-$D40),1)=(HC40-HD40)/MAX(ABS(HC40-HD40),1),1,TRUE,0)</f>
        <v/>
      </c>
      <c r="HF40" s="18"/>
      <c r="HG40" s="19"/>
      <c r="HH40" s="33" t="str" cm="1">
        <f t="array" ref="HH40">_xlfn.IFS($D40="","",AND(HF40=$C40,HG40=$D40),3,($C40-$D40)/MAX(ABS($C40-$D40),1)=(HF40-HG40)/MAX(ABS(HF40-HG40),1),1,TRUE,0)</f>
        <v/>
      </c>
      <c r="HI40" s="18"/>
      <c r="HJ40" s="19"/>
      <c r="HK40" s="33" t="str" cm="1">
        <f t="array" ref="HK40">_xlfn.IFS($D40="","",AND(HI40=$C40,HJ40=$D40),3,($C40-$D40)/MAX(ABS($C40-$D40),1)=(HI40-HJ40)/MAX(ABS(HI40-HJ40),1),1,TRUE,0)</f>
        <v/>
      </c>
      <c r="HL40" s="18"/>
      <c r="HM40" s="19"/>
      <c r="HN40" s="33" t="str" cm="1">
        <f t="array" ref="HN40">_xlfn.IFS($D40="","",AND(HL40=$C40,HM40=$D40),3,($C40-$D40)/MAX(ABS($C40-$D40),1)=(HL40-HM40)/MAX(ABS(HL40-HM40),1),1,TRUE,0)</f>
        <v/>
      </c>
      <c r="HO40" s="18"/>
      <c r="HP40" s="19"/>
      <c r="HQ40" s="33" t="str" cm="1">
        <f t="array" ref="HQ40">_xlfn.IFS($D40="","",AND(HO40=$C40,HP40=$D40),3,($C40-$D40)/MAX(ABS($C40-$D40),1)=(HO40-HP40)/MAX(ABS(HO40-HP40),1),1,TRUE,0)</f>
        <v/>
      </c>
      <c r="HR40" s="18"/>
      <c r="HS40" s="19"/>
      <c r="HT40" s="33" t="str" cm="1">
        <f t="array" ref="HT40">_xlfn.IFS($D40="","",AND(HR40=$C40,HS40=$D40),3,($C40-$D40)/MAX(ABS($C40-$D40),1)=(HR40-HS40)/MAX(ABS(HR40-HS40),1),1,TRUE,0)</f>
        <v/>
      </c>
      <c r="HU40" s="18"/>
      <c r="HV40" s="19"/>
      <c r="HW40" s="33" t="str" cm="1">
        <f t="array" ref="HW40">_xlfn.IFS($D40="","",AND(HU40=$C40,HV40=$D40),3,($C40-$D40)/MAX(ABS($C40-$D40),1)=(HU40-HV40)/MAX(ABS(HU40-HV40),1),1,TRUE,0)</f>
        <v/>
      </c>
      <c r="HX40" s="18"/>
      <c r="HY40" s="19"/>
      <c r="HZ40" s="33" t="str" cm="1">
        <f t="array" ref="HZ40">_xlfn.IFS($D40="","",AND(HX40=$C40,HY40=$D40),3,($C40-$D40)/MAX(ABS($C40-$D40),1)=(HX40-HY40)/MAX(ABS(HX40-HY40),1),1,TRUE,0)</f>
        <v/>
      </c>
      <c r="IA40" s="18"/>
      <c r="IB40" s="19"/>
      <c r="IC40" s="33" t="str" cm="1">
        <f t="array" ref="IC40">_xlfn.IFS($D40="","",AND(IA40=$C40,IB40=$D40),3,($C40-$D40)/MAX(ABS($C40-$D40),1)=(IA40-IB40)/MAX(ABS(IA40-IB40),1),1,TRUE,0)</f>
        <v/>
      </c>
      <c r="ID40" s="18"/>
      <c r="IE40" s="19"/>
      <c r="IF40" s="33" t="str" cm="1">
        <f t="array" ref="IF40">_xlfn.IFS($D40="","",AND(ID40=$C40,IE40=$D40),3,($C40-$D40)/MAX(ABS($C40-$D40),1)=(ID40-IE40)/MAX(ABS(ID40-IE40),1),1,TRUE,0)</f>
        <v/>
      </c>
      <c r="IG40" s="18"/>
      <c r="IH40" s="19"/>
      <c r="II40" s="33" t="str" cm="1">
        <f t="array" ref="II40">_xlfn.IFS($D40="","",AND(IG40=$C40,IH40=$D40),3,($C40-$D40)/MAX(ABS($C40-$D40),1)=(IG40-IH40)/MAX(ABS(IG40-IH40),1),1,TRUE,0)</f>
        <v/>
      </c>
      <c r="IJ40" s="18"/>
      <c r="IK40" s="19"/>
      <c r="IL40" s="33" t="str" cm="1">
        <f t="array" ref="IL40">_xlfn.IFS($D40="","",AND(IJ40=$C40,IK40=$D40),3,($C40-$D40)/MAX(ABS($C40-$D40),1)=(IJ40-IK40)/MAX(ABS(IJ40-IK40),1),1,TRUE,0)</f>
        <v/>
      </c>
      <c r="IM40" s="18"/>
      <c r="IN40" s="19"/>
      <c r="IO40" s="33" t="str" cm="1">
        <f t="array" ref="IO40">_xlfn.IFS($D40="","",AND(IM40=$C40,IN40=$D40),3,($C40-$D40)/MAX(ABS($C40-$D40),1)=(IM40-IN40)/MAX(ABS(IM40-IN40),1),1,TRUE,0)</f>
        <v/>
      </c>
      <c r="IP40" s="18"/>
      <c r="IQ40" s="19"/>
      <c r="IR40" s="33" t="str" cm="1">
        <f t="array" ref="IR40">_xlfn.IFS($D40="","",AND(IP40=$C40,IQ40=$D40),3,($C40-$D40)/MAX(ABS($C40-$D40),1)=(IP40-IQ40)/MAX(ABS(IP40-IQ40),1),1,TRUE,0)</f>
        <v/>
      </c>
      <c r="IS40" s="18"/>
      <c r="IT40" s="19"/>
      <c r="IU40" s="33" t="str" cm="1">
        <f t="array" ref="IU40">_xlfn.IFS($D40="","",AND(IS40=$C40,IT40=$D40),3,($C40-$D40)/MAX(ABS($C40-$D40),1)=(IS40-IT40)/MAX(ABS(IS40-IT40),1),1,TRUE,0)</f>
        <v/>
      </c>
      <c r="IV40" s="18"/>
      <c r="IW40" s="19"/>
      <c r="IX40" s="33" t="str" cm="1">
        <f t="array" ref="IX40">_xlfn.IFS($D40="","",AND(IV40=$C40,IW40=$D40),3,($C40-$D40)/MAX(ABS($C40-$D40),1)=(IV40-IW40)/MAX(ABS(IV40-IW40),1),1,TRUE,0)</f>
        <v/>
      </c>
      <c r="IY40" s="18"/>
      <c r="IZ40" s="19"/>
      <c r="JA40" s="33" t="str" cm="1">
        <f t="array" ref="JA40">_xlfn.IFS($D40="","",AND(IY40=$C40,IZ40=$D40),3,($C40-$D40)/MAX(ABS($C40-$D40),1)=(IY40-IZ40)/MAX(ABS(IY40-IZ40),1),1,TRUE,0)</f>
        <v/>
      </c>
      <c r="JB40" s="18"/>
      <c r="JC40" s="19"/>
      <c r="JD40" s="33" t="str" cm="1">
        <f t="array" ref="JD40">_xlfn.IFS($D40="","",AND(JB40=$C40,JC40=$D40),3,($C40-$D40)/MAX(ABS($C40-$D40),1)=(JB40-JC40)/MAX(ABS(JB40-JC40),1),1,TRUE,0)</f>
        <v/>
      </c>
    </row>
    <row r="41" spans="1:264" ht="15" thickBot="1" x14ac:dyDescent="0.35">
      <c r="A41" s="22">
        <v>46195</v>
      </c>
      <c r="B41" s="28" t="s">
        <v>53</v>
      </c>
      <c r="C41" s="53" t="str" cm="1">
        <f t="array" ref="C41">_xlfn.LET(
_xlpm.x,_xlfn.XLOOKUP(1,(Scores_Fixtures[Date]=A41)*(Scores_Fixtures[Home.1]=B41),Scores_Fixtures[Score.1],""),
IF(_xlpm.x="","",_xlpm.x)
)</f>
        <v/>
      </c>
      <c r="D41" s="53" t="str" cm="1">
        <f t="array" ref="D41">_xlfn.LET(
_xlpm.x,_xlfn.XLOOKUP(1,(Scores_Fixtures[Date]=A41)*(Scores_Fixtures[Home.1]=B41),Scores_Fixtures[Score.2],""),
IF(_xlpm.x="","",_xlpm.x)
)</f>
        <v/>
      </c>
      <c r="E41" s="12" t="s">
        <v>66</v>
      </c>
      <c r="F41" s="15"/>
      <c r="G41" s="53"/>
      <c r="H41" s="53"/>
      <c r="I41" s="33" t="str" cm="1">
        <f t="array" ref="I41">_xlfn.IFS($D41="","",AND(G41=$C41,H41=$D41),3,($C41-$D41)/MAX(ABS($C41-$D41),1)=(G41-H41)/MAX(ABS(G41-H41),1),1,TRUE,0)</f>
        <v/>
      </c>
      <c r="J41" s="18"/>
      <c r="K41" s="19"/>
      <c r="L41" s="33" t="str" cm="1">
        <f t="array" ref="L41">_xlfn.IFS($D41="","",AND(J41=$C41,K41=$D41),3,($C41-$D41)/MAX(ABS($C41-$D41),1)=(J41-K41)/MAX(ABS(J41-K41),1),1,TRUE,0)</f>
        <v/>
      </c>
      <c r="M41" s="18"/>
      <c r="N41" s="19"/>
      <c r="O41" s="33" t="str" cm="1">
        <f t="array" ref="O41">_xlfn.IFS($D41="","",AND(M41=$C41,N41=$D41),3,($C41-$D41)/MAX(ABS($C41-$D41),1)=(M41-N41)/MAX(ABS(M41-N41),1),1,TRUE,0)</f>
        <v/>
      </c>
      <c r="P41" s="18"/>
      <c r="Q41" s="19"/>
      <c r="R41" s="33" t="str" cm="1">
        <f t="array" ref="R41">_xlfn.IFS($D41="","",AND(P41=$C41,Q41=$D41),3,($C41-$D41)/MAX(ABS($C41-$D41),1)=(P41-Q41)/MAX(ABS(P41-Q41),1),1,TRUE,0)</f>
        <v/>
      </c>
      <c r="S41" s="18"/>
      <c r="T41" s="19"/>
      <c r="U41" s="33" t="str" cm="1">
        <f t="array" ref="U41">_xlfn.IFS($D41="","",AND(S41=$C41,T41=$D41),3,($C41-$D41)/MAX(ABS($C41-$D41),1)=(S41-T41)/MAX(ABS(S41-T41),1),1,TRUE,0)</f>
        <v/>
      </c>
      <c r="V41" s="18"/>
      <c r="W41" s="19"/>
      <c r="X41" s="33" t="str" cm="1">
        <f t="array" ref="X41">_xlfn.IFS($D41="","",AND(V41=$C41,W41=$D41),3,($C41-$D41)/MAX(ABS($C41-$D41),1)=(V41-W41)/MAX(ABS(V41-W41),1),1,TRUE,0)</f>
        <v/>
      </c>
      <c r="Y41" s="18"/>
      <c r="Z41" s="19"/>
      <c r="AA41" s="33" t="str" cm="1">
        <f t="array" ref="AA41">_xlfn.IFS($D41="","",AND(Y41=$C41,Z41=$D41),3,($C41-$D41)/MAX(ABS($C41-$D41),1)=(Y41-Z41)/MAX(ABS(Y41-Z41),1),1,TRUE,0)</f>
        <v/>
      </c>
      <c r="AB41" s="18"/>
      <c r="AC41" s="19"/>
      <c r="AD41" s="33" t="str" cm="1">
        <f t="array" ref="AD41">_xlfn.IFS($D41="","",AND(AB41=$C41,AC41=$D41),3,($C41-$D41)/MAX(ABS($C41-$D41),1)=(AB41-AC41)/MAX(ABS(AB41-AC41),1),1,TRUE,0)</f>
        <v/>
      </c>
      <c r="AE41" s="18"/>
      <c r="AF41" s="19"/>
      <c r="AG41" s="33" t="str" cm="1">
        <f t="array" ref="AG41">_xlfn.IFS($D41="","",AND(AE41=$C41,AF41=$D41),3,($C41-$D41)/MAX(ABS($C41-$D41),1)=(AE41-AF41)/MAX(ABS(AE41-AF41),1),1,TRUE,0)</f>
        <v/>
      </c>
      <c r="AH41" s="18"/>
      <c r="AI41" s="19"/>
      <c r="AJ41" s="33" t="str" cm="1">
        <f t="array" ref="AJ41">_xlfn.IFS($D41="","",AND(AH41=$C41,AI41=$D41),3,($C41-$D41)/MAX(ABS($C41-$D41),1)=(AH41-AI41)/MAX(ABS(AH41-AI41),1),1,TRUE,0)</f>
        <v/>
      </c>
      <c r="AK41" s="18"/>
      <c r="AL41" s="19"/>
      <c r="AM41" s="33" t="str" cm="1">
        <f t="array" ref="AM41">_xlfn.IFS($D41="","",AND(AK41=$C41,AL41=$D41),3,($C41-$D41)/MAX(ABS($C41-$D41),1)=(AK41-AL41)/MAX(ABS(AK41-AL41),1),1,TRUE,0)</f>
        <v/>
      </c>
      <c r="AN41" s="18"/>
      <c r="AO41" s="19"/>
      <c r="AP41" s="33" t="str" cm="1">
        <f t="array" ref="AP41">_xlfn.IFS($D41="","",AND(AN41=$C41,AO41=$D41),3,($C41-$D41)/MAX(ABS($C41-$D41),1)=(AN41-AO41)/MAX(ABS(AN41-AO41),1),1,TRUE,0)</f>
        <v/>
      </c>
      <c r="AQ41" s="18"/>
      <c r="AR41" s="19"/>
      <c r="AS41" s="33" t="str" cm="1">
        <f t="array" ref="AS41">_xlfn.IFS($D41="","",AND(AQ41=$C41,AR41=$D41),3,($C41-$D41)/MAX(ABS($C41-$D41),1)=(AQ41-AR41)/MAX(ABS(AQ41-AR41),1),1,TRUE,0)</f>
        <v/>
      </c>
      <c r="AT41" s="18"/>
      <c r="AU41" s="19"/>
      <c r="AV41" s="33" t="str" cm="1">
        <f t="array" ref="AV41">_xlfn.IFS($D41="","",AND(AT41=$C41,AU41=$D41),3,($C41-$D41)/MAX(ABS($C41-$D41),1)=(AT41-AU41)/MAX(ABS(AT41-AU41),1),1,TRUE,0)</f>
        <v/>
      </c>
      <c r="AW41" s="18"/>
      <c r="AX41" s="19"/>
      <c r="AY41" s="33" t="str" cm="1">
        <f t="array" ref="AY41">_xlfn.IFS($D41="","",AND(AW41=$C41,AX41=$D41),3,($C41-$D41)/MAX(ABS($C41-$D41),1)=(AW41-AX41)/MAX(ABS(AW41-AX41),1),1,TRUE,0)</f>
        <v/>
      </c>
      <c r="AZ41" s="18"/>
      <c r="BA41" s="19"/>
      <c r="BB41" s="33" t="str" cm="1">
        <f t="array" ref="BB41">_xlfn.IFS($D41="","",AND(AZ41=$C41,BA41=$D41),3,($C41-$D41)/MAX(ABS($C41-$D41),1)=(AZ41-BA41)/MAX(ABS(AZ41-BA41),1),1,TRUE,0)</f>
        <v/>
      </c>
      <c r="BC41" s="18"/>
      <c r="BD41" s="19"/>
      <c r="BE41" s="33" t="str" cm="1">
        <f t="array" ref="BE41">_xlfn.IFS($D41="","",AND(BC41=$C41,BD41=$D41),3,($C41-$D41)/MAX(ABS($C41-$D41),1)=(BC41-BD41)/MAX(ABS(BC41-BD41),1),1,TRUE,0)</f>
        <v/>
      </c>
      <c r="BF41" s="18"/>
      <c r="BG41" s="19"/>
      <c r="BH41" s="33" t="str" cm="1">
        <f t="array" ref="BH41">_xlfn.IFS($D41="","",AND(BF41=$C41,BG41=$D41),3,($C41-$D41)/MAX(ABS($C41-$D41),1)=(BF41-BG41)/MAX(ABS(BF41-BG41),1),1,TRUE,0)</f>
        <v/>
      </c>
      <c r="BI41" s="18"/>
      <c r="BJ41" s="19"/>
      <c r="BK41" s="33" t="str" cm="1">
        <f t="array" ref="BK41">_xlfn.IFS($D41="","",AND(BI41=$C41,BJ41=$D41),3,($C41-$D41)/MAX(ABS($C41-$D41),1)=(BI41-BJ41)/MAX(ABS(BI41-BJ41),1),1,TRUE,0)</f>
        <v/>
      </c>
      <c r="BL41" s="18"/>
      <c r="BM41" s="19"/>
      <c r="BN41" s="33" t="str" cm="1">
        <f t="array" ref="BN41">_xlfn.IFS($D41="","",AND(BL41=$C41,BM41=$D41),3,($C41-$D41)/MAX(ABS($C41-$D41),1)=(BL41-BM41)/MAX(ABS(BL41-BM41),1),1,TRUE,0)</f>
        <v/>
      </c>
      <c r="BO41" s="18"/>
      <c r="BP41" s="19"/>
      <c r="BQ41" s="33" t="str" cm="1">
        <f t="array" ref="BQ41">_xlfn.IFS($D41="","",AND(BO41=$C41,BP41=$D41),3,($C41-$D41)/MAX(ABS($C41-$D41),1)=(BO41-BP41)/MAX(ABS(BO41-BP41),1),1,TRUE,0)</f>
        <v/>
      </c>
      <c r="BR41" s="18"/>
      <c r="BS41" s="19"/>
      <c r="BT41" s="33" t="str" cm="1">
        <f t="array" ref="BT41">_xlfn.IFS($D41="","",AND(BR41=$C41,BS41=$D41),3,($C41-$D41)/MAX(ABS($C41-$D41),1)=(BR41-BS41)/MAX(ABS(BR41-BS41),1),1,TRUE,0)</f>
        <v/>
      </c>
      <c r="BU41" s="18"/>
      <c r="BV41" s="19"/>
      <c r="BW41" s="33" t="str" cm="1">
        <f t="array" ref="BW41">_xlfn.IFS($D41="","",AND(BU41=$C41,BV41=$D41),3,($C41-$D41)/MAX(ABS($C41-$D41),1)=(BU41-BV41)/MAX(ABS(BU41-BV41),1),1,TRUE,0)</f>
        <v/>
      </c>
      <c r="BX41" s="18"/>
      <c r="BY41" s="19"/>
      <c r="BZ41" s="33" t="str" cm="1">
        <f t="array" ref="BZ41">_xlfn.IFS($D41="","",AND(BX41=$C41,BY41=$D41),3,($C41-$D41)/MAX(ABS($C41-$D41),1)=(BX41-BY41)/MAX(ABS(BX41-BY41),1),1,TRUE,0)</f>
        <v/>
      </c>
      <c r="CA41" s="18"/>
      <c r="CB41" s="19"/>
      <c r="CC41" s="33" t="str" cm="1">
        <f t="array" ref="CC41">_xlfn.IFS($D41="","",AND(CA41=$C41,CB41=$D41),3,($C41-$D41)/MAX(ABS($C41-$D41),1)=(CA41-CB41)/MAX(ABS(CA41-CB41),1),1,TRUE,0)</f>
        <v/>
      </c>
      <c r="CD41" s="18"/>
      <c r="CE41" s="19"/>
      <c r="CF41" s="33" t="str" cm="1">
        <f t="array" ref="CF41">_xlfn.IFS($D41="","",AND(CD41=$C41,CE41=$D41),3,($C41-$D41)/MAX(ABS($C41-$D41),1)=(CD41-CE41)/MAX(ABS(CD41-CE41),1),1,TRUE,0)</f>
        <v/>
      </c>
      <c r="CG41" s="18"/>
      <c r="CH41" s="19"/>
      <c r="CI41" s="33" t="str" cm="1">
        <f t="array" ref="CI41">_xlfn.IFS($D41="","",AND(CG41=$C41,CH41=$D41),3,($C41-$D41)/MAX(ABS($C41-$D41),1)=(CG41-CH41)/MAX(ABS(CG41-CH41),1),1,TRUE,0)</f>
        <v/>
      </c>
      <c r="CJ41" s="18"/>
      <c r="CK41" s="19"/>
      <c r="CL41" s="33" t="str" cm="1">
        <f t="array" ref="CL41">_xlfn.IFS($D41="","",AND(CJ41=$C41,CK41=$D41),3,($C41-$D41)/MAX(ABS($C41-$D41),1)=(CJ41-CK41)/MAX(ABS(CJ41-CK41),1),1,TRUE,0)</f>
        <v/>
      </c>
      <c r="CM41" s="18"/>
      <c r="CN41" s="19"/>
      <c r="CO41" s="33" t="str" cm="1">
        <f t="array" ref="CO41">_xlfn.IFS($D41="","",AND(CM41=$C41,CN41=$D41),3,($C41-$D41)/MAX(ABS($C41-$D41),1)=(CM41-CN41)/MAX(ABS(CM41-CN41),1),1,TRUE,0)</f>
        <v/>
      </c>
      <c r="CP41" s="18"/>
      <c r="CQ41" s="19"/>
      <c r="CR41" s="33" t="str" cm="1">
        <f t="array" ref="CR41">_xlfn.IFS($D41="","",AND(CP41=$C41,CQ41=$D41),3,($C41-$D41)/MAX(ABS($C41-$D41),1)=(CP41-CQ41)/MAX(ABS(CP41-CQ41),1),1,TRUE,0)</f>
        <v/>
      </c>
      <c r="CS41" s="18"/>
      <c r="CT41" s="19"/>
      <c r="CU41" s="33" t="str" cm="1">
        <f t="array" ref="CU41">_xlfn.IFS($D41="","",AND(CS41=$C41,CT41=$D41),3,($C41-$D41)/MAX(ABS($C41-$D41),1)=(CS41-CT41)/MAX(ABS(CS41-CT41),1),1,TRUE,0)</f>
        <v/>
      </c>
      <c r="CV41" s="18"/>
      <c r="CW41" s="19"/>
      <c r="CX41" s="33" t="str" cm="1">
        <f t="array" ref="CX41">_xlfn.IFS($D41="","",AND(CV41=$C41,CW41=$D41),3,($C41-$D41)/MAX(ABS($C41-$D41),1)=(CV41-CW41)/MAX(ABS(CV41-CW41),1),1,TRUE,0)</f>
        <v/>
      </c>
      <c r="CY41" s="18"/>
      <c r="CZ41" s="19"/>
      <c r="DA41" s="33" t="str" cm="1">
        <f t="array" ref="DA41">_xlfn.IFS($D41="","",AND(CY41=$C41,CZ41=$D41),3,($C41-$D41)/MAX(ABS($C41-$D41),1)=(CY41-CZ41)/MAX(ABS(CY41-CZ41),1),1,TRUE,0)</f>
        <v/>
      </c>
      <c r="DB41" s="37"/>
      <c r="DC41" s="38"/>
      <c r="DD41" s="33" t="str" cm="1">
        <f t="array" ref="DD41">_xlfn.IFS($D41="","",AND(DB41=$C41,DC41=$D41),3,($C41-$D41)/MAX(ABS($C41-$D41),1)=(DB41-DC41)/MAX(ABS(DB41-DC41),1),1,TRUE,0)</f>
        <v/>
      </c>
      <c r="DE41" s="18"/>
      <c r="DF41" s="19"/>
      <c r="DG41" s="33" t="str" cm="1">
        <f t="array" ref="DG41">_xlfn.IFS($D41="","",AND(DE41=$C41,DF41=$D41),3,($C41-$D41)/MAX(ABS($C41-$D41),1)=(DE41-DF41)/MAX(ABS(DE41-DF41),1),1,TRUE,0)</f>
        <v/>
      </c>
      <c r="DH41" s="18"/>
      <c r="DI41" s="19"/>
      <c r="DJ41" s="33" t="str" cm="1">
        <f t="array" ref="DJ41">_xlfn.IFS($D41="","",AND(DH41=$C41,DI41=$D41),3,($C41-$D41)/MAX(ABS($C41-$D41),1)=(DH41-DI41)/MAX(ABS(DH41-DI41),1),1,TRUE,0)</f>
        <v/>
      </c>
      <c r="DK41" s="18"/>
      <c r="DL41" s="19"/>
      <c r="DM41" s="33" t="str" cm="1">
        <f t="array" ref="DM41">_xlfn.IFS($D41="","",AND(DK41=$C41,DL41=$D41),3,($C41-$D41)/MAX(ABS($C41-$D41),1)=(DK41-DL41)/MAX(ABS(DK41-DL41),1),1,TRUE,0)</f>
        <v/>
      </c>
      <c r="DN41" s="18"/>
      <c r="DO41" s="19"/>
      <c r="DP41" s="33" t="str" cm="1">
        <f t="array" ref="DP41">_xlfn.IFS($D41="","",AND(DN41=$C41,DO41=$D41),3,($C41-$D41)/MAX(ABS($C41-$D41),1)=(DN41-DO41)/MAX(ABS(DN41-DO41),1),1,TRUE,0)</f>
        <v/>
      </c>
      <c r="DQ41" s="18"/>
      <c r="DR41" s="19"/>
      <c r="DS41" s="33" t="str" cm="1">
        <f t="array" ref="DS41">_xlfn.IFS($D41="","",AND(DQ41=$C41,DR41=$D41),3,($C41-$D41)/MAX(ABS($C41-$D41),1)=(DQ41-DR41)/MAX(ABS(DQ41-DR41),1),1,TRUE,0)</f>
        <v/>
      </c>
      <c r="DT41" s="18"/>
      <c r="DU41" s="19"/>
      <c r="DV41" s="33" t="str" cm="1">
        <f t="array" ref="DV41">_xlfn.IFS($D41="","",AND(DT41=$C41,DU41=$D41),3,($C41-$D41)/MAX(ABS($C41-$D41),1)=(DT41-DU41)/MAX(ABS(DT41-DU41),1),1,TRUE,0)</f>
        <v/>
      </c>
      <c r="DW41" s="18"/>
      <c r="DX41" s="19"/>
      <c r="DY41" s="33" t="str" cm="1">
        <f t="array" ref="DY41">_xlfn.IFS($D41="","",AND(DW41=$C41,DX41=$D41),3,($C41-$D41)/MAX(ABS($C41-$D41),1)=(DW41-DX41)/MAX(ABS(DW41-DX41),1),1,TRUE,0)</f>
        <v/>
      </c>
      <c r="DZ41" s="18"/>
      <c r="EA41" s="19"/>
      <c r="EB41" s="33" t="str" cm="1">
        <f t="array" ref="EB41">_xlfn.IFS($D41="","",AND(DZ41=$C41,EA41=$D41),3,($C41-$D41)/MAX(ABS($C41-$D41),1)=(DZ41-EA41)/MAX(ABS(DZ41-EA41),1),1,TRUE,0)</f>
        <v/>
      </c>
      <c r="EC41" s="18"/>
      <c r="ED41" s="19"/>
      <c r="EE41" s="33" t="str" cm="1">
        <f t="array" ref="EE41">_xlfn.IFS($D41="","",AND(EC41=$C41,ED41=$D41),3,($C41-$D41)/MAX(ABS($C41-$D41),1)=(EC41-ED41)/MAX(ABS(EC41-ED41),1),1,TRUE,0)</f>
        <v/>
      </c>
      <c r="EF41" s="18"/>
      <c r="EG41" s="19"/>
      <c r="EH41" s="33" t="str" cm="1">
        <f t="array" ref="EH41">_xlfn.IFS($D41="","",AND(EF41=$C41,EG41=$D41),3,($C41-$D41)/MAX(ABS($C41-$D41),1)=(EF41-EG41)/MAX(ABS(EF41-EG41),1),1,TRUE,0)</f>
        <v/>
      </c>
      <c r="EI41" s="50"/>
      <c r="EJ41" s="51"/>
      <c r="EK41" s="33" t="str" cm="1">
        <f t="array" ref="EK41">_xlfn.IFS($D41="","",AND(EI41=$C41,EJ41=$D41),3,($C41-$D41)/MAX(ABS($C41-$D41),1)=(EI41-EJ41)/MAX(ABS(EI41-EJ41),1),1,TRUE,0)</f>
        <v/>
      </c>
      <c r="EL41" s="18"/>
      <c r="EM41" s="19"/>
      <c r="EN41" s="33" t="str" cm="1">
        <f t="array" ref="EN41">_xlfn.IFS($D41="","",AND(EL41=$C41,EM41=$D41),3,($C41-$D41)/MAX(ABS($C41-$D41),1)=(EL41-EM41)/MAX(ABS(EL41-EM41),1),1,TRUE,0)</f>
        <v/>
      </c>
      <c r="EO41" s="18"/>
      <c r="EP41" s="19"/>
      <c r="EQ41" s="33" t="str" cm="1">
        <f t="array" ref="EQ41">_xlfn.IFS($D41="","",AND(EO41=$C41,EP41=$D41),3,($C41-$D41)/MAX(ABS($C41-$D41),1)=(EO41-EP41)/MAX(ABS(EO41-EP41),1),1,TRUE,0)</f>
        <v/>
      </c>
      <c r="ER41" s="18"/>
      <c r="ES41" s="19"/>
      <c r="ET41" s="33" t="str" cm="1">
        <f t="array" ref="ET41">_xlfn.IFS($D41="","",AND(ER41=$C41,ES41=$D41),3,($C41-$D41)/MAX(ABS($C41-$D41),1)=(ER41-ES41)/MAX(ABS(ER41-ES41),1),1,TRUE,0)</f>
        <v/>
      </c>
      <c r="EU41" s="18"/>
      <c r="EV41" s="19"/>
      <c r="EW41" s="33" t="str" cm="1">
        <f t="array" ref="EW41">_xlfn.IFS($D41="","",AND(EU41=$C41,EV41=$D41),3,($C41-$D41)/MAX(ABS($C41-$D41),1)=(EU41-EV41)/MAX(ABS(EU41-EV41),1),1,TRUE,0)</f>
        <v/>
      </c>
      <c r="EX41" s="18"/>
      <c r="EY41" s="19"/>
      <c r="EZ41" s="33" t="str" cm="1">
        <f t="array" ref="EZ41">_xlfn.IFS($D41="","",AND(EX41=$C41,EY41=$D41),3,($C41-$D41)/MAX(ABS($C41-$D41),1)=(EX41-EY41)/MAX(ABS(EX41-EY41),1),1,TRUE,0)</f>
        <v/>
      </c>
      <c r="FA41" s="18"/>
      <c r="FB41" s="19"/>
      <c r="FC41" s="33" t="str" cm="1">
        <f t="array" ref="FC41">_xlfn.IFS($D41="","",AND(FA41=$C41,FB41=$D41),3,($C41-$D41)/MAX(ABS($C41-$D41),1)=(FA41-FB41)/MAX(ABS(FA41-FB41),1),1,TRUE,0)</f>
        <v/>
      </c>
      <c r="FD41" s="18"/>
      <c r="FE41" s="19"/>
      <c r="FF41" s="33" t="str" cm="1">
        <f t="array" ref="FF41">_xlfn.IFS($D41="","",AND(FD41=$C41,FE41=$D41),3,($C41-$D41)/MAX(ABS($C41-$D41),1)=(FD41-FE41)/MAX(ABS(FD41-FE41),1),1,TRUE,0)</f>
        <v/>
      </c>
      <c r="FG41" s="18"/>
      <c r="FH41" s="19"/>
      <c r="FI41" s="33" t="str" cm="1">
        <f t="array" ref="FI41">_xlfn.IFS($D41="","",AND(FG41=$C41,FH41=$D41),3,($C41-$D41)/MAX(ABS($C41-$D41),1)=(FG41-FH41)/MAX(ABS(FG41-FH41),1),1,TRUE,0)</f>
        <v/>
      </c>
      <c r="FJ41" s="18"/>
      <c r="FK41" s="19"/>
      <c r="FL41" s="33" t="str" cm="1">
        <f t="array" ref="FL41">_xlfn.IFS($D41="","",AND(FJ41=$C41,FK41=$D41),3,($C41-$D41)/MAX(ABS($C41-$D41),1)=(FJ41-FK41)/MAX(ABS(FJ41-FK41),1),1,TRUE,0)</f>
        <v/>
      </c>
      <c r="FM41" s="18"/>
      <c r="FN41" s="19"/>
      <c r="FO41" s="33" t="str" cm="1">
        <f t="array" ref="FO41">_xlfn.IFS($D41="","",AND(FM41=$C41,FN41=$D41),3,($C41-$D41)/MAX(ABS($C41-$D41),1)=(FM41-FN41)/MAX(ABS(FM41-FN41),1),1,TRUE,0)</f>
        <v/>
      </c>
      <c r="FP41" s="18"/>
      <c r="FQ41" s="19"/>
      <c r="FR41" s="33" t="str" cm="1">
        <f t="array" ref="FR41">_xlfn.IFS($D41="","",AND(FP41=$C41,FQ41=$D41),3,($C41-$D41)/MAX(ABS($C41-$D41),1)=(FP41-FQ41)/MAX(ABS(FP41-FQ41),1),1,TRUE,0)</f>
        <v/>
      </c>
      <c r="FS41" s="18"/>
      <c r="FT41" s="19"/>
      <c r="FU41" s="33" t="str" cm="1">
        <f t="array" ref="FU41">_xlfn.IFS($D41="","",AND(FS41=$C41,FT41=$D41),3,($C41-$D41)/MAX(ABS($C41-$D41),1)=(FS41-FT41)/MAX(ABS(FS41-FT41),1),1,TRUE,0)</f>
        <v/>
      </c>
      <c r="FV41" s="18"/>
      <c r="FW41" s="19"/>
      <c r="FX41" s="33" t="str" cm="1">
        <f t="array" ref="FX41">_xlfn.IFS($D41="","",AND(FV41=$C41,FW41=$D41),3,($C41-$D41)/MAX(ABS($C41-$D41),1)=(FV41-FW41)/MAX(ABS(FV41-FW41),1),1,TRUE,0)</f>
        <v/>
      </c>
      <c r="FY41" s="18"/>
      <c r="FZ41" s="19"/>
      <c r="GA41" s="33" t="str" cm="1">
        <f t="array" ref="GA41">_xlfn.IFS($D41="","",AND(FY41=$C41,FZ41=$D41),3,($C41-$D41)/MAX(ABS($C41-$D41),1)=(FY41-FZ41)/MAX(ABS(FY41-FZ41),1),1,TRUE,0)</f>
        <v/>
      </c>
      <c r="GB41" s="18"/>
      <c r="GC41" s="19"/>
      <c r="GD41" s="33" t="str" cm="1">
        <f t="array" ref="GD41">_xlfn.IFS($D41="","",AND(GB41=$C41,GC41=$D41),3,($C41-$D41)/MAX(ABS($C41-$D41),1)=(GB41-GC41)/MAX(ABS(GB41-GC41),1),1,TRUE,0)</f>
        <v/>
      </c>
      <c r="GE41" s="52"/>
      <c r="GF41" s="19"/>
      <c r="GG41" s="33" t="str" cm="1">
        <f t="array" ref="GG41">_xlfn.IFS($D41="","",AND(GE41=$C41,GF41=$D41),3,($C41-$D41)/MAX(ABS($C41-$D41),1)=(GE41-GF41)/MAX(ABS(GE41-GF41),1),1,TRUE,0)</f>
        <v/>
      </c>
      <c r="GH41" s="18"/>
      <c r="GI41" s="19"/>
      <c r="GJ41" s="33" t="str" cm="1">
        <f t="array" ref="GJ41">_xlfn.IFS($D41="","",AND(GH41=$C41,GI41=$D41),3,($C41-$D41)/MAX(ABS($C41-$D41),1)=(GH41-GI41)/MAX(ABS(GH41-GI41),1),1,TRUE,0)</f>
        <v/>
      </c>
      <c r="GK41" s="18"/>
      <c r="GL41" s="19"/>
      <c r="GM41" s="33" t="str" cm="1">
        <f t="array" ref="GM41">_xlfn.IFS($D41="","",AND(GK41=$C41,GL41=$D41),3,($C41-$D41)/MAX(ABS($C41-$D41),1)=(GK41-GL41)/MAX(ABS(GK41-GL41),1),1,TRUE,0)</f>
        <v/>
      </c>
      <c r="GN41" s="18"/>
      <c r="GO41" s="19"/>
      <c r="GP41" s="33" t="str" cm="1">
        <f t="array" ref="GP41">_xlfn.IFS($D41="","",AND(GN41=$C41,GO41=$D41),3,($C41-$D41)/MAX(ABS($C41-$D41),1)=(GN41-GO41)/MAX(ABS(GN41-GO41),1),1,TRUE,0)</f>
        <v/>
      </c>
      <c r="GQ41" s="18"/>
      <c r="GR41" s="19"/>
      <c r="GS41" s="33" t="str" cm="1">
        <f t="array" ref="GS41">_xlfn.IFS($D41="","",AND(GQ41=$C41,GR41=$D41),3,($C41-$D41)/MAX(ABS($C41-$D41),1)=(GQ41-GR41)/MAX(ABS(GQ41-GR41),1),1,TRUE,0)</f>
        <v/>
      </c>
      <c r="GT41" s="18"/>
      <c r="GU41" s="19"/>
      <c r="GV41" s="33" t="str" cm="1">
        <f t="array" ref="GV41">_xlfn.IFS($D41="","",AND(GT41=$C41,GU41=$D41),3,($C41-$D41)/MAX(ABS($C41-$D41),1)=(GT41-GU41)/MAX(ABS(GT41-GU41),1),1,TRUE,0)</f>
        <v/>
      </c>
      <c r="GW41" s="18"/>
      <c r="GX41" s="19"/>
      <c r="GY41" s="33" t="str" cm="1">
        <f t="array" ref="GY41">_xlfn.IFS($D41="","",AND(GW41=$C41,GX41=$D41),3,($C41-$D41)/MAX(ABS($C41-$D41),1)=(GW41-GX41)/MAX(ABS(GW41-GX41),1),1,TRUE,0)</f>
        <v/>
      </c>
      <c r="GZ41" s="18"/>
      <c r="HA41" s="19"/>
      <c r="HB41" s="33" t="str" cm="1">
        <f t="array" ref="HB41">_xlfn.IFS($D41="","",AND(GZ41=$C41,HA41=$D41),3,($C41-$D41)/MAX(ABS($C41-$D41),1)=(GZ41-HA41)/MAX(ABS(GZ41-HA41),1),1,TRUE,0)</f>
        <v/>
      </c>
      <c r="HC41" s="18"/>
      <c r="HD41" s="19"/>
      <c r="HE41" s="33" t="str" cm="1">
        <f t="array" ref="HE41">_xlfn.IFS($D41="","",AND(HC41=$C41,HD41=$D41),3,($C41-$D41)/MAX(ABS($C41-$D41),1)=(HC41-HD41)/MAX(ABS(HC41-HD41),1),1,TRUE,0)</f>
        <v/>
      </c>
      <c r="HF41" s="18"/>
      <c r="HG41" s="19"/>
      <c r="HH41" s="33" t="str" cm="1">
        <f t="array" ref="HH41">_xlfn.IFS($D41="","",AND(HF41=$C41,HG41=$D41),3,($C41-$D41)/MAX(ABS($C41-$D41),1)=(HF41-HG41)/MAX(ABS(HF41-HG41),1),1,TRUE,0)</f>
        <v/>
      </c>
      <c r="HI41" s="18"/>
      <c r="HJ41" s="19"/>
      <c r="HK41" s="33" t="str" cm="1">
        <f t="array" ref="HK41">_xlfn.IFS($D41="","",AND(HI41=$C41,HJ41=$D41),3,($C41-$D41)/MAX(ABS($C41-$D41),1)=(HI41-HJ41)/MAX(ABS(HI41-HJ41),1),1,TRUE,0)</f>
        <v/>
      </c>
      <c r="HL41" s="18"/>
      <c r="HM41" s="19"/>
      <c r="HN41" s="33" t="str" cm="1">
        <f t="array" ref="HN41">_xlfn.IFS($D41="","",AND(HL41=$C41,HM41=$D41),3,($C41-$D41)/MAX(ABS($C41-$D41),1)=(HL41-HM41)/MAX(ABS(HL41-HM41),1),1,TRUE,0)</f>
        <v/>
      </c>
      <c r="HO41" s="18"/>
      <c r="HP41" s="19"/>
      <c r="HQ41" s="33" t="str" cm="1">
        <f t="array" ref="HQ41">_xlfn.IFS($D41="","",AND(HO41=$C41,HP41=$D41),3,($C41-$D41)/MAX(ABS($C41-$D41),1)=(HO41-HP41)/MAX(ABS(HO41-HP41),1),1,TRUE,0)</f>
        <v/>
      </c>
      <c r="HR41" s="18"/>
      <c r="HS41" s="19"/>
      <c r="HT41" s="33" t="str" cm="1">
        <f t="array" ref="HT41">_xlfn.IFS($D41="","",AND(HR41=$C41,HS41=$D41),3,($C41-$D41)/MAX(ABS($C41-$D41),1)=(HR41-HS41)/MAX(ABS(HR41-HS41),1),1,TRUE,0)</f>
        <v/>
      </c>
      <c r="HU41" s="18"/>
      <c r="HV41" s="19"/>
      <c r="HW41" s="33" t="str" cm="1">
        <f t="array" ref="HW41">_xlfn.IFS($D41="","",AND(HU41=$C41,HV41=$D41),3,($C41-$D41)/MAX(ABS($C41-$D41),1)=(HU41-HV41)/MAX(ABS(HU41-HV41),1),1,TRUE,0)</f>
        <v/>
      </c>
      <c r="HX41" s="18"/>
      <c r="HY41" s="19"/>
      <c r="HZ41" s="33" t="str" cm="1">
        <f t="array" ref="HZ41">_xlfn.IFS($D41="","",AND(HX41=$C41,HY41=$D41),3,($C41-$D41)/MAX(ABS($C41-$D41),1)=(HX41-HY41)/MAX(ABS(HX41-HY41),1),1,TRUE,0)</f>
        <v/>
      </c>
      <c r="IA41" s="18"/>
      <c r="IB41" s="19"/>
      <c r="IC41" s="33" t="str" cm="1">
        <f t="array" ref="IC41">_xlfn.IFS($D41="","",AND(IA41=$C41,IB41=$D41),3,($C41-$D41)/MAX(ABS($C41-$D41),1)=(IA41-IB41)/MAX(ABS(IA41-IB41),1),1,TRUE,0)</f>
        <v/>
      </c>
      <c r="ID41" s="18"/>
      <c r="IE41" s="19"/>
      <c r="IF41" s="33" t="str" cm="1">
        <f t="array" ref="IF41">_xlfn.IFS($D41="","",AND(ID41=$C41,IE41=$D41),3,($C41-$D41)/MAX(ABS($C41-$D41),1)=(ID41-IE41)/MAX(ABS(ID41-IE41),1),1,TRUE,0)</f>
        <v/>
      </c>
      <c r="IG41" s="18"/>
      <c r="IH41" s="19"/>
      <c r="II41" s="33" t="str" cm="1">
        <f t="array" ref="II41">_xlfn.IFS($D41="","",AND(IG41=$C41,IH41=$D41),3,($C41-$D41)/MAX(ABS($C41-$D41),1)=(IG41-IH41)/MAX(ABS(IG41-IH41),1),1,TRUE,0)</f>
        <v/>
      </c>
      <c r="IJ41" s="18"/>
      <c r="IK41" s="19"/>
      <c r="IL41" s="33" t="str" cm="1">
        <f t="array" ref="IL41">_xlfn.IFS($D41="","",AND(IJ41=$C41,IK41=$D41),3,($C41-$D41)/MAX(ABS($C41-$D41),1)=(IJ41-IK41)/MAX(ABS(IJ41-IK41),1),1,TRUE,0)</f>
        <v/>
      </c>
      <c r="IM41" s="18"/>
      <c r="IN41" s="19"/>
      <c r="IO41" s="33" t="str" cm="1">
        <f t="array" ref="IO41">_xlfn.IFS($D41="","",AND(IM41=$C41,IN41=$D41),3,($C41-$D41)/MAX(ABS($C41-$D41),1)=(IM41-IN41)/MAX(ABS(IM41-IN41),1),1,TRUE,0)</f>
        <v/>
      </c>
      <c r="IP41" s="18"/>
      <c r="IQ41" s="19"/>
      <c r="IR41" s="33" t="str" cm="1">
        <f t="array" ref="IR41">_xlfn.IFS($D41="","",AND(IP41=$C41,IQ41=$D41),3,($C41-$D41)/MAX(ABS($C41-$D41),1)=(IP41-IQ41)/MAX(ABS(IP41-IQ41),1),1,TRUE,0)</f>
        <v/>
      </c>
      <c r="IS41" s="18"/>
      <c r="IT41" s="19"/>
      <c r="IU41" s="33" t="str" cm="1">
        <f t="array" ref="IU41">_xlfn.IFS($D41="","",AND(IS41=$C41,IT41=$D41),3,($C41-$D41)/MAX(ABS($C41-$D41),1)=(IS41-IT41)/MAX(ABS(IS41-IT41),1),1,TRUE,0)</f>
        <v/>
      </c>
      <c r="IV41" s="18"/>
      <c r="IW41" s="19"/>
      <c r="IX41" s="33" t="str" cm="1">
        <f t="array" ref="IX41">_xlfn.IFS($D41="","",AND(IV41=$C41,IW41=$D41),3,($C41-$D41)/MAX(ABS($C41-$D41),1)=(IV41-IW41)/MAX(ABS(IV41-IW41),1),1,TRUE,0)</f>
        <v/>
      </c>
      <c r="IY41" s="18"/>
      <c r="IZ41" s="19"/>
      <c r="JA41" s="33" t="str" cm="1">
        <f t="array" ref="JA41">_xlfn.IFS($D41="","",AND(IY41=$C41,IZ41=$D41),3,($C41-$D41)/MAX(ABS($C41-$D41),1)=(IY41-IZ41)/MAX(ABS(IY41-IZ41),1),1,TRUE,0)</f>
        <v/>
      </c>
      <c r="JB41" s="18"/>
      <c r="JC41" s="19"/>
      <c r="JD41" s="33" t="str" cm="1">
        <f t="array" ref="JD41">_xlfn.IFS($D41="","",AND(JB41=$C41,JC41=$D41),3,($C41-$D41)/MAX(ABS($C41-$D41),1)=(JB41-JC41)/MAX(ABS(JB41-JC41),1),1,TRUE,0)</f>
        <v/>
      </c>
    </row>
    <row r="42" spans="1:264" ht="15" thickBot="1" x14ac:dyDescent="0.35">
      <c r="A42" s="22">
        <v>46195</v>
      </c>
      <c r="B42" s="28" t="s">
        <v>54</v>
      </c>
      <c r="C42" s="53" t="str" cm="1">
        <f t="array" ref="C42">_xlfn.LET(
_xlpm.x,_xlfn.XLOOKUP(1,(Scores_Fixtures[Date]=A42)*(Scores_Fixtures[Home.1]=B42),Scores_Fixtures[Score.1],""),
IF(_xlpm.x="","",_xlpm.x)
)</f>
        <v/>
      </c>
      <c r="D42" s="53" t="str" cm="1">
        <f t="array" ref="D42">_xlfn.LET(
_xlpm.x,_xlfn.XLOOKUP(1,(Scores_Fixtures[Date]=A42)*(Scores_Fixtures[Home.1]=B42),Scores_Fixtures[Score.2],""),
IF(_xlpm.x="","",_xlpm.x)
)</f>
        <v/>
      </c>
      <c r="E42" s="12" t="s">
        <v>67</v>
      </c>
      <c r="F42" s="15"/>
      <c r="G42" s="53"/>
      <c r="H42" s="53"/>
      <c r="I42" s="33" t="str" cm="1">
        <f t="array" ref="I42">_xlfn.IFS($D42="","",AND(G42=$C42,H42=$D42),3,($C42-$D42)/MAX(ABS($C42-$D42),1)=(G42-H42)/MAX(ABS(G42-H42),1),1,TRUE,0)</f>
        <v/>
      </c>
      <c r="J42" s="18"/>
      <c r="K42" s="19"/>
      <c r="L42" s="33" t="str" cm="1">
        <f t="array" ref="L42">_xlfn.IFS($D42="","",AND(J42=$C42,K42=$D42),3,($C42-$D42)/MAX(ABS($C42-$D42),1)=(J42-K42)/MAX(ABS(J42-K42),1),1,TRUE,0)</f>
        <v/>
      </c>
      <c r="M42" s="18"/>
      <c r="N42" s="19"/>
      <c r="O42" s="33" t="str" cm="1">
        <f t="array" ref="O42">_xlfn.IFS($D42="","",AND(M42=$C42,N42=$D42),3,($C42-$D42)/MAX(ABS($C42-$D42),1)=(M42-N42)/MAX(ABS(M42-N42),1),1,TRUE,0)</f>
        <v/>
      </c>
      <c r="P42" s="18"/>
      <c r="Q42" s="19"/>
      <c r="R42" s="33" t="str" cm="1">
        <f t="array" ref="R42">_xlfn.IFS($D42="","",AND(P42=$C42,Q42=$D42),3,($C42-$D42)/MAX(ABS($C42-$D42),1)=(P42-Q42)/MAX(ABS(P42-Q42),1),1,TRUE,0)</f>
        <v/>
      </c>
      <c r="S42" s="18"/>
      <c r="T42" s="19"/>
      <c r="U42" s="33" t="str" cm="1">
        <f t="array" ref="U42">_xlfn.IFS($D42="","",AND(S42=$C42,T42=$D42),3,($C42-$D42)/MAX(ABS($C42-$D42),1)=(S42-T42)/MAX(ABS(S42-T42),1),1,TRUE,0)</f>
        <v/>
      </c>
      <c r="V42" s="18"/>
      <c r="W42" s="19"/>
      <c r="X42" s="33" t="str" cm="1">
        <f t="array" ref="X42">_xlfn.IFS($D42="","",AND(V42=$C42,W42=$D42),3,($C42-$D42)/MAX(ABS($C42-$D42),1)=(V42-W42)/MAX(ABS(V42-W42),1),1,TRUE,0)</f>
        <v/>
      </c>
      <c r="Y42" s="18"/>
      <c r="Z42" s="19"/>
      <c r="AA42" s="33" t="str" cm="1">
        <f t="array" ref="AA42">_xlfn.IFS($D42="","",AND(Y42=$C42,Z42=$D42),3,($C42-$D42)/MAX(ABS($C42-$D42),1)=(Y42-Z42)/MAX(ABS(Y42-Z42),1),1,TRUE,0)</f>
        <v/>
      </c>
      <c r="AB42" s="18"/>
      <c r="AC42" s="19"/>
      <c r="AD42" s="33" t="str" cm="1">
        <f t="array" ref="AD42">_xlfn.IFS($D42="","",AND(AB42=$C42,AC42=$D42),3,($C42-$D42)/MAX(ABS($C42-$D42),1)=(AB42-AC42)/MAX(ABS(AB42-AC42),1),1,TRUE,0)</f>
        <v/>
      </c>
      <c r="AE42" s="18"/>
      <c r="AF42" s="19"/>
      <c r="AG42" s="33" t="str" cm="1">
        <f t="array" ref="AG42">_xlfn.IFS($D42="","",AND(AE42=$C42,AF42=$D42),3,($C42-$D42)/MAX(ABS($C42-$D42),1)=(AE42-AF42)/MAX(ABS(AE42-AF42),1),1,TRUE,0)</f>
        <v/>
      </c>
      <c r="AH42" s="18"/>
      <c r="AI42" s="19"/>
      <c r="AJ42" s="33" t="str" cm="1">
        <f t="array" ref="AJ42">_xlfn.IFS($D42="","",AND(AH42=$C42,AI42=$D42),3,($C42-$D42)/MAX(ABS($C42-$D42),1)=(AH42-AI42)/MAX(ABS(AH42-AI42),1),1,TRUE,0)</f>
        <v/>
      </c>
      <c r="AK42" s="18"/>
      <c r="AL42" s="19"/>
      <c r="AM42" s="33" t="str" cm="1">
        <f t="array" ref="AM42">_xlfn.IFS($D42="","",AND(AK42=$C42,AL42=$D42),3,($C42-$D42)/MAX(ABS($C42-$D42),1)=(AK42-AL42)/MAX(ABS(AK42-AL42),1),1,TRUE,0)</f>
        <v/>
      </c>
      <c r="AN42" s="18"/>
      <c r="AO42" s="19"/>
      <c r="AP42" s="33" t="str" cm="1">
        <f t="array" ref="AP42">_xlfn.IFS($D42="","",AND(AN42=$C42,AO42=$D42),3,($C42-$D42)/MAX(ABS($C42-$D42),1)=(AN42-AO42)/MAX(ABS(AN42-AO42),1),1,TRUE,0)</f>
        <v/>
      </c>
      <c r="AQ42" s="18"/>
      <c r="AR42" s="19"/>
      <c r="AS42" s="33" t="str" cm="1">
        <f t="array" ref="AS42">_xlfn.IFS($D42="","",AND(AQ42=$C42,AR42=$D42),3,($C42-$D42)/MAX(ABS($C42-$D42),1)=(AQ42-AR42)/MAX(ABS(AQ42-AR42),1),1,TRUE,0)</f>
        <v/>
      </c>
      <c r="AT42" s="18"/>
      <c r="AU42" s="19"/>
      <c r="AV42" s="33" t="str" cm="1">
        <f t="array" ref="AV42">_xlfn.IFS($D42="","",AND(AT42=$C42,AU42=$D42),3,($C42-$D42)/MAX(ABS($C42-$D42),1)=(AT42-AU42)/MAX(ABS(AT42-AU42),1),1,TRUE,0)</f>
        <v/>
      </c>
      <c r="AW42" s="18"/>
      <c r="AX42" s="19"/>
      <c r="AY42" s="33" t="str" cm="1">
        <f t="array" ref="AY42">_xlfn.IFS($D42="","",AND(AW42=$C42,AX42=$D42),3,($C42-$D42)/MAX(ABS($C42-$D42),1)=(AW42-AX42)/MAX(ABS(AW42-AX42),1),1,TRUE,0)</f>
        <v/>
      </c>
      <c r="AZ42" s="18"/>
      <c r="BA42" s="19"/>
      <c r="BB42" s="33" t="str" cm="1">
        <f t="array" ref="BB42">_xlfn.IFS($D42="","",AND(AZ42=$C42,BA42=$D42),3,($C42-$D42)/MAX(ABS($C42-$D42),1)=(AZ42-BA42)/MAX(ABS(AZ42-BA42),1),1,TRUE,0)</f>
        <v/>
      </c>
      <c r="BC42" s="18"/>
      <c r="BD42" s="19"/>
      <c r="BE42" s="33" t="str" cm="1">
        <f t="array" ref="BE42">_xlfn.IFS($D42="","",AND(BC42=$C42,BD42=$D42),3,($C42-$D42)/MAX(ABS($C42-$D42),1)=(BC42-BD42)/MAX(ABS(BC42-BD42),1),1,TRUE,0)</f>
        <v/>
      </c>
      <c r="BF42" s="18"/>
      <c r="BG42" s="19"/>
      <c r="BH42" s="33" t="str" cm="1">
        <f t="array" ref="BH42">_xlfn.IFS($D42="","",AND(BF42=$C42,BG42=$D42),3,($C42-$D42)/MAX(ABS($C42-$D42),1)=(BF42-BG42)/MAX(ABS(BF42-BG42),1),1,TRUE,0)</f>
        <v/>
      </c>
      <c r="BI42" s="18"/>
      <c r="BJ42" s="19"/>
      <c r="BK42" s="33" t="str" cm="1">
        <f t="array" ref="BK42">_xlfn.IFS($D42="","",AND(BI42=$C42,BJ42=$D42),3,($C42-$D42)/MAX(ABS($C42-$D42),1)=(BI42-BJ42)/MAX(ABS(BI42-BJ42),1),1,TRUE,0)</f>
        <v/>
      </c>
      <c r="BL42" s="18"/>
      <c r="BM42" s="19"/>
      <c r="BN42" s="33" t="str" cm="1">
        <f t="array" ref="BN42">_xlfn.IFS($D42="","",AND(BL42=$C42,BM42=$D42),3,($C42-$D42)/MAX(ABS($C42-$D42),1)=(BL42-BM42)/MAX(ABS(BL42-BM42),1),1,TRUE,0)</f>
        <v/>
      </c>
      <c r="BO42" s="18"/>
      <c r="BP42" s="19"/>
      <c r="BQ42" s="33" t="str" cm="1">
        <f t="array" ref="BQ42">_xlfn.IFS($D42="","",AND(BO42=$C42,BP42=$D42),3,($C42-$D42)/MAX(ABS($C42-$D42),1)=(BO42-BP42)/MAX(ABS(BO42-BP42),1),1,TRUE,0)</f>
        <v/>
      </c>
      <c r="BR42" s="18"/>
      <c r="BS42" s="19"/>
      <c r="BT42" s="33" t="str" cm="1">
        <f t="array" ref="BT42">_xlfn.IFS($D42="","",AND(BR42=$C42,BS42=$D42),3,($C42-$D42)/MAX(ABS($C42-$D42),1)=(BR42-BS42)/MAX(ABS(BR42-BS42),1),1,TRUE,0)</f>
        <v/>
      </c>
      <c r="BU42" s="18"/>
      <c r="BV42" s="19"/>
      <c r="BW42" s="33" t="str" cm="1">
        <f t="array" ref="BW42">_xlfn.IFS($D42="","",AND(BU42=$C42,BV42=$D42),3,($C42-$D42)/MAX(ABS($C42-$D42),1)=(BU42-BV42)/MAX(ABS(BU42-BV42),1),1,TRUE,0)</f>
        <v/>
      </c>
      <c r="BX42" s="18"/>
      <c r="BY42" s="19"/>
      <c r="BZ42" s="33" t="str" cm="1">
        <f t="array" ref="BZ42">_xlfn.IFS($D42="","",AND(BX42=$C42,BY42=$D42),3,($C42-$D42)/MAX(ABS($C42-$D42),1)=(BX42-BY42)/MAX(ABS(BX42-BY42),1),1,TRUE,0)</f>
        <v/>
      </c>
      <c r="CA42" s="18"/>
      <c r="CB42" s="19"/>
      <c r="CC42" s="33" t="str" cm="1">
        <f t="array" ref="CC42">_xlfn.IFS($D42="","",AND(CA42=$C42,CB42=$D42),3,($C42-$D42)/MAX(ABS($C42-$D42),1)=(CA42-CB42)/MAX(ABS(CA42-CB42),1),1,TRUE,0)</f>
        <v/>
      </c>
      <c r="CD42" s="18"/>
      <c r="CE42" s="19"/>
      <c r="CF42" s="33" t="str" cm="1">
        <f t="array" ref="CF42">_xlfn.IFS($D42="","",AND(CD42=$C42,CE42=$D42),3,($C42-$D42)/MAX(ABS($C42-$D42),1)=(CD42-CE42)/MAX(ABS(CD42-CE42),1),1,TRUE,0)</f>
        <v/>
      </c>
      <c r="CG42" s="18"/>
      <c r="CH42" s="19"/>
      <c r="CI42" s="33" t="str" cm="1">
        <f t="array" ref="CI42">_xlfn.IFS($D42="","",AND(CG42=$C42,CH42=$D42),3,($C42-$D42)/MAX(ABS($C42-$D42),1)=(CG42-CH42)/MAX(ABS(CG42-CH42),1),1,TRUE,0)</f>
        <v/>
      </c>
      <c r="CJ42" s="18"/>
      <c r="CK42" s="19"/>
      <c r="CL42" s="33" t="str" cm="1">
        <f t="array" ref="CL42">_xlfn.IFS($D42="","",AND(CJ42=$C42,CK42=$D42),3,($C42-$D42)/MAX(ABS($C42-$D42),1)=(CJ42-CK42)/MAX(ABS(CJ42-CK42),1),1,TRUE,0)</f>
        <v/>
      </c>
      <c r="CM42" s="18"/>
      <c r="CN42" s="19"/>
      <c r="CO42" s="33" t="str" cm="1">
        <f t="array" ref="CO42">_xlfn.IFS($D42="","",AND(CM42=$C42,CN42=$D42),3,($C42-$D42)/MAX(ABS($C42-$D42),1)=(CM42-CN42)/MAX(ABS(CM42-CN42),1),1,TRUE,0)</f>
        <v/>
      </c>
      <c r="CP42" s="18"/>
      <c r="CQ42" s="19"/>
      <c r="CR42" s="33" t="str" cm="1">
        <f t="array" ref="CR42">_xlfn.IFS($D42="","",AND(CP42=$C42,CQ42=$D42),3,($C42-$D42)/MAX(ABS($C42-$D42),1)=(CP42-CQ42)/MAX(ABS(CP42-CQ42),1),1,TRUE,0)</f>
        <v/>
      </c>
      <c r="CS42" s="18"/>
      <c r="CT42" s="19"/>
      <c r="CU42" s="33" t="str" cm="1">
        <f t="array" ref="CU42">_xlfn.IFS($D42="","",AND(CS42=$C42,CT42=$D42),3,($C42-$D42)/MAX(ABS($C42-$D42),1)=(CS42-CT42)/MAX(ABS(CS42-CT42),1),1,TRUE,0)</f>
        <v/>
      </c>
      <c r="CV42" s="18"/>
      <c r="CW42" s="19"/>
      <c r="CX42" s="33" t="str" cm="1">
        <f t="array" ref="CX42">_xlfn.IFS($D42="","",AND(CV42=$C42,CW42=$D42),3,($C42-$D42)/MAX(ABS($C42-$D42),1)=(CV42-CW42)/MAX(ABS(CV42-CW42),1),1,TRUE,0)</f>
        <v/>
      </c>
      <c r="CY42" s="18"/>
      <c r="CZ42" s="19"/>
      <c r="DA42" s="33" t="str" cm="1">
        <f t="array" ref="DA42">_xlfn.IFS($D42="","",AND(CY42=$C42,CZ42=$D42),3,($C42-$D42)/MAX(ABS($C42-$D42),1)=(CY42-CZ42)/MAX(ABS(CY42-CZ42),1),1,TRUE,0)</f>
        <v/>
      </c>
      <c r="DB42" s="37"/>
      <c r="DC42" s="38"/>
      <c r="DD42" s="33" t="str" cm="1">
        <f t="array" ref="DD42">_xlfn.IFS($D42="","",AND(DB42=$C42,DC42=$D42),3,($C42-$D42)/MAX(ABS($C42-$D42),1)=(DB42-DC42)/MAX(ABS(DB42-DC42),1),1,TRUE,0)</f>
        <v/>
      </c>
      <c r="DE42" s="18"/>
      <c r="DF42" s="19"/>
      <c r="DG42" s="33" t="str" cm="1">
        <f t="array" ref="DG42">_xlfn.IFS($D42="","",AND(DE42=$C42,DF42=$D42),3,($C42-$D42)/MAX(ABS($C42-$D42),1)=(DE42-DF42)/MAX(ABS(DE42-DF42),1),1,TRUE,0)</f>
        <v/>
      </c>
      <c r="DH42" s="18"/>
      <c r="DI42" s="19"/>
      <c r="DJ42" s="33" t="str" cm="1">
        <f t="array" ref="DJ42">_xlfn.IFS($D42="","",AND(DH42=$C42,DI42=$D42),3,($C42-$D42)/MAX(ABS($C42-$D42),1)=(DH42-DI42)/MAX(ABS(DH42-DI42),1),1,TRUE,0)</f>
        <v/>
      </c>
      <c r="DK42" s="18"/>
      <c r="DL42" s="19"/>
      <c r="DM42" s="33" t="str" cm="1">
        <f t="array" ref="DM42">_xlfn.IFS($D42="","",AND(DK42=$C42,DL42=$D42),3,($C42-$D42)/MAX(ABS($C42-$D42),1)=(DK42-DL42)/MAX(ABS(DK42-DL42),1),1,TRUE,0)</f>
        <v/>
      </c>
      <c r="DN42" s="18"/>
      <c r="DO42" s="19"/>
      <c r="DP42" s="33" t="str" cm="1">
        <f t="array" ref="DP42">_xlfn.IFS($D42="","",AND(DN42=$C42,DO42=$D42),3,($C42-$D42)/MAX(ABS($C42-$D42),1)=(DN42-DO42)/MAX(ABS(DN42-DO42),1),1,TRUE,0)</f>
        <v/>
      </c>
      <c r="DQ42" s="18"/>
      <c r="DR42" s="19"/>
      <c r="DS42" s="33" t="str" cm="1">
        <f t="array" ref="DS42">_xlfn.IFS($D42="","",AND(DQ42=$C42,DR42=$D42),3,($C42-$D42)/MAX(ABS($C42-$D42),1)=(DQ42-DR42)/MAX(ABS(DQ42-DR42),1),1,TRUE,0)</f>
        <v/>
      </c>
      <c r="DT42" s="18"/>
      <c r="DU42" s="19"/>
      <c r="DV42" s="33" t="str" cm="1">
        <f t="array" ref="DV42">_xlfn.IFS($D42="","",AND(DT42=$C42,DU42=$D42),3,($C42-$D42)/MAX(ABS($C42-$D42),1)=(DT42-DU42)/MAX(ABS(DT42-DU42),1),1,TRUE,0)</f>
        <v/>
      </c>
      <c r="DW42" s="18"/>
      <c r="DX42" s="19"/>
      <c r="DY42" s="33" t="str" cm="1">
        <f t="array" ref="DY42">_xlfn.IFS($D42="","",AND(DW42=$C42,DX42=$D42),3,($C42-$D42)/MAX(ABS($C42-$D42),1)=(DW42-DX42)/MAX(ABS(DW42-DX42),1),1,TRUE,0)</f>
        <v/>
      </c>
      <c r="DZ42" s="18"/>
      <c r="EA42" s="19"/>
      <c r="EB42" s="33" t="str" cm="1">
        <f t="array" ref="EB42">_xlfn.IFS($D42="","",AND(DZ42=$C42,EA42=$D42),3,($C42-$D42)/MAX(ABS($C42-$D42),1)=(DZ42-EA42)/MAX(ABS(DZ42-EA42),1),1,TRUE,0)</f>
        <v/>
      </c>
      <c r="EC42" s="18"/>
      <c r="ED42" s="19"/>
      <c r="EE42" s="33" t="str" cm="1">
        <f t="array" ref="EE42">_xlfn.IFS($D42="","",AND(EC42=$C42,ED42=$D42),3,($C42-$D42)/MAX(ABS($C42-$D42),1)=(EC42-ED42)/MAX(ABS(EC42-ED42),1),1,TRUE,0)</f>
        <v/>
      </c>
      <c r="EF42" s="18"/>
      <c r="EG42" s="19"/>
      <c r="EH42" s="33" t="str" cm="1">
        <f t="array" ref="EH42">_xlfn.IFS($D42="","",AND(EF42=$C42,EG42=$D42),3,($C42-$D42)/MAX(ABS($C42-$D42),1)=(EF42-EG42)/MAX(ABS(EF42-EG42),1),1,TRUE,0)</f>
        <v/>
      </c>
      <c r="EI42" s="50"/>
      <c r="EJ42" s="51"/>
      <c r="EK42" s="33" t="str" cm="1">
        <f t="array" ref="EK42">_xlfn.IFS($D42="","",AND(EI42=$C42,EJ42=$D42),3,($C42-$D42)/MAX(ABS($C42-$D42),1)=(EI42-EJ42)/MAX(ABS(EI42-EJ42),1),1,TRUE,0)</f>
        <v/>
      </c>
      <c r="EL42" s="18"/>
      <c r="EM42" s="19"/>
      <c r="EN42" s="33" t="str" cm="1">
        <f t="array" ref="EN42">_xlfn.IFS($D42="","",AND(EL42=$C42,EM42=$D42),3,($C42-$D42)/MAX(ABS($C42-$D42),1)=(EL42-EM42)/MAX(ABS(EL42-EM42),1),1,TRUE,0)</f>
        <v/>
      </c>
      <c r="EO42" s="18"/>
      <c r="EP42" s="19"/>
      <c r="EQ42" s="33" t="str" cm="1">
        <f t="array" ref="EQ42">_xlfn.IFS($D42="","",AND(EO42=$C42,EP42=$D42),3,($C42-$D42)/MAX(ABS($C42-$D42),1)=(EO42-EP42)/MAX(ABS(EO42-EP42),1),1,TRUE,0)</f>
        <v/>
      </c>
      <c r="ER42" s="18"/>
      <c r="ES42" s="19"/>
      <c r="ET42" s="33" t="str" cm="1">
        <f t="array" ref="ET42">_xlfn.IFS($D42="","",AND(ER42=$C42,ES42=$D42),3,($C42-$D42)/MAX(ABS($C42-$D42),1)=(ER42-ES42)/MAX(ABS(ER42-ES42),1),1,TRUE,0)</f>
        <v/>
      </c>
      <c r="EU42" s="18"/>
      <c r="EV42" s="19"/>
      <c r="EW42" s="33" t="str" cm="1">
        <f t="array" ref="EW42">_xlfn.IFS($D42="","",AND(EU42=$C42,EV42=$D42),3,($C42-$D42)/MAX(ABS($C42-$D42),1)=(EU42-EV42)/MAX(ABS(EU42-EV42),1),1,TRUE,0)</f>
        <v/>
      </c>
      <c r="EX42" s="18"/>
      <c r="EY42" s="19"/>
      <c r="EZ42" s="33" t="str" cm="1">
        <f t="array" ref="EZ42">_xlfn.IFS($D42="","",AND(EX42=$C42,EY42=$D42),3,($C42-$D42)/MAX(ABS($C42-$D42),1)=(EX42-EY42)/MAX(ABS(EX42-EY42),1),1,TRUE,0)</f>
        <v/>
      </c>
      <c r="FA42" s="18"/>
      <c r="FB42" s="19"/>
      <c r="FC42" s="33" t="str" cm="1">
        <f t="array" ref="FC42">_xlfn.IFS($D42="","",AND(FA42=$C42,FB42=$D42),3,($C42-$D42)/MAX(ABS($C42-$D42),1)=(FA42-FB42)/MAX(ABS(FA42-FB42),1),1,TRUE,0)</f>
        <v/>
      </c>
      <c r="FD42" s="18"/>
      <c r="FE42" s="19"/>
      <c r="FF42" s="33" t="str" cm="1">
        <f t="array" ref="FF42">_xlfn.IFS($D42="","",AND(FD42=$C42,FE42=$D42),3,($C42-$D42)/MAX(ABS($C42-$D42),1)=(FD42-FE42)/MAX(ABS(FD42-FE42),1),1,TRUE,0)</f>
        <v/>
      </c>
      <c r="FG42" s="18"/>
      <c r="FH42" s="19"/>
      <c r="FI42" s="33" t="str" cm="1">
        <f t="array" ref="FI42">_xlfn.IFS($D42="","",AND(FG42=$C42,FH42=$D42),3,($C42-$D42)/MAX(ABS($C42-$D42),1)=(FG42-FH42)/MAX(ABS(FG42-FH42),1),1,TRUE,0)</f>
        <v/>
      </c>
      <c r="FJ42" s="18"/>
      <c r="FK42" s="19"/>
      <c r="FL42" s="33" t="str" cm="1">
        <f t="array" ref="FL42">_xlfn.IFS($D42="","",AND(FJ42=$C42,FK42=$D42),3,($C42-$D42)/MAX(ABS($C42-$D42),1)=(FJ42-FK42)/MAX(ABS(FJ42-FK42),1),1,TRUE,0)</f>
        <v/>
      </c>
      <c r="FM42" s="18"/>
      <c r="FN42" s="19"/>
      <c r="FO42" s="33" t="str" cm="1">
        <f t="array" ref="FO42">_xlfn.IFS($D42="","",AND(FM42=$C42,FN42=$D42),3,($C42-$D42)/MAX(ABS($C42-$D42),1)=(FM42-FN42)/MAX(ABS(FM42-FN42),1),1,TRUE,0)</f>
        <v/>
      </c>
      <c r="FP42" s="18"/>
      <c r="FQ42" s="19"/>
      <c r="FR42" s="33" t="str" cm="1">
        <f t="array" ref="FR42">_xlfn.IFS($D42="","",AND(FP42=$C42,FQ42=$D42),3,($C42-$D42)/MAX(ABS($C42-$D42),1)=(FP42-FQ42)/MAX(ABS(FP42-FQ42),1),1,TRUE,0)</f>
        <v/>
      </c>
      <c r="FS42" s="18"/>
      <c r="FT42" s="19"/>
      <c r="FU42" s="33" t="str" cm="1">
        <f t="array" ref="FU42">_xlfn.IFS($D42="","",AND(FS42=$C42,FT42=$D42),3,($C42-$D42)/MAX(ABS($C42-$D42),1)=(FS42-FT42)/MAX(ABS(FS42-FT42),1),1,TRUE,0)</f>
        <v/>
      </c>
      <c r="FV42" s="18"/>
      <c r="FW42" s="19"/>
      <c r="FX42" s="33" t="str" cm="1">
        <f t="array" ref="FX42">_xlfn.IFS($D42="","",AND(FV42=$C42,FW42=$D42),3,($C42-$D42)/MAX(ABS($C42-$D42),1)=(FV42-FW42)/MAX(ABS(FV42-FW42),1),1,TRUE,0)</f>
        <v/>
      </c>
      <c r="FY42" s="18"/>
      <c r="FZ42" s="19"/>
      <c r="GA42" s="33" t="str" cm="1">
        <f t="array" ref="GA42">_xlfn.IFS($D42="","",AND(FY42=$C42,FZ42=$D42),3,($C42-$D42)/MAX(ABS($C42-$D42),1)=(FY42-FZ42)/MAX(ABS(FY42-FZ42),1),1,TRUE,0)</f>
        <v/>
      </c>
      <c r="GB42" s="18"/>
      <c r="GC42" s="19"/>
      <c r="GD42" s="33" t="str" cm="1">
        <f t="array" ref="GD42">_xlfn.IFS($D42="","",AND(GB42=$C42,GC42=$D42),3,($C42-$D42)/MAX(ABS($C42-$D42),1)=(GB42-GC42)/MAX(ABS(GB42-GC42),1),1,TRUE,0)</f>
        <v/>
      </c>
      <c r="GE42" s="52"/>
      <c r="GF42" s="19"/>
      <c r="GG42" s="33" t="str" cm="1">
        <f t="array" ref="GG42">_xlfn.IFS($D42="","",AND(GE42=$C42,GF42=$D42),3,($C42-$D42)/MAX(ABS($C42-$D42),1)=(GE42-GF42)/MAX(ABS(GE42-GF42),1),1,TRUE,0)</f>
        <v/>
      </c>
      <c r="GH42" s="18"/>
      <c r="GI42" s="19"/>
      <c r="GJ42" s="33" t="str" cm="1">
        <f t="array" ref="GJ42">_xlfn.IFS($D42="","",AND(GH42=$C42,GI42=$D42),3,($C42-$D42)/MAX(ABS($C42-$D42),1)=(GH42-GI42)/MAX(ABS(GH42-GI42),1),1,TRUE,0)</f>
        <v/>
      </c>
      <c r="GK42" s="18"/>
      <c r="GL42" s="19"/>
      <c r="GM42" s="33" t="str" cm="1">
        <f t="array" ref="GM42">_xlfn.IFS($D42="","",AND(GK42=$C42,GL42=$D42),3,($C42-$D42)/MAX(ABS($C42-$D42),1)=(GK42-GL42)/MAX(ABS(GK42-GL42),1),1,TRUE,0)</f>
        <v/>
      </c>
      <c r="GN42" s="18"/>
      <c r="GO42" s="19"/>
      <c r="GP42" s="33" t="str" cm="1">
        <f t="array" ref="GP42">_xlfn.IFS($D42="","",AND(GN42=$C42,GO42=$D42),3,($C42-$D42)/MAX(ABS($C42-$D42),1)=(GN42-GO42)/MAX(ABS(GN42-GO42),1),1,TRUE,0)</f>
        <v/>
      </c>
      <c r="GQ42" s="18"/>
      <c r="GR42" s="19"/>
      <c r="GS42" s="33" t="str" cm="1">
        <f t="array" ref="GS42">_xlfn.IFS($D42="","",AND(GQ42=$C42,GR42=$D42),3,($C42-$D42)/MAX(ABS($C42-$D42),1)=(GQ42-GR42)/MAX(ABS(GQ42-GR42),1),1,TRUE,0)</f>
        <v/>
      </c>
      <c r="GT42" s="18"/>
      <c r="GU42" s="19"/>
      <c r="GV42" s="33" t="str" cm="1">
        <f t="array" ref="GV42">_xlfn.IFS($D42="","",AND(GT42=$C42,GU42=$D42),3,($C42-$D42)/MAX(ABS($C42-$D42),1)=(GT42-GU42)/MAX(ABS(GT42-GU42),1),1,TRUE,0)</f>
        <v/>
      </c>
      <c r="GW42" s="18"/>
      <c r="GX42" s="19"/>
      <c r="GY42" s="33" t="str" cm="1">
        <f t="array" ref="GY42">_xlfn.IFS($D42="","",AND(GW42=$C42,GX42=$D42),3,($C42-$D42)/MAX(ABS($C42-$D42),1)=(GW42-GX42)/MAX(ABS(GW42-GX42),1),1,TRUE,0)</f>
        <v/>
      </c>
      <c r="GZ42" s="18"/>
      <c r="HA42" s="19"/>
      <c r="HB42" s="33" t="str" cm="1">
        <f t="array" ref="HB42">_xlfn.IFS($D42="","",AND(GZ42=$C42,HA42=$D42),3,($C42-$D42)/MAX(ABS($C42-$D42),1)=(GZ42-HA42)/MAX(ABS(GZ42-HA42),1),1,TRUE,0)</f>
        <v/>
      </c>
      <c r="HC42" s="18"/>
      <c r="HD42" s="19"/>
      <c r="HE42" s="33" t="str" cm="1">
        <f t="array" ref="HE42">_xlfn.IFS($D42="","",AND(HC42=$C42,HD42=$D42),3,($C42-$D42)/MAX(ABS($C42-$D42),1)=(HC42-HD42)/MAX(ABS(HC42-HD42),1),1,TRUE,0)</f>
        <v/>
      </c>
      <c r="HF42" s="18"/>
      <c r="HG42" s="19"/>
      <c r="HH42" s="33" t="str" cm="1">
        <f t="array" ref="HH42">_xlfn.IFS($D42="","",AND(HF42=$C42,HG42=$D42),3,($C42-$D42)/MAX(ABS($C42-$D42),1)=(HF42-HG42)/MAX(ABS(HF42-HG42),1),1,TRUE,0)</f>
        <v/>
      </c>
      <c r="HI42" s="18"/>
      <c r="HJ42" s="19"/>
      <c r="HK42" s="33" t="str" cm="1">
        <f t="array" ref="HK42">_xlfn.IFS($D42="","",AND(HI42=$C42,HJ42=$D42),3,($C42-$D42)/MAX(ABS($C42-$D42),1)=(HI42-HJ42)/MAX(ABS(HI42-HJ42),1),1,TRUE,0)</f>
        <v/>
      </c>
      <c r="HL42" s="18"/>
      <c r="HM42" s="19"/>
      <c r="HN42" s="33" t="str" cm="1">
        <f t="array" ref="HN42">_xlfn.IFS($D42="","",AND(HL42=$C42,HM42=$D42),3,($C42-$D42)/MAX(ABS($C42-$D42),1)=(HL42-HM42)/MAX(ABS(HL42-HM42),1),1,TRUE,0)</f>
        <v/>
      </c>
      <c r="HO42" s="18"/>
      <c r="HP42" s="19"/>
      <c r="HQ42" s="33" t="str" cm="1">
        <f t="array" ref="HQ42">_xlfn.IFS($D42="","",AND(HO42=$C42,HP42=$D42),3,($C42-$D42)/MAX(ABS($C42-$D42),1)=(HO42-HP42)/MAX(ABS(HO42-HP42),1),1,TRUE,0)</f>
        <v/>
      </c>
      <c r="HR42" s="18"/>
      <c r="HS42" s="19"/>
      <c r="HT42" s="33" t="str" cm="1">
        <f t="array" ref="HT42">_xlfn.IFS($D42="","",AND(HR42=$C42,HS42=$D42),3,($C42-$D42)/MAX(ABS($C42-$D42),1)=(HR42-HS42)/MAX(ABS(HR42-HS42),1),1,TRUE,0)</f>
        <v/>
      </c>
      <c r="HU42" s="18"/>
      <c r="HV42" s="19"/>
      <c r="HW42" s="33" t="str" cm="1">
        <f t="array" ref="HW42">_xlfn.IFS($D42="","",AND(HU42=$C42,HV42=$D42),3,($C42-$D42)/MAX(ABS($C42-$D42),1)=(HU42-HV42)/MAX(ABS(HU42-HV42),1),1,TRUE,0)</f>
        <v/>
      </c>
      <c r="HX42" s="18"/>
      <c r="HY42" s="19"/>
      <c r="HZ42" s="33" t="str" cm="1">
        <f t="array" ref="HZ42">_xlfn.IFS($D42="","",AND(HX42=$C42,HY42=$D42),3,($C42-$D42)/MAX(ABS($C42-$D42),1)=(HX42-HY42)/MAX(ABS(HX42-HY42),1),1,TRUE,0)</f>
        <v/>
      </c>
      <c r="IA42" s="18"/>
      <c r="IB42" s="19"/>
      <c r="IC42" s="33" t="str" cm="1">
        <f t="array" ref="IC42">_xlfn.IFS($D42="","",AND(IA42=$C42,IB42=$D42),3,($C42-$D42)/MAX(ABS($C42-$D42),1)=(IA42-IB42)/MAX(ABS(IA42-IB42),1),1,TRUE,0)</f>
        <v/>
      </c>
      <c r="ID42" s="18"/>
      <c r="IE42" s="19"/>
      <c r="IF42" s="33" t="str" cm="1">
        <f t="array" ref="IF42">_xlfn.IFS($D42="","",AND(ID42=$C42,IE42=$D42),3,($C42-$D42)/MAX(ABS($C42-$D42),1)=(ID42-IE42)/MAX(ABS(ID42-IE42),1),1,TRUE,0)</f>
        <v/>
      </c>
      <c r="IG42" s="18"/>
      <c r="IH42" s="19"/>
      <c r="II42" s="33" t="str" cm="1">
        <f t="array" ref="II42">_xlfn.IFS($D42="","",AND(IG42=$C42,IH42=$D42),3,($C42-$D42)/MAX(ABS($C42-$D42),1)=(IG42-IH42)/MAX(ABS(IG42-IH42),1),1,TRUE,0)</f>
        <v/>
      </c>
      <c r="IJ42" s="18"/>
      <c r="IK42" s="19"/>
      <c r="IL42" s="33" t="str" cm="1">
        <f t="array" ref="IL42">_xlfn.IFS($D42="","",AND(IJ42=$C42,IK42=$D42),3,($C42-$D42)/MAX(ABS($C42-$D42),1)=(IJ42-IK42)/MAX(ABS(IJ42-IK42),1),1,TRUE,0)</f>
        <v/>
      </c>
      <c r="IM42" s="18"/>
      <c r="IN42" s="19"/>
      <c r="IO42" s="33" t="str" cm="1">
        <f t="array" ref="IO42">_xlfn.IFS($D42="","",AND(IM42=$C42,IN42=$D42),3,($C42-$D42)/MAX(ABS($C42-$D42),1)=(IM42-IN42)/MAX(ABS(IM42-IN42),1),1,TRUE,0)</f>
        <v/>
      </c>
      <c r="IP42" s="18"/>
      <c r="IQ42" s="19"/>
      <c r="IR42" s="33" t="str" cm="1">
        <f t="array" ref="IR42">_xlfn.IFS($D42="","",AND(IP42=$C42,IQ42=$D42),3,($C42-$D42)/MAX(ABS($C42-$D42),1)=(IP42-IQ42)/MAX(ABS(IP42-IQ42),1),1,TRUE,0)</f>
        <v/>
      </c>
      <c r="IS42" s="18"/>
      <c r="IT42" s="19"/>
      <c r="IU42" s="33" t="str" cm="1">
        <f t="array" ref="IU42">_xlfn.IFS($D42="","",AND(IS42=$C42,IT42=$D42),3,($C42-$D42)/MAX(ABS($C42-$D42),1)=(IS42-IT42)/MAX(ABS(IS42-IT42),1),1,TRUE,0)</f>
        <v/>
      </c>
      <c r="IV42" s="18"/>
      <c r="IW42" s="19"/>
      <c r="IX42" s="33" t="str" cm="1">
        <f t="array" ref="IX42">_xlfn.IFS($D42="","",AND(IV42=$C42,IW42=$D42),3,($C42-$D42)/MAX(ABS($C42-$D42),1)=(IV42-IW42)/MAX(ABS(IV42-IW42),1),1,TRUE,0)</f>
        <v/>
      </c>
      <c r="IY42" s="18"/>
      <c r="IZ42" s="19"/>
      <c r="JA42" s="33" t="str" cm="1">
        <f t="array" ref="JA42">_xlfn.IFS($D42="","",AND(IY42=$C42,IZ42=$D42),3,($C42-$D42)/MAX(ABS($C42-$D42),1)=(IY42-IZ42)/MAX(ABS(IY42-IZ42),1),1,TRUE,0)</f>
        <v/>
      </c>
      <c r="JB42" s="18"/>
      <c r="JC42" s="19"/>
      <c r="JD42" s="33" t="str" cm="1">
        <f t="array" ref="JD42">_xlfn.IFS($D42="","",AND(JB42=$C42,JC42=$D42),3,($C42-$D42)/MAX(ABS($C42-$D42),1)=(JB42-JC42)/MAX(ABS(JB42-JC42),1),1,TRUE,0)</f>
        <v/>
      </c>
    </row>
    <row r="43" spans="1:264" ht="15" thickBot="1" x14ac:dyDescent="0.35">
      <c r="A43" s="22">
        <v>46195</v>
      </c>
      <c r="B43" s="28" t="s">
        <v>47</v>
      </c>
      <c r="C43" s="53" t="str" cm="1">
        <f t="array" ref="C43">_xlfn.LET(
_xlpm.x,_xlfn.XLOOKUP(1,(Scores_Fixtures[Date]=A43)*(Scores_Fixtures[Home.1]=B43),Scores_Fixtures[Score.1],""),
IF(_xlpm.x="","",_xlpm.x)
)</f>
        <v/>
      </c>
      <c r="D43" s="53" t="str" cm="1">
        <f t="array" ref="D43">_xlfn.LET(
_xlpm.x,_xlfn.XLOOKUP(1,(Scores_Fixtures[Date]=A43)*(Scores_Fixtures[Home.1]=B43),Scores_Fixtures[Score.2],""),
IF(_xlpm.x="","",_xlpm.x)
)</f>
        <v/>
      </c>
      <c r="E43" s="12" t="s">
        <v>32</v>
      </c>
      <c r="F43" s="15"/>
      <c r="G43" s="53"/>
      <c r="H43" s="53"/>
      <c r="I43" s="33" t="str" cm="1">
        <f t="array" ref="I43">_xlfn.IFS($D43="","",AND(G43=$C43,H43=$D43),3,($C43-$D43)/MAX(ABS($C43-$D43),1)=(G43-H43)/MAX(ABS(G43-H43),1),1,TRUE,0)</f>
        <v/>
      </c>
      <c r="J43" s="18"/>
      <c r="K43" s="19"/>
      <c r="L43" s="33" t="str" cm="1">
        <f t="array" ref="L43">_xlfn.IFS($D43="","",AND(J43=$C43,K43=$D43),3,($C43-$D43)/MAX(ABS($C43-$D43),1)=(J43-K43)/MAX(ABS(J43-K43),1),1,TRUE,0)</f>
        <v/>
      </c>
      <c r="M43" s="18"/>
      <c r="N43" s="19"/>
      <c r="O43" s="33" t="str" cm="1">
        <f t="array" ref="O43">_xlfn.IFS($D43="","",AND(M43=$C43,N43=$D43),3,($C43-$D43)/MAX(ABS($C43-$D43),1)=(M43-N43)/MAX(ABS(M43-N43),1),1,TRUE,0)</f>
        <v/>
      </c>
      <c r="P43" s="18"/>
      <c r="Q43" s="19"/>
      <c r="R43" s="33" t="str" cm="1">
        <f t="array" ref="R43">_xlfn.IFS($D43="","",AND(P43=$C43,Q43=$D43),3,($C43-$D43)/MAX(ABS($C43-$D43),1)=(P43-Q43)/MAX(ABS(P43-Q43),1),1,TRUE,0)</f>
        <v/>
      </c>
      <c r="S43" s="18"/>
      <c r="T43" s="19"/>
      <c r="U43" s="33" t="str" cm="1">
        <f t="array" ref="U43">_xlfn.IFS($D43="","",AND(S43=$C43,T43=$D43),3,($C43-$D43)/MAX(ABS($C43-$D43),1)=(S43-T43)/MAX(ABS(S43-T43),1),1,TRUE,0)</f>
        <v/>
      </c>
      <c r="V43" s="18"/>
      <c r="W43" s="19"/>
      <c r="X43" s="33" t="str" cm="1">
        <f t="array" ref="X43">_xlfn.IFS($D43="","",AND(V43=$C43,W43=$D43),3,($C43-$D43)/MAX(ABS($C43-$D43),1)=(V43-W43)/MAX(ABS(V43-W43),1),1,TRUE,0)</f>
        <v/>
      </c>
      <c r="Y43" s="18"/>
      <c r="Z43" s="19"/>
      <c r="AA43" s="33" t="str" cm="1">
        <f t="array" ref="AA43">_xlfn.IFS($D43="","",AND(Y43=$C43,Z43=$D43),3,($C43-$D43)/MAX(ABS($C43-$D43),1)=(Y43-Z43)/MAX(ABS(Y43-Z43),1),1,TRUE,0)</f>
        <v/>
      </c>
      <c r="AB43" s="18"/>
      <c r="AC43" s="19"/>
      <c r="AD43" s="33" t="str" cm="1">
        <f t="array" ref="AD43">_xlfn.IFS($D43="","",AND(AB43=$C43,AC43=$D43),3,($C43-$D43)/MAX(ABS($C43-$D43),1)=(AB43-AC43)/MAX(ABS(AB43-AC43),1),1,TRUE,0)</f>
        <v/>
      </c>
      <c r="AE43" s="18"/>
      <c r="AF43" s="19"/>
      <c r="AG43" s="33" t="str" cm="1">
        <f t="array" ref="AG43">_xlfn.IFS($D43="","",AND(AE43=$C43,AF43=$D43),3,($C43-$D43)/MAX(ABS($C43-$D43),1)=(AE43-AF43)/MAX(ABS(AE43-AF43),1),1,TRUE,0)</f>
        <v/>
      </c>
      <c r="AH43" s="18"/>
      <c r="AI43" s="19"/>
      <c r="AJ43" s="33" t="str" cm="1">
        <f t="array" ref="AJ43">_xlfn.IFS($D43="","",AND(AH43=$C43,AI43=$D43),3,($C43-$D43)/MAX(ABS($C43-$D43),1)=(AH43-AI43)/MAX(ABS(AH43-AI43),1),1,TRUE,0)</f>
        <v/>
      </c>
      <c r="AK43" s="18"/>
      <c r="AL43" s="19"/>
      <c r="AM43" s="33" t="str" cm="1">
        <f t="array" ref="AM43">_xlfn.IFS($D43="","",AND(AK43=$C43,AL43=$D43),3,($C43-$D43)/MAX(ABS($C43-$D43),1)=(AK43-AL43)/MAX(ABS(AK43-AL43),1),1,TRUE,0)</f>
        <v/>
      </c>
      <c r="AN43" s="18"/>
      <c r="AO43" s="19"/>
      <c r="AP43" s="33" t="str" cm="1">
        <f t="array" ref="AP43">_xlfn.IFS($D43="","",AND(AN43=$C43,AO43=$D43),3,($C43-$D43)/MAX(ABS($C43-$D43),1)=(AN43-AO43)/MAX(ABS(AN43-AO43),1),1,TRUE,0)</f>
        <v/>
      </c>
      <c r="AQ43" s="18"/>
      <c r="AR43" s="19"/>
      <c r="AS43" s="33" t="str" cm="1">
        <f t="array" ref="AS43">_xlfn.IFS($D43="","",AND(AQ43=$C43,AR43=$D43),3,($C43-$D43)/MAX(ABS($C43-$D43),1)=(AQ43-AR43)/MAX(ABS(AQ43-AR43),1),1,TRUE,0)</f>
        <v/>
      </c>
      <c r="AT43" s="18"/>
      <c r="AU43" s="19"/>
      <c r="AV43" s="33" t="str" cm="1">
        <f t="array" ref="AV43">_xlfn.IFS($D43="","",AND(AT43=$C43,AU43=$D43),3,($C43-$D43)/MAX(ABS($C43-$D43),1)=(AT43-AU43)/MAX(ABS(AT43-AU43),1),1,TRUE,0)</f>
        <v/>
      </c>
      <c r="AW43" s="18"/>
      <c r="AX43" s="19"/>
      <c r="AY43" s="33" t="str" cm="1">
        <f t="array" ref="AY43">_xlfn.IFS($D43="","",AND(AW43=$C43,AX43=$D43),3,($C43-$D43)/MAX(ABS($C43-$D43),1)=(AW43-AX43)/MAX(ABS(AW43-AX43),1),1,TRUE,0)</f>
        <v/>
      </c>
      <c r="AZ43" s="18"/>
      <c r="BA43" s="19"/>
      <c r="BB43" s="33" t="str" cm="1">
        <f t="array" ref="BB43">_xlfn.IFS($D43="","",AND(AZ43=$C43,BA43=$D43),3,($C43-$D43)/MAX(ABS($C43-$D43),1)=(AZ43-BA43)/MAX(ABS(AZ43-BA43),1),1,TRUE,0)</f>
        <v/>
      </c>
      <c r="BC43" s="18"/>
      <c r="BD43" s="19"/>
      <c r="BE43" s="33" t="str" cm="1">
        <f t="array" ref="BE43">_xlfn.IFS($D43="","",AND(BC43=$C43,BD43=$D43),3,($C43-$D43)/MAX(ABS($C43-$D43),1)=(BC43-BD43)/MAX(ABS(BC43-BD43),1),1,TRUE,0)</f>
        <v/>
      </c>
      <c r="BF43" s="18"/>
      <c r="BG43" s="19"/>
      <c r="BH43" s="33" t="str" cm="1">
        <f t="array" ref="BH43">_xlfn.IFS($D43="","",AND(BF43=$C43,BG43=$D43),3,($C43-$D43)/MAX(ABS($C43-$D43),1)=(BF43-BG43)/MAX(ABS(BF43-BG43),1),1,TRUE,0)</f>
        <v/>
      </c>
      <c r="BI43" s="18"/>
      <c r="BJ43" s="19"/>
      <c r="BK43" s="33" t="str" cm="1">
        <f t="array" ref="BK43">_xlfn.IFS($D43="","",AND(BI43=$C43,BJ43=$D43),3,($C43-$D43)/MAX(ABS($C43-$D43),1)=(BI43-BJ43)/MAX(ABS(BI43-BJ43),1),1,TRUE,0)</f>
        <v/>
      </c>
      <c r="BL43" s="18"/>
      <c r="BM43" s="19"/>
      <c r="BN43" s="33" t="str" cm="1">
        <f t="array" ref="BN43">_xlfn.IFS($D43="","",AND(BL43=$C43,BM43=$D43),3,($C43-$D43)/MAX(ABS($C43-$D43),1)=(BL43-BM43)/MAX(ABS(BL43-BM43),1),1,TRUE,0)</f>
        <v/>
      </c>
      <c r="BO43" s="18"/>
      <c r="BP43" s="19"/>
      <c r="BQ43" s="33" t="str" cm="1">
        <f t="array" ref="BQ43">_xlfn.IFS($D43="","",AND(BO43=$C43,BP43=$D43),3,($C43-$D43)/MAX(ABS($C43-$D43),1)=(BO43-BP43)/MAX(ABS(BO43-BP43),1),1,TRUE,0)</f>
        <v/>
      </c>
      <c r="BR43" s="18"/>
      <c r="BS43" s="19"/>
      <c r="BT43" s="33" t="str" cm="1">
        <f t="array" ref="BT43">_xlfn.IFS($D43="","",AND(BR43=$C43,BS43=$D43),3,($C43-$D43)/MAX(ABS($C43-$D43),1)=(BR43-BS43)/MAX(ABS(BR43-BS43),1),1,TRUE,0)</f>
        <v/>
      </c>
      <c r="BU43" s="18"/>
      <c r="BV43" s="19"/>
      <c r="BW43" s="33" t="str" cm="1">
        <f t="array" ref="BW43">_xlfn.IFS($D43="","",AND(BU43=$C43,BV43=$D43),3,($C43-$D43)/MAX(ABS($C43-$D43),1)=(BU43-BV43)/MAX(ABS(BU43-BV43),1),1,TRUE,0)</f>
        <v/>
      </c>
      <c r="BX43" s="18"/>
      <c r="BY43" s="19"/>
      <c r="BZ43" s="33" t="str" cm="1">
        <f t="array" ref="BZ43">_xlfn.IFS($D43="","",AND(BX43=$C43,BY43=$D43),3,($C43-$D43)/MAX(ABS($C43-$D43),1)=(BX43-BY43)/MAX(ABS(BX43-BY43),1),1,TRUE,0)</f>
        <v/>
      </c>
      <c r="CA43" s="18"/>
      <c r="CB43" s="19"/>
      <c r="CC43" s="33" t="str" cm="1">
        <f t="array" ref="CC43">_xlfn.IFS($D43="","",AND(CA43=$C43,CB43=$D43),3,($C43-$D43)/MAX(ABS($C43-$D43),1)=(CA43-CB43)/MAX(ABS(CA43-CB43),1),1,TRUE,0)</f>
        <v/>
      </c>
      <c r="CD43" s="18"/>
      <c r="CE43" s="19"/>
      <c r="CF43" s="33" t="str" cm="1">
        <f t="array" ref="CF43">_xlfn.IFS($D43="","",AND(CD43=$C43,CE43=$D43),3,($C43-$D43)/MAX(ABS($C43-$D43),1)=(CD43-CE43)/MAX(ABS(CD43-CE43),1),1,TRUE,0)</f>
        <v/>
      </c>
      <c r="CG43" s="18"/>
      <c r="CH43" s="19"/>
      <c r="CI43" s="33" t="str" cm="1">
        <f t="array" ref="CI43">_xlfn.IFS($D43="","",AND(CG43=$C43,CH43=$D43),3,($C43-$D43)/MAX(ABS($C43-$D43),1)=(CG43-CH43)/MAX(ABS(CG43-CH43),1),1,TRUE,0)</f>
        <v/>
      </c>
      <c r="CJ43" s="18"/>
      <c r="CK43" s="19"/>
      <c r="CL43" s="33" t="str" cm="1">
        <f t="array" ref="CL43">_xlfn.IFS($D43="","",AND(CJ43=$C43,CK43=$D43),3,($C43-$D43)/MAX(ABS($C43-$D43),1)=(CJ43-CK43)/MAX(ABS(CJ43-CK43),1),1,TRUE,0)</f>
        <v/>
      </c>
      <c r="CM43" s="18"/>
      <c r="CN43" s="19"/>
      <c r="CO43" s="33" t="str" cm="1">
        <f t="array" ref="CO43">_xlfn.IFS($D43="","",AND(CM43=$C43,CN43=$D43),3,($C43-$D43)/MAX(ABS($C43-$D43),1)=(CM43-CN43)/MAX(ABS(CM43-CN43),1),1,TRUE,0)</f>
        <v/>
      </c>
      <c r="CP43" s="18"/>
      <c r="CQ43" s="19"/>
      <c r="CR43" s="33" t="str" cm="1">
        <f t="array" ref="CR43">_xlfn.IFS($D43="","",AND(CP43=$C43,CQ43=$D43),3,($C43-$D43)/MAX(ABS($C43-$D43),1)=(CP43-CQ43)/MAX(ABS(CP43-CQ43),1),1,TRUE,0)</f>
        <v/>
      </c>
      <c r="CS43" s="18"/>
      <c r="CT43" s="19"/>
      <c r="CU43" s="33" t="str" cm="1">
        <f t="array" ref="CU43">_xlfn.IFS($D43="","",AND(CS43=$C43,CT43=$D43),3,($C43-$D43)/MAX(ABS($C43-$D43),1)=(CS43-CT43)/MAX(ABS(CS43-CT43),1),1,TRUE,0)</f>
        <v/>
      </c>
      <c r="CV43" s="18"/>
      <c r="CW43" s="19"/>
      <c r="CX43" s="33" t="str" cm="1">
        <f t="array" ref="CX43">_xlfn.IFS($D43="","",AND(CV43=$C43,CW43=$D43),3,($C43-$D43)/MAX(ABS($C43-$D43),1)=(CV43-CW43)/MAX(ABS(CV43-CW43),1),1,TRUE,0)</f>
        <v/>
      </c>
      <c r="CY43" s="18"/>
      <c r="CZ43" s="19"/>
      <c r="DA43" s="33" t="str" cm="1">
        <f t="array" ref="DA43">_xlfn.IFS($D43="","",AND(CY43=$C43,CZ43=$D43),3,($C43-$D43)/MAX(ABS($C43-$D43),1)=(CY43-CZ43)/MAX(ABS(CY43-CZ43),1),1,TRUE,0)</f>
        <v/>
      </c>
      <c r="DB43" s="37"/>
      <c r="DC43" s="38"/>
      <c r="DD43" s="33" t="str" cm="1">
        <f t="array" ref="DD43">_xlfn.IFS($D43="","",AND(DB43=$C43,DC43=$D43),3,($C43-$D43)/MAX(ABS($C43-$D43),1)=(DB43-DC43)/MAX(ABS(DB43-DC43),1),1,TRUE,0)</f>
        <v/>
      </c>
      <c r="DE43" s="18"/>
      <c r="DF43" s="19"/>
      <c r="DG43" s="33" t="str" cm="1">
        <f t="array" ref="DG43">_xlfn.IFS($D43="","",AND(DE43=$C43,DF43=$D43),3,($C43-$D43)/MAX(ABS($C43-$D43),1)=(DE43-DF43)/MAX(ABS(DE43-DF43),1),1,TRUE,0)</f>
        <v/>
      </c>
      <c r="DH43" s="18"/>
      <c r="DI43" s="19"/>
      <c r="DJ43" s="33" t="str" cm="1">
        <f t="array" ref="DJ43">_xlfn.IFS($D43="","",AND(DH43=$C43,DI43=$D43),3,($C43-$D43)/MAX(ABS($C43-$D43),1)=(DH43-DI43)/MAX(ABS(DH43-DI43),1),1,TRUE,0)</f>
        <v/>
      </c>
      <c r="DK43" s="18"/>
      <c r="DL43" s="19"/>
      <c r="DM43" s="33" t="str" cm="1">
        <f t="array" ref="DM43">_xlfn.IFS($D43="","",AND(DK43=$C43,DL43=$D43),3,($C43-$D43)/MAX(ABS($C43-$D43),1)=(DK43-DL43)/MAX(ABS(DK43-DL43),1),1,TRUE,0)</f>
        <v/>
      </c>
      <c r="DN43" s="18"/>
      <c r="DO43" s="19"/>
      <c r="DP43" s="33" t="str" cm="1">
        <f t="array" ref="DP43">_xlfn.IFS($D43="","",AND(DN43=$C43,DO43=$D43),3,($C43-$D43)/MAX(ABS($C43-$D43),1)=(DN43-DO43)/MAX(ABS(DN43-DO43),1),1,TRUE,0)</f>
        <v/>
      </c>
      <c r="DQ43" s="18"/>
      <c r="DR43" s="19"/>
      <c r="DS43" s="33" t="str" cm="1">
        <f t="array" ref="DS43">_xlfn.IFS($D43="","",AND(DQ43=$C43,DR43=$D43),3,($C43-$D43)/MAX(ABS($C43-$D43),1)=(DQ43-DR43)/MAX(ABS(DQ43-DR43),1),1,TRUE,0)</f>
        <v/>
      </c>
      <c r="DT43" s="18"/>
      <c r="DU43" s="19"/>
      <c r="DV43" s="33" t="str" cm="1">
        <f t="array" ref="DV43">_xlfn.IFS($D43="","",AND(DT43=$C43,DU43=$D43),3,($C43-$D43)/MAX(ABS($C43-$D43),1)=(DT43-DU43)/MAX(ABS(DT43-DU43),1),1,TRUE,0)</f>
        <v/>
      </c>
      <c r="DW43" s="18"/>
      <c r="DX43" s="19"/>
      <c r="DY43" s="33" t="str" cm="1">
        <f t="array" ref="DY43">_xlfn.IFS($D43="","",AND(DW43=$C43,DX43=$D43),3,($C43-$D43)/MAX(ABS($C43-$D43),1)=(DW43-DX43)/MAX(ABS(DW43-DX43),1),1,TRUE,0)</f>
        <v/>
      </c>
      <c r="DZ43" s="18"/>
      <c r="EA43" s="19"/>
      <c r="EB43" s="33" t="str" cm="1">
        <f t="array" ref="EB43">_xlfn.IFS($D43="","",AND(DZ43=$C43,EA43=$D43),3,($C43-$D43)/MAX(ABS($C43-$D43),1)=(DZ43-EA43)/MAX(ABS(DZ43-EA43),1),1,TRUE,0)</f>
        <v/>
      </c>
      <c r="EC43" s="18"/>
      <c r="ED43" s="19"/>
      <c r="EE43" s="33" t="str" cm="1">
        <f t="array" ref="EE43">_xlfn.IFS($D43="","",AND(EC43=$C43,ED43=$D43),3,($C43-$D43)/MAX(ABS($C43-$D43),1)=(EC43-ED43)/MAX(ABS(EC43-ED43),1),1,TRUE,0)</f>
        <v/>
      </c>
      <c r="EF43" s="18"/>
      <c r="EG43" s="19"/>
      <c r="EH43" s="33" t="str" cm="1">
        <f t="array" ref="EH43">_xlfn.IFS($D43="","",AND(EF43=$C43,EG43=$D43),3,($C43-$D43)/MAX(ABS($C43-$D43),1)=(EF43-EG43)/MAX(ABS(EF43-EG43),1),1,TRUE,0)</f>
        <v/>
      </c>
      <c r="EI43" s="50"/>
      <c r="EJ43" s="51"/>
      <c r="EK43" s="33" t="str" cm="1">
        <f t="array" ref="EK43">_xlfn.IFS($D43="","",AND(EI43=$C43,EJ43=$D43),3,($C43-$D43)/MAX(ABS($C43-$D43),1)=(EI43-EJ43)/MAX(ABS(EI43-EJ43),1),1,TRUE,0)</f>
        <v/>
      </c>
      <c r="EL43" s="18"/>
      <c r="EM43" s="19"/>
      <c r="EN43" s="33" t="str" cm="1">
        <f t="array" ref="EN43">_xlfn.IFS($D43="","",AND(EL43=$C43,EM43=$D43),3,($C43-$D43)/MAX(ABS($C43-$D43),1)=(EL43-EM43)/MAX(ABS(EL43-EM43),1),1,TRUE,0)</f>
        <v/>
      </c>
      <c r="EO43" s="18"/>
      <c r="EP43" s="19"/>
      <c r="EQ43" s="33" t="str" cm="1">
        <f t="array" ref="EQ43">_xlfn.IFS($D43="","",AND(EO43=$C43,EP43=$D43),3,($C43-$D43)/MAX(ABS($C43-$D43),1)=(EO43-EP43)/MAX(ABS(EO43-EP43),1),1,TRUE,0)</f>
        <v/>
      </c>
      <c r="ER43" s="18"/>
      <c r="ES43" s="19"/>
      <c r="ET43" s="33" t="str" cm="1">
        <f t="array" ref="ET43">_xlfn.IFS($D43="","",AND(ER43=$C43,ES43=$D43),3,($C43-$D43)/MAX(ABS($C43-$D43),1)=(ER43-ES43)/MAX(ABS(ER43-ES43),1),1,TRUE,0)</f>
        <v/>
      </c>
      <c r="EU43" s="18"/>
      <c r="EV43" s="19"/>
      <c r="EW43" s="33" t="str" cm="1">
        <f t="array" ref="EW43">_xlfn.IFS($D43="","",AND(EU43=$C43,EV43=$D43),3,($C43-$D43)/MAX(ABS($C43-$D43),1)=(EU43-EV43)/MAX(ABS(EU43-EV43),1),1,TRUE,0)</f>
        <v/>
      </c>
      <c r="EX43" s="18"/>
      <c r="EY43" s="19"/>
      <c r="EZ43" s="33" t="str" cm="1">
        <f t="array" ref="EZ43">_xlfn.IFS($D43="","",AND(EX43=$C43,EY43=$D43),3,($C43-$D43)/MAX(ABS($C43-$D43),1)=(EX43-EY43)/MAX(ABS(EX43-EY43),1),1,TRUE,0)</f>
        <v/>
      </c>
      <c r="FA43" s="18"/>
      <c r="FB43" s="19"/>
      <c r="FC43" s="33" t="str" cm="1">
        <f t="array" ref="FC43">_xlfn.IFS($D43="","",AND(FA43=$C43,FB43=$D43),3,($C43-$D43)/MAX(ABS($C43-$D43),1)=(FA43-FB43)/MAX(ABS(FA43-FB43),1),1,TRUE,0)</f>
        <v/>
      </c>
      <c r="FD43" s="18"/>
      <c r="FE43" s="19"/>
      <c r="FF43" s="33" t="str" cm="1">
        <f t="array" ref="FF43">_xlfn.IFS($D43="","",AND(FD43=$C43,FE43=$D43),3,($C43-$D43)/MAX(ABS($C43-$D43),1)=(FD43-FE43)/MAX(ABS(FD43-FE43),1),1,TRUE,0)</f>
        <v/>
      </c>
      <c r="FG43" s="18"/>
      <c r="FH43" s="19"/>
      <c r="FI43" s="33" t="str" cm="1">
        <f t="array" ref="FI43">_xlfn.IFS($D43="","",AND(FG43=$C43,FH43=$D43),3,($C43-$D43)/MAX(ABS($C43-$D43),1)=(FG43-FH43)/MAX(ABS(FG43-FH43),1),1,TRUE,0)</f>
        <v/>
      </c>
      <c r="FJ43" s="18"/>
      <c r="FK43" s="19"/>
      <c r="FL43" s="33" t="str" cm="1">
        <f t="array" ref="FL43">_xlfn.IFS($D43="","",AND(FJ43=$C43,FK43=$D43),3,($C43-$D43)/MAX(ABS($C43-$D43),1)=(FJ43-FK43)/MAX(ABS(FJ43-FK43),1),1,TRUE,0)</f>
        <v/>
      </c>
      <c r="FM43" s="18"/>
      <c r="FN43" s="19"/>
      <c r="FO43" s="33" t="str" cm="1">
        <f t="array" ref="FO43">_xlfn.IFS($D43="","",AND(FM43=$C43,FN43=$D43),3,($C43-$D43)/MAX(ABS($C43-$D43),1)=(FM43-FN43)/MAX(ABS(FM43-FN43),1),1,TRUE,0)</f>
        <v/>
      </c>
      <c r="FP43" s="18"/>
      <c r="FQ43" s="19"/>
      <c r="FR43" s="33" t="str" cm="1">
        <f t="array" ref="FR43">_xlfn.IFS($D43="","",AND(FP43=$C43,FQ43=$D43),3,($C43-$D43)/MAX(ABS($C43-$D43),1)=(FP43-FQ43)/MAX(ABS(FP43-FQ43),1),1,TRUE,0)</f>
        <v/>
      </c>
      <c r="FS43" s="18"/>
      <c r="FT43" s="19"/>
      <c r="FU43" s="33" t="str" cm="1">
        <f t="array" ref="FU43">_xlfn.IFS($D43="","",AND(FS43=$C43,FT43=$D43),3,($C43-$D43)/MAX(ABS($C43-$D43),1)=(FS43-FT43)/MAX(ABS(FS43-FT43),1),1,TRUE,0)</f>
        <v/>
      </c>
      <c r="FV43" s="18"/>
      <c r="FW43" s="19"/>
      <c r="FX43" s="33" t="str" cm="1">
        <f t="array" ref="FX43">_xlfn.IFS($D43="","",AND(FV43=$C43,FW43=$D43),3,($C43-$D43)/MAX(ABS($C43-$D43),1)=(FV43-FW43)/MAX(ABS(FV43-FW43),1),1,TRUE,0)</f>
        <v/>
      </c>
      <c r="FY43" s="18"/>
      <c r="FZ43" s="19"/>
      <c r="GA43" s="33" t="str" cm="1">
        <f t="array" ref="GA43">_xlfn.IFS($D43="","",AND(FY43=$C43,FZ43=$D43),3,($C43-$D43)/MAX(ABS($C43-$D43),1)=(FY43-FZ43)/MAX(ABS(FY43-FZ43),1),1,TRUE,0)</f>
        <v/>
      </c>
      <c r="GB43" s="18"/>
      <c r="GC43" s="19"/>
      <c r="GD43" s="33" t="str" cm="1">
        <f t="array" ref="GD43">_xlfn.IFS($D43="","",AND(GB43=$C43,GC43=$D43),3,($C43-$D43)/MAX(ABS($C43-$D43),1)=(GB43-GC43)/MAX(ABS(GB43-GC43),1),1,TRUE,0)</f>
        <v/>
      </c>
      <c r="GE43" s="52"/>
      <c r="GF43" s="19"/>
      <c r="GG43" s="33" t="str" cm="1">
        <f t="array" ref="GG43">_xlfn.IFS($D43="","",AND(GE43=$C43,GF43=$D43),3,($C43-$D43)/MAX(ABS($C43-$D43),1)=(GE43-GF43)/MAX(ABS(GE43-GF43),1),1,TRUE,0)</f>
        <v/>
      </c>
      <c r="GH43" s="18"/>
      <c r="GI43" s="19"/>
      <c r="GJ43" s="33" t="str" cm="1">
        <f t="array" ref="GJ43">_xlfn.IFS($D43="","",AND(GH43=$C43,GI43=$D43),3,($C43-$D43)/MAX(ABS($C43-$D43),1)=(GH43-GI43)/MAX(ABS(GH43-GI43),1),1,TRUE,0)</f>
        <v/>
      </c>
      <c r="GK43" s="18"/>
      <c r="GL43" s="19"/>
      <c r="GM43" s="33" t="str" cm="1">
        <f t="array" ref="GM43">_xlfn.IFS($D43="","",AND(GK43=$C43,GL43=$D43),3,($C43-$D43)/MAX(ABS($C43-$D43),1)=(GK43-GL43)/MAX(ABS(GK43-GL43),1),1,TRUE,0)</f>
        <v/>
      </c>
      <c r="GN43" s="18"/>
      <c r="GO43" s="19"/>
      <c r="GP43" s="33" t="str" cm="1">
        <f t="array" ref="GP43">_xlfn.IFS($D43="","",AND(GN43=$C43,GO43=$D43),3,($C43-$D43)/MAX(ABS($C43-$D43),1)=(GN43-GO43)/MAX(ABS(GN43-GO43),1),1,TRUE,0)</f>
        <v/>
      </c>
      <c r="GQ43" s="18"/>
      <c r="GR43" s="19"/>
      <c r="GS43" s="33" t="str" cm="1">
        <f t="array" ref="GS43">_xlfn.IFS($D43="","",AND(GQ43=$C43,GR43=$D43),3,($C43-$D43)/MAX(ABS($C43-$D43),1)=(GQ43-GR43)/MAX(ABS(GQ43-GR43),1),1,TRUE,0)</f>
        <v/>
      </c>
      <c r="GT43" s="18"/>
      <c r="GU43" s="19"/>
      <c r="GV43" s="33" t="str" cm="1">
        <f t="array" ref="GV43">_xlfn.IFS($D43="","",AND(GT43=$C43,GU43=$D43),3,($C43-$D43)/MAX(ABS($C43-$D43),1)=(GT43-GU43)/MAX(ABS(GT43-GU43),1),1,TRUE,0)</f>
        <v/>
      </c>
      <c r="GW43" s="18"/>
      <c r="GX43" s="19"/>
      <c r="GY43" s="33" t="str" cm="1">
        <f t="array" ref="GY43">_xlfn.IFS($D43="","",AND(GW43=$C43,GX43=$D43),3,($C43-$D43)/MAX(ABS($C43-$D43),1)=(GW43-GX43)/MAX(ABS(GW43-GX43),1),1,TRUE,0)</f>
        <v/>
      </c>
      <c r="GZ43" s="18"/>
      <c r="HA43" s="19"/>
      <c r="HB43" s="33" t="str" cm="1">
        <f t="array" ref="HB43">_xlfn.IFS($D43="","",AND(GZ43=$C43,HA43=$D43),3,($C43-$D43)/MAX(ABS($C43-$D43),1)=(GZ43-HA43)/MAX(ABS(GZ43-HA43),1),1,TRUE,0)</f>
        <v/>
      </c>
      <c r="HC43" s="18"/>
      <c r="HD43" s="19"/>
      <c r="HE43" s="33" t="str" cm="1">
        <f t="array" ref="HE43">_xlfn.IFS($D43="","",AND(HC43=$C43,HD43=$D43),3,($C43-$D43)/MAX(ABS($C43-$D43),1)=(HC43-HD43)/MAX(ABS(HC43-HD43),1),1,TRUE,0)</f>
        <v/>
      </c>
      <c r="HF43" s="18"/>
      <c r="HG43" s="19"/>
      <c r="HH43" s="33" t="str" cm="1">
        <f t="array" ref="HH43">_xlfn.IFS($D43="","",AND(HF43=$C43,HG43=$D43),3,($C43-$D43)/MAX(ABS($C43-$D43),1)=(HF43-HG43)/MAX(ABS(HF43-HG43),1),1,TRUE,0)</f>
        <v/>
      </c>
      <c r="HI43" s="18"/>
      <c r="HJ43" s="19"/>
      <c r="HK43" s="33" t="str" cm="1">
        <f t="array" ref="HK43">_xlfn.IFS($D43="","",AND(HI43=$C43,HJ43=$D43),3,($C43-$D43)/MAX(ABS($C43-$D43),1)=(HI43-HJ43)/MAX(ABS(HI43-HJ43),1),1,TRUE,0)</f>
        <v/>
      </c>
      <c r="HL43" s="18"/>
      <c r="HM43" s="19"/>
      <c r="HN43" s="33" t="str" cm="1">
        <f t="array" ref="HN43">_xlfn.IFS($D43="","",AND(HL43=$C43,HM43=$D43),3,($C43-$D43)/MAX(ABS($C43-$D43),1)=(HL43-HM43)/MAX(ABS(HL43-HM43),1),1,TRUE,0)</f>
        <v/>
      </c>
      <c r="HO43" s="18"/>
      <c r="HP43" s="19"/>
      <c r="HQ43" s="33" t="str" cm="1">
        <f t="array" ref="HQ43">_xlfn.IFS($D43="","",AND(HO43=$C43,HP43=$D43),3,($C43-$D43)/MAX(ABS($C43-$D43),1)=(HO43-HP43)/MAX(ABS(HO43-HP43),1),1,TRUE,0)</f>
        <v/>
      </c>
      <c r="HR43" s="18"/>
      <c r="HS43" s="19"/>
      <c r="HT43" s="33" t="str" cm="1">
        <f t="array" ref="HT43">_xlfn.IFS($D43="","",AND(HR43=$C43,HS43=$D43),3,($C43-$D43)/MAX(ABS($C43-$D43),1)=(HR43-HS43)/MAX(ABS(HR43-HS43),1),1,TRUE,0)</f>
        <v/>
      </c>
      <c r="HU43" s="18"/>
      <c r="HV43" s="19"/>
      <c r="HW43" s="33" t="str" cm="1">
        <f t="array" ref="HW43">_xlfn.IFS($D43="","",AND(HU43=$C43,HV43=$D43),3,($C43-$D43)/MAX(ABS($C43-$D43),1)=(HU43-HV43)/MAX(ABS(HU43-HV43),1),1,TRUE,0)</f>
        <v/>
      </c>
      <c r="HX43" s="18"/>
      <c r="HY43" s="19"/>
      <c r="HZ43" s="33" t="str" cm="1">
        <f t="array" ref="HZ43">_xlfn.IFS($D43="","",AND(HX43=$C43,HY43=$D43),3,($C43-$D43)/MAX(ABS($C43-$D43),1)=(HX43-HY43)/MAX(ABS(HX43-HY43),1),1,TRUE,0)</f>
        <v/>
      </c>
      <c r="IA43" s="18"/>
      <c r="IB43" s="19"/>
      <c r="IC43" s="33" t="str" cm="1">
        <f t="array" ref="IC43">_xlfn.IFS($D43="","",AND(IA43=$C43,IB43=$D43),3,($C43-$D43)/MAX(ABS($C43-$D43),1)=(IA43-IB43)/MAX(ABS(IA43-IB43),1),1,TRUE,0)</f>
        <v/>
      </c>
      <c r="ID43" s="18"/>
      <c r="IE43" s="19"/>
      <c r="IF43" s="33" t="str" cm="1">
        <f t="array" ref="IF43">_xlfn.IFS($D43="","",AND(ID43=$C43,IE43=$D43),3,($C43-$D43)/MAX(ABS($C43-$D43),1)=(ID43-IE43)/MAX(ABS(ID43-IE43),1),1,TRUE,0)</f>
        <v/>
      </c>
      <c r="IG43" s="18"/>
      <c r="IH43" s="19"/>
      <c r="II43" s="33" t="str" cm="1">
        <f t="array" ref="II43">_xlfn.IFS($D43="","",AND(IG43=$C43,IH43=$D43),3,($C43-$D43)/MAX(ABS($C43-$D43),1)=(IG43-IH43)/MAX(ABS(IG43-IH43),1),1,TRUE,0)</f>
        <v/>
      </c>
      <c r="IJ43" s="18"/>
      <c r="IK43" s="19"/>
      <c r="IL43" s="33" t="str" cm="1">
        <f t="array" ref="IL43">_xlfn.IFS($D43="","",AND(IJ43=$C43,IK43=$D43),3,($C43-$D43)/MAX(ABS($C43-$D43),1)=(IJ43-IK43)/MAX(ABS(IJ43-IK43),1),1,TRUE,0)</f>
        <v/>
      </c>
      <c r="IM43" s="18"/>
      <c r="IN43" s="19"/>
      <c r="IO43" s="33" t="str" cm="1">
        <f t="array" ref="IO43">_xlfn.IFS($D43="","",AND(IM43=$C43,IN43=$D43),3,($C43-$D43)/MAX(ABS($C43-$D43),1)=(IM43-IN43)/MAX(ABS(IM43-IN43),1),1,TRUE,0)</f>
        <v/>
      </c>
      <c r="IP43" s="18"/>
      <c r="IQ43" s="19"/>
      <c r="IR43" s="33" t="str" cm="1">
        <f t="array" ref="IR43">_xlfn.IFS($D43="","",AND(IP43=$C43,IQ43=$D43),3,($C43-$D43)/MAX(ABS($C43-$D43),1)=(IP43-IQ43)/MAX(ABS(IP43-IQ43),1),1,TRUE,0)</f>
        <v/>
      </c>
      <c r="IS43" s="18"/>
      <c r="IT43" s="19"/>
      <c r="IU43" s="33" t="str" cm="1">
        <f t="array" ref="IU43">_xlfn.IFS($D43="","",AND(IS43=$C43,IT43=$D43),3,($C43-$D43)/MAX(ABS($C43-$D43),1)=(IS43-IT43)/MAX(ABS(IS43-IT43),1),1,TRUE,0)</f>
        <v/>
      </c>
      <c r="IV43" s="18"/>
      <c r="IW43" s="19"/>
      <c r="IX43" s="33" t="str" cm="1">
        <f t="array" ref="IX43">_xlfn.IFS($D43="","",AND(IV43=$C43,IW43=$D43),3,($C43-$D43)/MAX(ABS($C43-$D43),1)=(IV43-IW43)/MAX(ABS(IV43-IW43),1),1,TRUE,0)</f>
        <v/>
      </c>
      <c r="IY43" s="18"/>
      <c r="IZ43" s="19"/>
      <c r="JA43" s="33" t="str" cm="1">
        <f t="array" ref="JA43">_xlfn.IFS($D43="","",AND(IY43=$C43,IZ43=$D43),3,($C43-$D43)/MAX(ABS($C43-$D43),1)=(IY43-IZ43)/MAX(ABS(IY43-IZ43),1),1,TRUE,0)</f>
        <v/>
      </c>
      <c r="JB43" s="18"/>
      <c r="JC43" s="19"/>
      <c r="JD43" s="33" t="str" cm="1">
        <f t="array" ref="JD43">_xlfn.IFS($D43="","",AND(JB43=$C43,JC43=$D43),3,($C43-$D43)/MAX(ABS($C43-$D43),1)=(JB43-JC43)/MAX(ABS(JB43-JC43),1),1,TRUE,0)</f>
        <v/>
      </c>
    </row>
    <row r="44" spans="1:264" ht="15" thickBot="1" x14ac:dyDescent="0.35">
      <c r="A44" s="22">
        <v>46195</v>
      </c>
      <c r="B44" s="28" t="s">
        <v>11</v>
      </c>
      <c r="C44" s="53" t="str" cm="1">
        <f t="array" ref="C44">_xlfn.LET(
_xlpm.x,_xlfn.XLOOKUP(1,(Scores_Fixtures[Date]=A44)*(Scores_Fixtures[Home.1]=B44),Scores_Fixtures[Score.1],""),
IF(_xlpm.x="","",_xlpm.x)
)</f>
        <v/>
      </c>
      <c r="D44" s="53" t="str" cm="1">
        <f t="array" ref="D44">_xlfn.LET(
_xlpm.x,_xlfn.XLOOKUP(1,(Scores_Fixtures[Date]=A44)*(Scores_Fixtures[Home.1]=B44),Scores_Fixtures[Score.2],""),
IF(_xlpm.x="","",_xlpm.x)
)</f>
        <v/>
      </c>
      <c r="E44" s="12" t="s">
        <v>46</v>
      </c>
      <c r="F44" s="15"/>
      <c r="G44" s="53"/>
      <c r="H44" s="53"/>
      <c r="I44" s="33" t="str" cm="1">
        <f t="array" ref="I44">_xlfn.IFS($D44="","",AND(G44=$C44,H44=$D44),3,($C44-$D44)/MAX(ABS($C44-$D44),1)=(G44-H44)/MAX(ABS(G44-H44),1),1,TRUE,0)</f>
        <v/>
      </c>
      <c r="J44" s="18"/>
      <c r="K44" s="19"/>
      <c r="L44" s="33" t="str" cm="1">
        <f t="array" ref="L44">_xlfn.IFS($D44="","",AND(J44=$C44,K44=$D44),3,($C44-$D44)/MAX(ABS($C44-$D44),1)=(J44-K44)/MAX(ABS(J44-K44),1),1,TRUE,0)</f>
        <v/>
      </c>
      <c r="M44" s="18"/>
      <c r="N44" s="19"/>
      <c r="O44" s="33" t="str" cm="1">
        <f t="array" ref="O44">_xlfn.IFS($D44="","",AND(M44=$C44,N44=$D44),3,($C44-$D44)/MAX(ABS($C44-$D44),1)=(M44-N44)/MAX(ABS(M44-N44),1),1,TRUE,0)</f>
        <v/>
      </c>
      <c r="P44" s="18"/>
      <c r="Q44" s="19"/>
      <c r="R44" s="33" t="str" cm="1">
        <f t="array" ref="R44">_xlfn.IFS($D44="","",AND(P44=$C44,Q44=$D44),3,($C44-$D44)/MAX(ABS($C44-$D44),1)=(P44-Q44)/MAX(ABS(P44-Q44),1),1,TRUE,0)</f>
        <v/>
      </c>
      <c r="S44" s="18"/>
      <c r="T44" s="19"/>
      <c r="U44" s="33" t="str" cm="1">
        <f t="array" ref="U44">_xlfn.IFS($D44="","",AND(S44=$C44,T44=$D44),3,($C44-$D44)/MAX(ABS($C44-$D44),1)=(S44-T44)/MAX(ABS(S44-T44),1),1,TRUE,0)</f>
        <v/>
      </c>
      <c r="V44" s="18"/>
      <c r="W44" s="19"/>
      <c r="X44" s="33" t="str" cm="1">
        <f t="array" ref="X44">_xlfn.IFS($D44="","",AND(V44=$C44,W44=$D44),3,($C44-$D44)/MAX(ABS($C44-$D44),1)=(V44-W44)/MAX(ABS(V44-W44),1),1,TRUE,0)</f>
        <v/>
      </c>
      <c r="Y44" s="18"/>
      <c r="Z44" s="19"/>
      <c r="AA44" s="33" t="str" cm="1">
        <f t="array" ref="AA44">_xlfn.IFS($D44="","",AND(Y44=$C44,Z44=$D44),3,($C44-$D44)/MAX(ABS($C44-$D44),1)=(Y44-Z44)/MAX(ABS(Y44-Z44),1),1,TRUE,0)</f>
        <v/>
      </c>
      <c r="AB44" s="18"/>
      <c r="AC44" s="19"/>
      <c r="AD44" s="33" t="str" cm="1">
        <f t="array" ref="AD44">_xlfn.IFS($D44="","",AND(AB44=$C44,AC44=$D44),3,($C44-$D44)/MAX(ABS($C44-$D44),1)=(AB44-AC44)/MAX(ABS(AB44-AC44),1),1,TRUE,0)</f>
        <v/>
      </c>
      <c r="AE44" s="18"/>
      <c r="AF44" s="19"/>
      <c r="AG44" s="33" t="str" cm="1">
        <f t="array" ref="AG44">_xlfn.IFS($D44="","",AND(AE44=$C44,AF44=$D44),3,($C44-$D44)/MAX(ABS($C44-$D44),1)=(AE44-AF44)/MAX(ABS(AE44-AF44),1),1,TRUE,0)</f>
        <v/>
      </c>
      <c r="AH44" s="18"/>
      <c r="AI44" s="19"/>
      <c r="AJ44" s="33" t="str" cm="1">
        <f t="array" ref="AJ44">_xlfn.IFS($D44="","",AND(AH44=$C44,AI44=$D44),3,($C44-$D44)/MAX(ABS($C44-$D44),1)=(AH44-AI44)/MAX(ABS(AH44-AI44),1),1,TRUE,0)</f>
        <v/>
      </c>
      <c r="AK44" s="18"/>
      <c r="AL44" s="19"/>
      <c r="AM44" s="33" t="str" cm="1">
        <f t="array" ref="AM44">_xlfn.IFS($D44="","",AND(AK44=$C44,AL44=$D44),3,($C44-$D44)/MAX(ABS($C44-$D44),1)=(AK44-AL44)/MAX(ABS(AK44-AL44),1),1,TRUE,0)</f>
        <v/>
      </c>
      <c r="AN44" s="18"/>
      <c r="AO44" s="19"/>
      <c r="AP44" s="33" t="str" cm="1">
        <f t="array" ref="AP44">_xlfn.IFS($D44="","",AND(AN44=$C44,AO44=$D44),3,($C44-$D44)/MAX(ABS($C44-$D44),1)=(AN44-AO44)/MAX(ABS(AN44-AO44),1),1,TRUE,0)</f>
        <v/>
      </c>
      <c r="AQ44" s="18"/>
      <c r="AR44" s="19"/>
      <c r="AS44" s="33" t="str" cm="1">
        <f t="array" ref="AS44">_xlfn.IFS($D44="","",AND(AQ44=$C44,AR44=$D44),3,($C44-$D44)/MAX(ABS($C44-$D44),1)=(AQ44-AR44)/MAX(ABS(AQ44-AR44),1),1,TRUE,0)</f>
        <v/>
      </c>
      <c r="AT44" s="18"/>
      <c r="AU44" s="19"/>
      <c r="AV44" s="33" t="str" cm="1">
        <f t="array" ref="AV44">_xlfn.IFS($D44="","",AND(AT44=$C44,AU44=$D44),3,($C44-$D44)/MAX(ABS($C44-$D44),1)=(AT44-AU44)/MAX(ABS(AT44-AU44),1),1,TRUE,0)</f>
        <v/>
      </c>
      <c r="AW44" s="18"/>
      <c r="AX44" s="19"/>
      <c r="AY44" s="33" t="str" cm="1">
        <f t="array" ref="AY44">_xlfn.IFS($D44="","",AND(AW44=$C44,AX44=$D44),3,($C44-$D44)/MAX(ABS($C44-$D44),1)=(AW44-AX44)/MAX(ABS(AW44-AX44),1),1,TRUE,0)</f>
        <v/>
      </c>
      <c r="AZ44" s="18"/>
      <c r="BA44" s="19"/>
      <c r="BB44" s="33" t="str" cm="1">
        <f t="array" ref="BB44">_xlfn.IFS($D44="","",AND(AZ44=$C44,BA44=$D44),3,($C44-$D44)/MAX(ABS($C44-$D44),1)=(AZ44-BA44)/MAX(ABS(AZ44-BA44),1),1,TRUE,0)</f>
        <v/>
      </c>
      <c r="BC44" s="18"/>
      <c r="BD44" s="19"/>
      <c r="BE44" s="33" t="str" cm="1">
        <f t="array" ref="BE44">_xlfn.IFS($D44="","",AND(BC44=$C44,BD44=$D44),3,($C44-$D44)/MAX(ABS($C44-$D44),1)=(BC44-BD44)/MAX(ABS(BC44-BD44),1),1,TRUE,0)</f>
        <v/>
      </c>
      <c r="BF44" s="18"/>
      <c r="BG44" s="19"/>
      <c r="BH44" s="33" t="str" cm="1">
        <f t="array" ref="BH44">_xlfn.IFS($D44="","",AND(BF44=$C44,BG44=$D44),3,($C44-$D44)/MAX(ABS($C44-$D44),1)=(BF44-BG44)/MAX(ABS(BF44-BG44),1),1,TRUE,0)</f>
        <v/>
      </c>
      <c r="BI44" s="18"/>
      <c r="BJ44" s="19"/>
      <c r="BK44" s="33" t="str" cm="1">
        <f t="array" ref="BK44">_xlfn.IFS($D44="","",AND(BI44=$C44,BJ44=$D44),3,($C44-$D44)/MAX(ABS($C44-$D44),1)=(BI44-BJ44)/MAX(ABS(BI44-BJ44),1),1,TRUE,0)</f>
        <v/>
      </c>
      <c r="BL44" s="18"/>
      <c r="BM44" s="19"/>
      <c r="BN44" s="33" t="str" cm="1">
        <f t="array" ref="BN44">_xlfn.IFS($D44="","",AND(BL44=$C44,BM44=$D44),3,($C44-$D44)/MAX(ABS($C44-$D44),1)=(BL44-BM44)/MAX(ABS(BL44-BM44),1),1,TRUE,0)</f>
        <v/>
      </c>
      <c r="BO44" s="18"/>
      <c r="BP44" s="19"/>
      <c r="BQ44" s="33" t="str" cm="1">
        <f t="array" ref="BQ44">_xlfn.IFS($D44="","",AND(BO44=$C44,BP44=$D44),3,($C44-$D44)/MAX(ABS($C44-$D44),1)=(BO44-BP44)/MAX(ABS(BO44-BP44),1),1,TRUE,0)</f>
        <v/>
      </c>
      <c r="BR44" s="18"/>
      <c r="BS44" s="19"/>
      <c r="BT44" s="33" t="str" cm="1">
        <f t="array" ref="BT44">_xlfn.IFS($D44="","",AND(BR44=$C44,BS44=$D44),3,($C44-$D44)/MAX(ABS($C44-$D44),1)=(BR44-BS44)/MAX(ABS(BR44-BS44),1),1,TRUE,0)</f>
        <v/>
      </c>
      <c r="BU44" s="18"/>
      <c r="BV44" s="19"/>
      <c r="BW44" s="33" t="str" cm="1">
        <f t="array" ref="BW44">_xlfn.IFS($D44="","",AND(BU44=$C44,BV44=$D44),3,($C44-$D44)/MAX(ABS($C44-$D44),1)=(BU44-BV44)/MAX(ABS(BU44-BV44),1),1,TRUE,0)</f>
        <v/>
      </c>
      <c r="BX44" s="18"/>
      <c r="BY44" s="19"/>
      <c r="BZ44" s="33" t="str" cm="1">
        <f t="array" ref="BZ44">_xlfn.IFS($D44="","",AND(BX44=$C44,BY44=$D44),3,($C44-$D44)/MAX(ABS($C44-$D44),1)=(BX44-BY44)/MAX(ABS(BX44-BY44),1),1,TRUE,0)</f>
        <v/>
      </c>
      <c r="CA44" s="18"/>
      <c r="CB44" s="19"/>
      <c r="CC44" s="33" t="str" cm="1">
        <f t="array" ref="CC44">_xlfn.IFS($D44="","",AND(CA44=$C44,CB44=$D44),3,($C44-$D44)/MAX(ABS($C44-$D44),1)=(CA44-CB44)/MAX(ABS(CA44-CB44),1),1,TRUE,0)</f>
        <v/>
      </c>
      <c r="CD44" s="18"/>
      <c r="CE44" s="19"/>
      <c r="CF44" s="33" t="str" cm="1">
        <f t="array" ref="CF44">_xlfn.IFS($D44="","",AND(CD44=$C44,CE44=$D44),3,($C44-$D44)/MAX(ABS($C44-$D44),1)=(CD44-CE44)/MAX(ABS(CD44-CE44),1),1,TRUE,0)</f>
        <v/>
      </c>
      <c r="CG44" s="18"/>
      <c r="CH44" s="19"/>
      <c r="CI44" s="33" t="str" cm="1">
        <f t="array" ref="CI44">_xlfn.IFS($D44="","",AND(CG44=$C44,CH44=$D44),3,($C44-$D44)/MAX(ABS($C44-$D44),1)=(CG44-CH44)/MAX(ABS(CG44-CH44),1),1,TRUE,0)</f>
        <v/>
      </c>
      <c r="CJ44" s="18"/>
      <c r="CK44" s="19"/>
      <c r="CL44" s="33" t="str" cm="1">
        <f t="array" ref="CL44">_xlfn.IFS($D44="","",AND(CJ44=$C44,CK44=$D44),3,($C44-$D44)/MAX(ABS($C44-$D44),1)=(CJ44-CK44)/MAX(ABS(CJ44-CK44),1),1,TRUE,0)</f>
        <v/>
      </c>
      <c r="CM44" s="18"/>
      <c r="CN44" s="19"/>
      <c r="CO44" s="33" t="str" cm="1">
        <f t="array" ref="CO44">_xlfn.IFS($D44="","",AND(CM44=$C44,CN44=$D44),3,($C44-$D44)/MAX(ABS($C44-$D44),1)=(CM44-CN44)/MAX(ABS(CM44-CN44),1),1,TRUE,0)</f>
        <v/>
      </c>
      <c r="CP44" s="18"/>
      <c r="CQ44" s="19"/>
      <c r="CR44" s="33" t="str" cm="1">
        <f t="array" ref="CR44">_xlfn.IFS($D44="","",AND(CP44=$C44,CQ44=$D44),3,($C44-$D44)/MAX(ABS($C44-$D44),1)=(CP44-CQ44)/MAX(ABS(CP44-CQ44),1),1,TRUE,0)</f>
        <v/>
      </c>
      <c r="CS44" s="18"/>
      <c r="CT44" s="19"/>
      <c r="CU44" s="33" t="str" cm="1">
        <f t="array" ref="CU44">_xlfn.IFS($D44="","",AND(CS44=$C44,CT44=$D44),3,($C44-$D44)/MAX(ABS($C44-$D44),1)=(CS44-CT44)/MAX(ABS(CS44-CT44),1),1,TRUE,0)</f>
        <v/>
      </c>
      <c r="CV44" s="18"/>
      <c r="CW44" s="19"/>
      <c r="CX44" s="33" t="str" cm="1">
        <f t="array" ref="CX44">_xlfn.IFS($D44="","",AND(CV44=$C44,CW44=$D44),3,($C44-$D44)/MAX(ABS($C44-$D44),1)=(CV44-CW44)/MAX(ABS(CV44-CW44),1),1,TRUE,0)</f>
        <v/>
      </c>
      <c r="CY44" s="18"/>
      <c r="CZ44" s="19"/>
      <c r="DA44" s="33" t="str" cm="1">
        <f t="array" ref="DA44">_xlfn.IFS($D44="","",AND(CY44=$C44,CZ44=$D44),3,($C44-$D44)/MAX(ABS($C44-$D44),1)=(CY44-CZ44)/MAX(ABS(CY44-CZ44),1),1,TRUE,0)</f>
        <v/>
      </c>
      <c r="DB44" s="37"/>
      <c r="DC44" s="38"/>
      <c r="DD44" s="33" t="str" cm="1">
        <f t="array" ref="DD44">_xlfn.IFS($D44="","",AND(DB44=$C44,DC44=$D44),3,($C44-$D44)/MAX(ABS($C44-$D44),1)=(DB44-DC44)/MAX(ABS(DB44-DC44),1),1,TRUE,0)</f>
        <v/>
      </c>
      <c r="DE44" s="18"/>
      <c r="DF44" s="19"/>
      <c r="DG44" s="33" t="str" cm="1">
        <f t="array" ref="DG44">_xlfn.IFS($D44="","",AND(DE44=$C44,DF44=$D44),3,($C44-$D44)/MAX(ABS($C44-$D44),1)=(DE44-DF44)/MAX(ABS(DE44-DF44),1),1,TRUE,0)</f>
        <v/>
      </c>
      <c r="DH44" s="18"/>
      <c r="DI44" s="19"/>
      <c r="DJ44" s="33" t="str" cm="1">
        <f t="array" ref="DJ44">_xlfn.IFS($D44="","",AND(DH44=$C44,DI44=$D44),3,($C44-$D44)/MAX(ABS($C44-$D44),1)=(DH44-DI44)/MAX(ABS(DH44-DI44),1),1,TRUE,0)</f>
        <v/>
      </c>
      <c r="DK44" s="18"/>
      <c r="DL44" s="19"/>
      <c r="DM44" s="33" t="str" cm="1">
        <f t="array" ref="DM44">_xlfn.IFS($D44="","",AND(DK44=$C44,DL44=$D44),3,($C44-$D44)/MAX(ABS($C44-$D44),1)=(DK44-DL44)/MAX(ABS(DK44-DL44),1),1,TRUE,0)</f>
        <v/>
      </c>
      <c r="DN44" s="18"/>
      <c r="DO44" s="19"/>
      <c r="DP44" s="33" t="str" cm="1">
        <f t="array" ref="DP44">_xlfn.IFS($D44="","",AND(DN44=$C44,DO44=$D44),3,($C44-$D44)/MAX(ABS($C44-$D44),1)=(DN44-DO44)/MAX(ABS(DN44-DO44),1),1,TRUE,0)</f>
        <v/>
      </c>
      <c r="DQ44" s="18"/>
      <c r="DR44" s="19"/>
      <c r="DS44" s="33" t="str" cm="1">
        <f t="array" ref="DS44">_xlfn.IFS($D44="","",AND(DQ44=$C44,DR44=$D44),3,($C44-$D44)/MAX(ABS($C44-$D44),1)=(DQ44-DR44)/MAX(ABS(DQ44-DR44),1),1,TRUE,0)</f>
        <v/>
      </c>
      <c r="DT44" s="18"/>
      <c r="DU44" s="19"/>
      <c r="DV44" s="33" t="str" cm="1">
        <f t="array" ref="DV44">_xlfn.IFS($D44="","",AND(DT44=$C44,DU44=$D44),3,($C44-$D44)/MAX(ABS($C44-$D44),1)=(DT44-DU44)/MAX(ABS(DT44-DU44),1),1,TRUE,0)</f>
        <v/>
      </c>
      <c r="DW44" s="18"/>
      <c r="DX44" s="19"/>
      <c r="DY44" s="33" t="str" cm="1">
        <f t="array" ref="DY44">_xlfn.IFS($D44="","",AND(DW44=$C44,DX44=$D44),3,($C44-$D44)/MAX(ABS($C44-$D44),1)=(DW44-DX44)/MAX(ABS(DW44-DX44),1),1,TRUE,0)</f>
        <v/>
      </c>
      <c r="DZ44" s="18"/>
      <c r="EA44" s="19"/>
      <c r="EB44" s="33" t="str" cm="1">
        <f t="array" ref="EB44">_xlfn.IFS($D44="","",AND(DZ44=$C44,EA44=$D44),3,($C44-$D44)/MAX(ABS($C44-$D44),1)=(DZ44-EA44)/MAX(ABS(DZ44-EA44),1),1,TRUE,0)</f>
        <v/>
      </c>
      <c r="EC44" s="18"/>
      <c r="ED44" s="19"/>
      <c r="EE44" s="33" t="str" cm="1">
        <f t="array" ref="EE44">_xlfn.IFS($D44="","",AND(EC44=$C44,ED44=$D44),3,($C44-$D44)/MAX(ABS($C44-$D44),1)=(EC44-ED44)/MAX(ABS(EC44-ED44),1),1,TRUE,0)</f>
        <v/>
      </c>
      <c r="EF44" s="18"/>
      <c r="EG44" s="19"/>
      <c r="EH44" s="33" t="str" cm="1">
        <f t="array" ref="EH44">_xlfn.IFS($D44="","",AND(EF44=$C44,EG44=$D44),3,($C44-$D44)/MAX(ABS($C44-$D44),1)=(EF44-EG44)/MAX(ABS(EF44-EG44),1),1,TRUE,0)</f>
        <v/>
      </c>
      <c r="EI44" s="50"/>
      <c r="EJ44" s="51"/>
      <c r="EK44" s="33" t="str" cm="1">
        <f t="array" ref="EK44">_xlfn.IFS($D44="","",AND(EI44=$C44,EJ44=$D44),3,($C44-$D44)/MAX(ABS($C44-$D44),1)=(EI44-EJ44)/MAX(ABS(EI44-EJ44),1),1,TRUE,0)</f>
        <v/>
      </c>
      <c r="EL44" s="18"/>
      <c r="EM44" s="19"/>
      <c r="EN44" s="33" t="str" cm="1">
        <f t="array" ref="EN44">_xlfn.IFS($D44="","",AND(EL44=$C44,EM44=$D44),3,($C44-$D44)/MAX(ABS($C44-$D44),1)=(EL44-EM44)/MAX(ABS(EL44-EM44),1),1,TRUE,0)</f>
        <v/>
      </c>
      <c r="EO44" s="18"/>
      <c r="EP44" s="19"/>
      <c r="EQ44" s="33" t="str" cm="1">
        <f t="array" ref="EQ44">_xlfn.IFS($D44="","",AND(EO44=$C44,EP44=$D44),3,($C44-$D44)/MAX(ABS($C44-$D44),1)=(EO44-EP44)/MAX(ABS(EO44-EP44),1),1,TRUE,0)</f>
        <v/>
      </c>
      <c r="ER44" s="18"/>
      <c r="ES44" s="19"/>
      <c r="ET44" s="33" t="str" cm="1">
        <f t="array" ref="ET44">_xlfn.IFS($D44="","",AND(ER44=$C44,ES44=$D44),3,($C44-$D44)/MAX(ABS($C44-$D44),1)=(ER44-ES44)/MAX(ABS(ER44-ES44),1),1,TRUE,0)</f>
        <v/>
      </c>
      <c r="EU44" s="18"/>
      <c r="EV44" s="19"/>
      <c r="EW44" s="33" t="str" cm="1">
        <f t="array" ref="EW44">_xlfn.IFS($D44="","",AND(EU44=$C44,EV44=$D44),3,($C44-$D44)/MAX(ABS($C44-$D44),1)=(EU44-EV44)/MAX(ABS(EU44-EV44),1),1,TRUE,0)</f>
        <v/>
      </c>
      <c r="EX44" s="18"/>
      <c r="EY44" s="19"/>
      <c r="EZ44" s="33" t="str" cm="1">
        <f t="array" ref="EZ44">_xlfn.IFS($D44="","",AND(EX44=$C44,EY44=$D44),3,($C44-$D44)/MAX(ABS($C44-$D44),1)=(EX44-EY44)/MAX(ABS(EX44-EY44),1),1,TRUE,0)</f>
        <v/>
      </c>
      <c r="FA44" s="18"/>
      <c r="FB44" s="19"/>
      <c r="FC44" s="33" t="str" cm="1">
        <f t="array" ref="FC44">_xlfn.IFS($D44="","",AND(FA44=$C44,FB44=$D44),3,($C44-$D44)/MAX(ABS($C44-$D44),1)=(FA44-FB44)/MAX(ABS(FA44-FB44),1),1,TRUE,0)</f>
        <v/>
      </c>
      <c r="FD44" s="18"/>
      <c r="FE44" s="19"/>
      <c r="FF44" s="33" t="str" cm="1">
        <f t="array" ref="FF44">_xlfn.IFS($D44="","",AND(FD44=$C44,FE44=$D44),3,($C44-$D44)/MAX(ABS($C44-$D44),1)=(FD44-FE44)/MAX(ABS(FD44-FE44),1),1,TRUE,0)</f>
        <v/>
      </c>
      <c r="FG44" s="18"/>
      <c r="FH44" s="19"/>
      <c r="FI44" s="33" t="str" cm="1">
        <f t="array" ref="FI44">_xlfn.IFS($D44="","",AND(FG44=$C44,FH44=$D44),3,($C44-$D44)/MAX(ABS($C44-$D44),1)=(FG44-FH44)/MAX(ABS(FG44-FH44),1),1,TRUE,0)</f>
        <v/>
      </c>
      <c r="FJ44" s="18"/>
      <c r="FK44" s="19"/>
      <c r="FL44" s="33" t="str" cm="1">
        <f t="array" ref="FL44">_xlfn.IFS($D44="","",AND(FJ44=$C44,FK44=$D44),3,($C44-$D44)/MAX(ABS($C44-$D44),1)=(FJ44-FK44)/MAX(ABS(FJ44-FK44),1),1,TRUE,0)</f>
        <v/>
      </c>
      <c r="FM44" s="18"/>
      <c r="FN44" s="19"/>
      <c r="FO44" s="33" t="str" cm="1">
        <f t="array" ref="FO44">_xlfn.IFS($D44="","",AND(FM44=$C44,FN44=$D44),3,($C44-$D44)/MAX(ABS($C44-$D44),1)=(FM44-FN44)/MAX(ABS(FM44-FN44),1),1,TRUE,0)</f>
        <v/>
      </c>
      <c r="FP44" s="18"/>
      <c r="FQ44" s="19"/>
      <c r="FR44" s="33" t="str" cm="1">
        <f t="array" ref="FR44">_xlfn.IFS($D44="","",AND(FP44=$C44,FQ44=$D44),3,($C44-$D44)/MAX(ABS($C44-$D44),1)=(FP44-FQ44)/MAX(ABS(FP44-FQ44),1),1,TRUE,0)</f>
        <v/>
      </c>
      <c r="FS44" s="18"/>
      <c r="FT44" s="19"/>
      <c r="FU44" s="33" t="str" cm="1">
        <f t="array" ref="FU44">_xlfn.IFS($D44="","",AND(FS44=$C44,FT44=$D44),3,($C44-$D44)/MAX(ABS($C44-$D44),1)=(FS44-FT44)/MAX(ABS(FS44-FT44),1),1,TRUE,0)</f>
        <v/>
      </c>
      <c r="FV44" s="18"/>
      <c r="FW44" s="19"/>
      <c r="FX44" s="33" t="str" cm="1">
        <f t="array" ref="FX44">_xlfn.IFS($D44="","",AND(FV44=$C44,FW44=$D44),3,($C44-$D44)/MAX(ABS($C44-$D44),1)=(FV44-FW44)/MAX(ABS(FV44-FW44),1),1,TRUE,0)</f>
        <v/>
      </c>
      <c r="FY44" s="18"/>
      <c r="FZ44" s="19"/>
      <c r="GA44" s="33" t="str" cm="1">
        <f t="array" ref="GA44">_xlfn.IFS($D44="","",AND(FY44=$C44,FZ44=$D44),3,($C44-$D44)/MAX(ABS($C44-$D44),1)=(FY44-FZ44)/MAX(ABS(FY44-FZ44),1),1,TRUE,0)</f>
        <v/>
      </c>
      <c r="GB44" s="18"/>
      <c r="GC44" s="19"/>
      <c r="GD44" s="33" t="str" cm="1">
        <f t="array" ref="GD44">_xlfn.IFS($D44="","",AND(GB44=$C44,GC44=$D44),3,($C44-$D44)/MAX(ABS($C44-$D44),1)=(GB44-GC44)/MAX(ABS(GB44-GC44),1),1,TRUE,0)</f>
        <v/>
      </c>
      <c r="GE44" s="52"/>
      <c r="GF44" s="19"/>
      <c r="GG44" s="33" t="str" cm="1">
        <f t="array" ref="GG44">_xlfn.IFS($D44="","",AND(GE44=$C44,GF44=$D44),3,($C44-$D44)/MAX(ABS($C44-$D44),1)=(GE44-GF44)/MAX(ABS(GE44-GF44),1),1,TRUE,0)</f>
        <v/>
      </c>
      <c r="GH44" s="18"/>
      <c r="GI44" s="19"/>
      <c r="GJ44" s="33" t="str" cm="1">
        <f t="array" ref="GJ44">_xlfn.IFS($D44="","",AND(GH44=$C44,GI44=$D44),3,($C44-$D44)/MAX(ABS($C44-$D44),1)=(GH44-GI44)/MAX(ABS(GH44-GI44),1),1,TRUE,0)</f>
        <v/>
      </c>
      <c r="GK44" s="18"/>
      <c r="GL44" s="19"/>
      <c r="GM44" s="33" t="str" cm="1">
        <f t="array" ref="GM44">_xlfn.IFS($D44="","",AND(GK44=$C44,GL44=$D44),3,($C44-$D44)/MAX(ABS($C44-$D44),1)=(GK44-GL44)/MAX(ABS(GK44-GL44),1),1,TRUE,0)</f>
        <v/>
      </c>
      <c r="GN44" s="18"/>
      <c r="GO44" s="19"/>
      <c r="GP44" s="33" t="str" cm="1">
        <f t="array" ref="GP44">_xlfn.IFS($D44="","",AND(GN44=$C44,GO44=$D44),3,($C44-$D44)/MAX(ABS($C44-$D44),1)=(GN44-GO44)/MAX(ABS(GN44-GO44),1),1,TRUE,0)</f>
        <v/>
      </c>
      <c r="GQ44" s="18"/>
      <c r="GR44" s="19"/>
      <c r="GS44" s="33" t="str" cm="1">
        <f t="array" ref="GS44">_xlfn.IFS($D44="","",AND(GQ44=$C44,GR44=$D44),3,($C44-$D44)/MAX(ABS($C44-$D44),1)=(GQ44-GR44)/MAX(ABS(GQ44-GR44),1),1,TRUE,0)</f>
        <v/>
      </c>
      <c r="GT44" s="18"/>
      <c r="GU44" s="19"/>
      <c r="GV44" s="33" t="str" cm="1">
        <f t="array" ref="GV44">_xlfn.IFS($D44="","",AND(GT44=$C44,GU44=$D44),3,($C44-$D44)/MAX(ABS($C44-$D44),1)=(GT44-GU44)/MAX(ABS(GT44-GU44),1),1,TRUE,0)</f>
        <v/>
      </c>
      <c r="GW44" s="18"/>
      <c r="GX44" s="19"/>
      <c r="GY44" s="33" t="str" cm="1">
        <f t="array" ref="GY44">_xlfn.IFS($D44="","",AND(GW44=$C44,GX44=$D44),3,($C44-$D44)/MAX(ABS($C44-$D44),1)=(GW44-GX44)/MAX(ABS(GW44-GX44),1),1,TRUE,0)</f>
        <v/>
      </c>
      <c r="GZ44" s="18"/>
      <c r="HA44" s="19"/>
      <c r="HB44" s="33" t="str" cm="1">
        <f t="array" ref="HB44">_xlfn.IFS($D44="","",AND(GZ44=$C44,HA44=$D44),3,($C44-$D44)/MAX(ABS($C44-$D44),1)=(GZ44-HA44)/MAX(ABS(GZ44-HA44),1),1,TRUE,0)</f>
        <v/>
      </c>
      <c r="HC44" s="18"/>
      <c r="HD44" s="19"/>
      <c r="HE44" s="33" t="str" cm="1">
        <f t="array" ref="HE44">_xlfn.IFS($D44="","",AND(HC44=$C44,HD44=$D44),3,($C44-$D44)/MAX(ABS($C44-$D44),1)=(HC44-HD44)/MAX(ABS(HC44-HD44),1),1,TRUE,0)</f>
        <v/>
      </c>
      <c r="HF44" s="18"/>
      <c r="HG44" s="19"/>
      <c r="HH44" s="33" t="str" cm="1">
        <f t="array" ref="HH44">_xlfn.IFS($D44="","",AND(HF44=$C44,HG44=$D44),3,($C44-$D44)/MAX(ABS($C44-$D44),1)=(HF44-HG44)/MAX(ABS(HF44-HG44),1),1,TRUE,0)</f>
        <v/>
      </c>
      <c r="HI44" s="18"/>
      <c r="HJ44" s="19"/>
      <c r="HK44" s="33" t="str" cm="1">
        <f t="array" ref="HK44">_xlfn.IFS($D44="","",AND(HI44=$C44,HJ44=$D44),3,($C44-$D44)/MAX(ABS($C44-$D44),1)=(HI44-HJ44)/MAX(ABS(HI44-HJ44),1),1,TRUE,0)</f>
        <v/>
      </c>
      <c r="HL44" s="18"/>
      <c r="HM44" s="19"/>
      <c r="HN44" s="33" t="str" cm="1">
        <f t="array" ref="HN44">_xlfn.IFS($D44="","",AND(HL44=$C44,HM44=$D44),3,($C44-$D44)/MAX(ABS($C44-$D44),1)=(HL44-HM44)/MAX(ABS(HL44-HM44),1),1,TRUE,0)</f>
        <v/>
      </c>
      <c r="HO44" s="18"/>
      <c r="HP44" s="19"/>
      <c r="HQ44" s="33" t="str" cm="1">
        <f t="array" ref="HQ44">_xlfn.IFS($D44="","",AND(HO44=$C44,HP44=$D44),3,($C44-$D44)/MAX(ABS($C44-$D44),1)=(HO44-HP44)/MAX(ABS(HO44-HP44),1),1,TRUE,0)</f>
        <v/>
      </c>
      <c r="HR44" s="18"/>
      <c r="HS44" s="19"/>
      <c r="HT44" s="33" t="str" cm="1">
        <f t="array" ref="HT44">_xlfn.IFS($D44="","",AND(HR44=$C44,HS44=$D44),3,($C44-$D44)/MAX(ABS($C44-$D44),1)=(HR44-HS44)/MAX(ABS(HR44-HS44),1),1,TRUE,0)</f>
        <v/>
      </c>
      <c r="HU44" s="18"/>
      <c r="HV44" s="19"/>
      <c r="HW44" s="33" t="str" cm="1">
        <f t="array" ref="HW44">_xlfn.IFS($D44="","",AND(HU44=$C44,HV44=$D44),3,($C44-$D44)/MAX(ABS($C44-$D44),1)=(HU44-HV44)/MAX(ABS(HU44-HV44),1),1,TRUE,0)</f>
        <v/>
      </c>
      <c r="HX44" s="18"/>
      <c r="HY44" s="19"/>
      <c r="HZ44" s="33" t="str" cm="1">
        <f t="array" ref="HZ44">_xlfn.IFS($D44="","",AND(HX44=$C44,HY44=$D44),3,($C44-$D44)/MAX(ABS($C44-$D44),1)=(HX44-HY44)/MAX(ABS(HX44-HY44),1),1,TRUE,0)</f>
        <v/>
      </c>
      <c r="IA44" s="18"/>
      <c r="IB44" s="19"/>
      <c r="IC44" s="33" t="str" cm="1">
        <f t="array" ref="IC44">_xlfn.IFS($D44="","",AND(IA44=$C44,IB44=$D44),3,($C44-$D44)/MAX(ABS($C44-$D44),1)=(IA44-IB44)/MAX(ABS(IA44-IB44),1),1,TRUE,0)</f>
        <v/>
      </c>
      <c r="ID44" s="18"/>
      <c r="IE44" s="19"/>
      <c r="IF44" s="33" t="str" cm="1">
        <f t="array" ref="IF44">_xlfn.IFS($D44="","",AND(ID44=$C44,IE44=$D44),3,($C44-$D44)/MAX(ABS($C44-$D44),1)=(ID44-IE44)/MAX(ABS(ID44-IE44),1),1,TRUE,0)</f>
        <v/>
      </c>
      <c r="IG44" s="18"/>
      <c r="IH44" s="19"/>
      <c r="II44" s="33" t="str" cm="1">
        <f t="array" ref="II44">_xlfn.IFS($D44="","",AND(IG44=$C44,IH44=$D44),3,($C44-$D44)/MAX(ABS($C44-$D44),1)=(IG44-IH44)/MAX(ABS(IG44-IH44),1),1,TRUE,0)</f>
        <v/>
      </c>
      <c r="IJ44" s="18"/>
      <c r="IK44" s="19"/>
      <c r="IL44" s="33" t="str" cm="1">
        <f t="array" ref="IL44">_xlfn.IFS($D44="","",AND(IJ44=$C44,IK44=$D44),3,($C44-$D44)/MAX(ABS($C44-$D44),1)=(IJ44-IK44)/MAX(ABS(IJ44-IK44),1),1,TRUE,0)</f>
        <v/>
      </c>
      <c r="IM44" s="18"/>
      <c r="IN44" s="19"/>
      <c r="IO44" s="33" t="str" cm="1">
        <f t="array" ref="IO44">_xlfn.IFS($D44="","",AND(IM44=$C44,IN44=$D44),3,($C44-$D44)/MAX(ABS($C44-$D44),1)=(IM44-IN44)/MAX(ABS(IM44-IN44),1),1,TRUE,0)</f>
        <v/>
      </c>
      <c r="IP44" s="18"/>
      <c r="IQ44" s="19"/>
      <c r="IR44" s="33" t="str" cm="1">
        <f t="array" ref="IR44">_xlfn.IFS($D44="","",AND(IP44=$C44,IQ44=$D44),3,($C44-$D44)/MAX(ABS($C44-$D44),1)=(IP44-IQ44)/MAX(ABS(IP44-IQ44),1),1,TRUE,0)</f>
        <v/>
      </c>
      <c r="IS44" s="18"/>
      <c r="IT44" s="19"/>
      <c r="IU44" s="33" t="str" cm="1">
        <f t="array" ref="IU44">_xlfn.IFS($D44="","",AND(IS44=$C44,IT44=$D44),3,($C44-$D44)/MAX(ABS($C44-$D44),1)=(IS44-IT44)/MAX(ABS(IS44-IT44),1),1,TRUE,0)</f>
        <v/>
      </c>
      <c r="IV44" s="18"/>
      <c r="IW44" s="19"/>
      <c r="IX44" s="33" t="str" cm="1">
        <f t="array" ref="IX44">_xlfn.IFS($D44="","",AND(IV44=$C44,IW44=$D44),3,($C44-$D44)/MAX(ABS($C44-$D44),1)=(IV44-IW44)/MAX(ABS(IV44-IW44),1),1,TRUE,0)</f>
        <v/>
      </c>
      <c r="IY44" s="18"/>
      <c r="IZ44" s="19"/>
      <c r="JA44" s="33" t="str" cm="1">
        <f t="array" ref="JA44">_xlfn.IFS($D44="","",AND(IY44=$C44,IZ44=$D44),3,($C44-$D44)/MAX(ABS($C44-$D44),1)=(IY44-IZ44)/MAX(ABS(IY44-IZ44),1),1,TRUE,0)</f>
        <v/>
      </c>
      <c r="JB44" s="18"/>
      <c r="JC44" s="19"/>
      <c r="JD44" s="33" t="str" cm="1">
        <f t="array" ref="JD44">_xlfn.IFS($D44="","",AND(JB44=$C44,JC44=$D44),3,($C44-$D44)/MAX(ABS($C44-$D44),1)=(JB44-JC44)/MAX(ABS(JB44-JC44),1),1,TRUE,0)</f>
        <v/>
      </c>
    </row>
    <row r="45" spans="1:264" ht="15" thickBot="1" x14ac:dyDescent="0.35">
      <c r="A45" s="22">
        <v>46196</v>
      </c>
      <c r="B45" s="28" t="s">
        <v>55</v>
      </c>
      <c r="C45" s="53" t="str" cm="1">
        <f t="array" ref="C45">_xlfn.LET(
_xlpm.x,_xlfn.XLOOKUP(1,(Scores_Fixtures[Date]=A45)*(Scores_Fixtures[Home.1]=B45),Scores_Fixtures[Score.1],""),
IF(_xlpm.x="","",_xlpm.x)
)</f>
        <v/>
      </c>
      <c r="D45" s="53" t="str" cm="1">
        <f t="array" ref="D45">_xlfn.LET(
_xlpm.x,_xlfn.XLOOKUP(1,(Scores_Fixtures[Date]=A45)*(Scores_Fixtures[Home.1]=B45),Scores_Fixtures[Score.2],""),
IF(_xlpm.x="","",_xlpm.x)
)</f>
        <v/>
      </c>
      <c r="E45" s="12" t="s">
        <v>65</v>
      </c>
      <c r="F45" s="15"/>
      <c r="G45" s="53"/>
      <c r="H45" s="53"/>
      <c r="I45" s="33" t="str" cm="1">
        <f t="array" ref="I45">_xlfn.IFS($D45="","",AND(G45=$C45,H45=$D45),3,($C45-$D45)/MAX(ABS($C45-$D45),1)=(G45-H45)/MAX(ABS(G45-H45),1),1,TRUE,0)</f>
        <v/>
      </c>
      <c r="J45" s="18"/>
      <c r="K45" s="19"/>
      <c r="L45" s="33" t="str" cm="1">
        <f t="array" ref="L45">_xlfn.IFS($D45="","",AND(J45=$C45,K45=$D45),3,($C45-$D45)/MAX(ABS($C45-$D45),1)=(J45-K45)/MAX(ABS(J45-K45),1),1,TRUE,0)</f>
        <v/>
      </c>
      <c r="M45" s="18"/>
      <c r="N45" s="19"/>
      <c r="O45" s="33" t="str" cm="1">
        <f t="array" ref="O45">_xlfn.IFS($D45="","",AND(M45=$C45,N45=$D45),3,($C45-$D45)/MAX(ABS($C45-$D45),1)=(M45-N45)/MAX(ABS(M45-N45),1),1,TRUE,0)</f>
        <v/>
      </c>
      <c r="P45" s="18"/>
      <c r="Q45" s="19"/>
      <c r="R45" s="33" t="str" cm="1">
        <f t="array" ref="R45">_xlfn.IFS($D45="","",AND(P45=$C45,Q45=$D45),3,($C45-$D45)/MAX(ABS($C45-$D45),1)=(P45-Q45)/MAX(ABS(P45-Q45),1),1,TRUE,0)</f>
        <v/>
      </c>
      <c r="S45" s="18"/>
      <c r="T45" s="19"/>
      <c r="U45" s="33" t="str" cm="1">
        <f t="array" ref="U45">_xlfn.IFS($D45="","",AND(S45=$C45,T45=$D45),3,($C45-$D45)/MAX(ABS($C45-$D45),1)=(S45-T45)/MAX(ABS(S45-T45),1),1,TRUE,0)</f>
        <v/>
      </c>
      <c r="V45" s="18"/>
      <c r="W45" s="19"/>
      <c r="X45" s="33" t="str" cm="1">
        <f t="array" ref="X45">_xlfn.IFS($D45="","",AND(V45=$C45,W45=$D45),3,($C45-$D45)/MAX(ABS($C45-$D45),1)=(V45-W45)/MAX(ABS(V45-W45),1),1,TRUE,0)</f>
        <v/>
      </c>
      <c r="Y45" s="18"/>
      <c r="Z45" s="19"/>
      <c r="AA45" s="33" t="str" cm="1">
        <f t="array" ref="AA45">_xlfn.IFS($D45="","",AND(Y45=$C45,Z45=$D45),3,($C45-$D45)/MAX(ABS($C45-$D45),1)=(Y45-Z45)/MAX(ABS(Y45-Z45),1),1,TRUE,0)</f>
        <v/>
      </c>
      <c r="AB45" s="18"/>
      <c r="AC45" s="19"/>
      <c r="AD45" s="33" t="str" cm="1">
        <f t="array" ref="AD45">_xlfn.IFS($D45="","",AND(AB45=$C45,AC45=$D45),3,($C45-$D45)/MAX(ABS($C45-$D45),1)=(AB45-AC45)/MAX(ABS(AB45-AC45),1),1,TRUE,0)</f>
        <v/>
      </c>
      <c r="AE45" s="18"/>
      <c r="AF45" s="19"/>
      <c r="AG45" s="33" t="str" cm="1">
        <f t="array" ref="AG45">_xlfn.IFS($D45="","",AND(AE45=$C45,AF45=$D45),3,($C45-$D45)/MAX(ABS($C45-$D45),1)=(AE45-AF45)/MAX(ABS(AE45-AF45),1),1,TRUE,0)</f>
        <v/>
      </c>
      <c r="AH45" s="18"/>
      <c r="AI45" s="19"/>
      <c r="AJ45" s="33" t="str" cm="1">
        <f t="array" ref="AJ45">_xlfn.IFS($D45="","",AND(AH45=$C45,AI45=$D45),3,($C45-$D45)/MAX(ABS($C45-$D45),1)=(AH45-AI45)/MAX(ABS(AH45-AI45),1),1,TRUE,0)</f>
        <v/>
      </c>
      <c r="AK45" s="18"/>
      <c r="AL45" s="19"/>
      <c r="AM45" s="33" t="str" cm="1">
        <f t="array" ref="AM45">_xlfn.IFS($D45="","",AND(AK45=$C45,AL45=$D45),3,($C45-$D45)/MAX(ABS($C45-$D45),1)=(AK45-AL45)/MAX(ABS(AK45-AL45),1),1,TRUE,0)</f>
        <v/>
      </c>
      <c r="AN45" s="18"/>
      <c r="AO45" s="19"/>
      <c r="AP45" s="33" t="str" cm="1">
        <f t="array" ref="AP45">_xlfn.IFS($D45="","",AND(AN45=$C45,AO45=$D45),3,($C45-$D45)/MAX(ABS($C45-$D45),1)=(AN45-AO45)/MAX(ABS(AN45-AO45),1),1,TRUE,0)</f>
        <v/>
      </c>
      <c r="AQ45" s="18"/>
      <c r="AR45" s="19"/>
      <c r="AS45" s="33" t="str" cm="1">
        <f t="array" ref="AS45">_xlfn.IFS($D45="","",AND(AQ45=$C45,AR45=$D45),3,($C45-$D45)/MAX(ABS($C45-$D45),1)=(AQ45-AR45)/MAX(ABS(AQ45-AR45),1),1,TRUE,0)</f>
        <v/>
      </c>
      <c r="AT45" s="18"/>
      <c r="AU45" s="19"/>
      <c r="AV45" s="33" t="str" cm="1">
        <f t="array" ref="AV45">_xlfn.IFS($D45="","",AND(AT45=$C45,AU45=$D45),3,($C45-$D45)/MAX(ABS($C45-$D45),1)=(AT45-AU45)/MAX(ABS(AT45-AU45),1),1,TRUE,0)</f>
        <v/>
      </c>
      <c r="AW45" s="18"/>
      <c r="AX45" s="19"/>
      <c r="AY45" s="33" t="str" cm="1">
        <f t="array" ref="AY45">_xlfn.IFS($D45="","",AND(AW45=$C45,AX45=$D45),3,($C45-$D45)/MAX(ABS($C45-$D45),1)=(AW45-AX45)/MAX(ABS(AW45-AX45),1),1,TRUE,0)</f>
        <v/>
      </c>
      <c r="AZ45" s="18"/>
      <c r="BA45" s="19"/>
      <c r="BB45" s="33" t="str" cm="1">
        <f t="array" ref="BB45">_xlfn.IFS($D45="","",AND(AZ45=$C45,BA45=$D45),3,($C45-$D45)/MAX(ABS($C45-$D45),1)=(AZ45-BA45)/MAX(ABS(AZ45-BA45),1),1,TRUE,0)</f>
        <v/>
      </c>
      <c r="BC45" s="18"/>
      <c r="BD45" s="19"/>
      <c r="BE45" s="33" t="str" cm="1">
        <f t="array" ref="BE45">_xlfn.IFS($D45="","",AND(BC45=$C45,BD45=$D45),3,($C45-$D45)/MAX(ABS($C45-$D45),1)=(BC45-BD45)/MAX(ABS(BC45-BD45),1),1,TRUE,0)</f>
        <v/>
      </c>
      <c r="BF45" s="18"/>
      <c r="BG45" s="19"/>
      <c r="BH45" s="33" t="str" cm="1">
        <f t="array" ref="BH45">_xlfn.IFS($D45="","",AND(BF45=$C45,BG45=$D45),3,($C45-$D45)/MAX(ABS($C45-$D45),1)=(BF45-BG45)/MAX(ABS(BF45-BG45),1),1,TRUE,0)</f>
        <v/>
      </c>
      <c r="BI45" s="18"/>
      <c r="BJ45" s="19"/>
      <c r="BK45" s="33" t="str" cm="1">
        <f t="array" ref="BK45">_xlfn.IFS($D45="","",AND(BI45=$C45,BJ45=$D45),3,($C45-$D45)/MAX(ABS($C45-$D45),1)=(BI45-BJ45)/MAX(ABS(BI45-BJ45),1),1,TRUE,0)</f>
        <v/>
      </c>
      <c r="BL45" s="18"/>
      <c r="BM45" s="19"/>
      <c r="BN45" s="33" t="str" cm="1">
        <f t="array" ref="BN45">_xlfn.IFS($D45="","",AND(BL45=$C45,BM45=$D45),3,($C45-$D45)/MAX(ABS($C45-$D45),1)=(BL45-BM45)/MAX(ABS(BL45-BM45),1),1,TRUE,0)</f>
        <v/>
      </c>
      <c r="BO45" s="18"/>
      <c r="BP45" s="19"/>
      <c r="BQ45" s="33" t="str" cm="1">
        <f t="array" ref="BQ45">_xlfn.IFS($D45="","",AND(BO45=$C45,BP45=$D45),3,($C45-$D45)/MAX(ABS($C45-$D45),1)=(BO45-BP45)/MAX(ABS(BO45-BP45),1),1,TRUE,0)</f>
        <v/>
      </c>
      <c r="BR45" s="18"/>
      <c r="BS45" s="19"/>
      <c r="BT45" s="33" t="str" cm="1">
        <f t="array" ref="BT45">_xlfn.IFS($D45="","",AND(BR45=$C45,BS45=$D45),3,($C45-$D45)/MAX(ABS($C45-$D45),1)=(BR45-BS45)/MAX(ABS(BR45-BS45),1),1,TRUE,0)</f>
        <v/>
      </c>
      <c r="BU45" s="18"/>
      <c r="BV45" s="19"/>
      <c r="BW45" s="33" t="str" cm="1">
        <f t="array" ref="BW45">_xlfn.IFS($D45="","",AND(BU45=$C45,BV45=$D45),3,($C45-$D45)/MAX(ABS($C45-$D45),1)=(BU45-BV45)/MAX(ABS(BU45-BV45),1),1,TRUE,0)</f>
        <v/>
      </c>
      <c r="BX45" s="18"/>
      <c r="BY45" s="19"/>
      <c r="BZ45" s="33" t="str" cm="1">
        <f t="array" ref="BZ45">_xlfn.IFS($D45="","",AND(BX45=$C45,BY45=$D45),3,($C45-$D45)/MAX(ABS($C45-$D45),1)=(BX45-BY45)/MAX(ABS(BX45-BY45),1),1,TRUE,0)</f>
        <v/>
      </c>
      <c r="CA45" s="18"/>
      <c r="CB45" s="19"/>
      <c r="CC45" s="33" t="str" cm="1">
        <f t="array" ref="CC45">_xlfn.IFS($D45="","",AND(CA45=$C45,CB45=$D45),3,($C45-$D45)/MAX(ABS($C45-$D45),1)=(CA45-CB45)/MAX(ABS(CA45-CB45),1),1,TRUE,0)</f>
        <v/>
      </c>
      <c r="CD45" s="18"/>
      <c r="CE45" s="19"/>
      <c r="CF45" s="33" t="str" cm="1">
        <f t="array" ref="CF45">_xlfn.IFS($D45="","",AND(CD45=$C45,CE45=$D45),3,($C45-$D45)/MAX(ABS($C45-$D45),1)=(CD45-CE45)/MAX(ABS(CD45-CE45),1),1,TRUE,0)</f>
        <v/>
      </c>
      <c r="CG45" s="18"/>
      <c r="CH45" s="19"/>
      <c r="CI45" s="33" t="str" cm="1">
        <f t="array" ref="CI45">_xlfn.IFS($D45="","",AND(CG45=$C45,CH45=$D45),3,($C45-$D45)/MAX(ABS($C45-$D45),1)=(CG45-CH45)/MAX(ABS(CG45-CH45),1),1,TRUE,0)</f>
        <v/>
      </c>
      <c r="CJ45" s="18"/>
      <c r="CK45" s="19"/>
      <c r="CL45" s="33" t="str" cm="1">
        <f t="array" ref="CL45">_xlfn.IFS($D45="","",AND(CJ45=$C45,CK45=$D45),3,($C45-$D45)/MAX(ABS($C45-$D45),1)=(CJ45-CK45)/MAX(ABS(CJ45-CK45),1),1,TRUE,0)</f>
        <v/>
      </c>
      <c r="CM45" s="18"/>
      <c r="CN45" s="19"/>
      <c r="CO45" s="33" t="str" cm="1">
        <f t="array" ref="CO45">_xlfn.IFS($D45="","",AND(CM45=$C45,CN45=$D45),3,($C45-$D45)/MAX(ABS($C45-$D45),1)=(CM45-CN45)/MAX(ABS(CM45-CN45),1),1,TRUE,0)</f>
        <v/>
      </c>
      <c r="CP45" s="18"/>
      <c r="CQ45" s="19"/>
      <c r="CR45" s="33" t="str" cm="1">
        <f t="array" ref="CR45">_xlfn.IFS($D45="","",AND(CP45=$C45,CQ45=$D45),3,($C45-$D45)/MAX(ABS($C45-$D45),1)=(CP45-CQ45)/MAX(ABS(CP45-CQ45),1),1,TRUE,0)</f>
        <v/>
      </c>
      <c r="CS45" s="18"/>
      <c r="CT45" s="19"/>
      <c r="CU45" s="33" t="str" cm="1">
        <f t="array" ref="CU45">_xlfn.IFS($D45="","",AND(CS45=$C45,CT45=$D45),3,($C45-$D45)/MAX(ABS($C45-$D45),1)=(CS45-CT45)/MAX(ABS(CS45-CT45),1),1,TRUE,0)</f>
        <v/>
      </c>
      <c r="CV45" s="18"/>
      <c r="CW45" s="19"/>
      <c r="CX45" s="33" t="str" cm="1">
        <f t="array" ref="CX45">_xlfn.IFS($D45="","",AND(CV45=$C45,CW45=$D45),3,($C45-$D45)/MAX(ABS($C45-$D45),1)=(CV45-CW45)/MAX(ABS(CV45-CW45),1),1,TRUE,0)</f>
        <v/>
      </c>
      <c r="CY45" s="18"/>
      <c r="CZ45" s="19"/>
      <c r="DA45" s="33" t="str" cm="1">
        <f t="array" ref="DA45">_xlfn.IFS($D45="","",AND(CY45=$C45,CZ45=$D45),3,($C45-$D45)/MAX(ABS($C45-$D45),1)=(CY45-CZ45)/MAX(ABS(CY45-CZ45),1),1,TRUE,0)</f>
        <v/>
      </c>
      <c r="DB45" s="37"/>
      <c r="DC45" s="38"/>
      <c r="DD45" s="33" t="str" cm="1">
        <f t="array" ref="DD45">_xlfn.IFS($D45="","",AND(DB45=$C45,DC45=$D45),3,($C45-$D45)/MAX(ABS($C45-$D45),1)=(DB45-DC45)/MAX(ABS(DB45-DC45),1),1,TRUE,0)</f>
        <v/>
      </c>
      <c r="DE45" s="18"/>
      <c r="DF45" s="19"/>
      <c r="DG45" s="33" t="str" cm="1">
        <f t="array" ref="DG45">_xlfn.IFS($D45="","",AND(DE45=$C45,DF45=$D45),3,($C45-$D45)/MAX(ABS($C45-$D45),1)=(DE45-DF45)/MAX(ABS(DE45-DF45),1),1,TRUE,0)</f>
        <v/>
      </c>
      <c r="DH45" s="18"/>
      <c r="DI45" s="19"/>
      <c r="DJ45" s="33" t="str" cm="1">
        <f t="array" ref="DJ45">_xlfn.IFS($D45="","",AND(DH45=$C45,DI45=$D45),3,($C45-$D45)/MAX(ABS($C45-$D45),1)=(DH45-DI45)/MAX(ABS(DH45-DI45),1),1,TRUE,0)</f>
        <v/>
      </c>
      <c r="DK45" s="18"/>
      <c r="DL45" s="19"/>
      <c r="DM45" s="33" t="str" cm="1">
        <f t="array" ref="DM45">_xlfn.IFS($D45="","",AND(DK45=$C45,DL45=$D45),3,($C45-$D45)/MAX(ABS($C45-$D45),1)=(DK45-DL45)/MAX(ABS(DK45-DL45),1),1,TRUE,0)</f>
        <v/>
      </c>
      <c r="DN45" s="18"/>
      <c r="DO45" s="19"/>
      <c r="DP45" s="33" t="str" cm="1">
        <f t="array" ref="DP45">_xlfn.IFS($D45="","",AND(DN45=$C45,DO45=$D45),3,($C45-$D45)/MAX(ABS($C45-$D45),1)=(DN45-DO45)/MAX(ABS(DN45-DO45),1),1,TRUE,0)</f>
        <v/>
      </c>
      <c r="DQ45" s="18"/>
      <c r="DR45" s="19"/>
      <c r="DS45" s="33" t="str" cm="1">
        <f t="array" ref="DS45">_xlfn.IFS($D45="","",AND(DQ45=$C45,DR45=$D45),3,($C45-$D45)/MAX(ABS($C45-$D45),1)=(DQ45-DR45)/MAX(ABS(DQ45-DR45),1),1,TRUE,0)</f>
        <v/>
      </c>
      <c r="DT45" s="18"/>
      <c r="DU45" s="19"/>
      <c r="DV45" s="33" t="str" cm="1">
        <f t="array" ref="DV45">_xlfn.IFS($D45="","",AND(DT45=$C45,DU45=$D45),3,($C45-$D45)/MAX(ABS($C45-$D45),1)=(DT45-DU45)/MAX(ABS(DT45-DU45),1),1,TRUE,0)</f>
        <v/>
      </c>
      <c r="DW45" s="18"/>
      <c r="DX45" s="19"/>
      <c r="DY45" s="33" t="str" cm="1">
        <f t="array" ref="DY45">_xlfn.IFS($D45="","",AND(DW45=$C45,DX45=$D45),3,($C45-$D45)/MAX(ABS($C45-$D45),1)=(DW45-DX45)/MAX(ABS(DW45-DX45),1),1,TRUE,0)</f>
        <v/>
      </c>
      <c r="DZ45" s="18"/>
      <c r="EA45" s="19"/>
      <c r="EB45" s="33" t="str" cm="1">
        <f t="array" ref="EB45">_xlfn.IFS($D45="","",AND(DZ45=$C45,EA45=$D45),3,($C45-$D45)/MAX(ABS($C45-$D45),1)=(DZ45-EA45)/MAX(ABS(DZ45-EA45),1),1,TRUE,0)</f>
        <v/>
      </c>
      <c r="EC45" s="18"/>
      <c r="ED45" s="19"/>
      <c r="EE45" s="33" t="str" cm="1">
        <f t="array" ref="EE45">_xlfn.IFS($D45="","",AND(EC45=$C45,ED45=$D45),3,($C45-$D45)/MAX(ABS($C45-$D45),1)=(EC45-ED45)/MAX(ABS(EC45-ED45),1),1,TRUE,0)</f>
        <v/>
      </c>
      <c r="EF45" s="18"/>
      <c r="EG45" s="19"/>
      <c r="EH45" s="33" t="str" cm="1">
        <f t="array" ref="EH45">_xlfn.IFS($D45="","",AND(EF45=$C45,EG45=$D45),3,($C45-$D45)/MAX(ABS($C45-$D45),1)=(EF45-EG45)/MAX(ABS(EF45-EG45),1),1,TRUE,0)</f>
        <v/>
      </c>
      <c r="EI45" s="50"/>
      <c r="EJ45" s="51"/>
      <c r="EK45" s="33" t="str" cm="1">
        <f t="array" ref="EK45">_xlfn.IFS($D45="","",AND(EI45=$C45,EJ45=$D45),3,($C45-$D45)/MAX(ABS($C45-$D45),1)=(EI45-EJ45)/MAX(ABS(EI45-EJ45),1),1,TRUE,0)</f>
        <v/>
      </c>
      <c r="EL45" s="18"/>
      <c r="EM45" s="19"/>
      <c r="EN45" s="33" t="str" cm="1">
        <f t="array" ref="EN45">_xlfn.IFS($D45="","",AND(EL45=$C45,EM45=$D45),3,($C45-$D45)/MAX(ABS($C45-$D45),1)=(EL45-EM45)/MAX(ABS(EL45-EM45),1),1,TRUE,0)</f>
        <v/>
      </c>
      <c r="EO45" s="18"/>
      <c r="EP45" s="19"/>
      <c r="EQ45" s="33" t="str" cm="1">
        <f t="array" ref="EQ45">_xlfn.IFS($D45="","",AND(EO45=$C45,EP45=$D45),3,($C45-$D45)/MAX(ABS($C45-$D45),1)=(EO45-EP45)/MAX(ABS(EO45-EP45),1),1,TRUE,0)</f>
        <v/>
      </c>
      <c r="ER45" s="18"/>
      <c r="ES45" s="19"/>
      <c r="ET45" s="33" t="str" cm="1">
        <f t="array" ref="ET45">_xlfn.IFS($D45="","",AND(ER45=$C45,ES45=$D45),3,($C45-$D45)/MAX(ABS($C45-$D45),1)=(ER45-ES45)/MAX(ABS(ER45-ES45),1),1,TRUE,0)</f>
        <v/>
      </c>
      <c r="EU45" s="18"/>
      <c r="EV45" s="19"/>
      <c r="EW45" s="33" t="str" cm="1">
        <f t="array" ref="EW45">_xlfn.IFS($D45="","",AND(EU45=$C45,EV45=$D45),3,($C45-$D45)/MAX(ABS($C45-$D45),1)=(EU45-EV45)/MAX(ABS(EU45-EV45),1),1,TRUE,0)</f>
        <v/>
      </c>
      <c r="EX45" s="18"/>
      <c r="EY45" s="19"/>
      <c r="EZ45" s="33" t="str" cm="1">
        <f t="array" ref="EZ45">_xlfn.IFS($D45="","",AND(EX45=$C45,EY45=$D45),3,($C45-$D45)/MAX(ABS($C45-$D45),1)=(EX45-EY45)/MAX(ABS(EX45-EY45),1),1,TRUE,0)</f>
        <v/>
      </c>
      <c r="FA45" s="18"/>
      <c r="FB45" s="19"/>
      <c r="FC45" s="33" t="str" cm="1">
        <f t="array" ref="FC45">_xlfn.IFS($D45="","",AND(FA45=$C45,FB45=$D45),3,($C45-$D45)/MAX(ABS($C45-$D45),1)=(FA45-FB45)/MAX(ABS(FA45-FB45),1),1,TRUE,0)</f>
        <v/>
      </c>
      <c r="FD45" s="18"/>
      <c r="FE45" s="19"/>
      <c r="FF45" s="33" t="str" cm="1">
        <f t="array" ref="FF45">_xlfn.IFS($D45="","",AND(FD45=$C45,FE45=$D45),3,($C45-$D45)/MAX(ABS($C45-$D45),1)=(FD45-FE45)/MAX(ABS(FD45-FE45),1),1,TRUE,0)</f>
        <v/>
      </c>
      <c r="FG45" s="18"/>
      <c r="FH45" s="19"/>
      <c r="FI45" s="33" t="str" cm="1">
        <f t="array" ref="FI45">_xlfn.IFS($D45="","",AND(FG45=$C45,FH45=$D45),3,($C45-$D45)/MAX(ABS($C45-$D45),1)=(FG45-FH45)/MAX(ABS(FG45-FH45),1),1,TRUE,0)</f>
        <v/>
      </c>
      <c r="FJ45" s="18"/>
      <c r="FK45" s="19"/>
      <c r="FL45" s="33" t="str" cm="1">
        <f t="array" ref="FL45">_xlfn.IFS($D45="","",AND(FJ45=$C45,FK45=$D45),3,($C45-$D45)/MAX(ABS($C45-$D45),1)=(FJ45-FK45)/MAX(ABS(FJ45-FK45),1),1,TRUE,0)</f>
        <v/>
      </c>
      <c r="FM45" s="18"/>
      <c r="FN45" s="19"/>
      <c r="FO45" s="33" t="str" cm="1">
        <f t="array" ref="FO45">_xlfn.IFS($D45="","",AND(FM45=$C45,FN45=$D45),3,($C45-$D45)/MAX(ABS($C45-$D45),1)=(FM45-FN45)/MAX(ABS(FM45-FN45),1),1,TRUE,0)</f>
        <v/>
      </c>
      <c r="FP45" s="18"/>
      <c r="FQ45" s="19"/>
      <c r="FR45" s="33" t="str" cm="1">
        <f t="array" ref="FR45">_xlfn.IFS($D45="","",AND(FP45=$C45,FQ45=$D45),3,($C45-$D45)/MAX(ABS($C45-$D45),1)=(FP45-FQ45)/MAX(ABS(FP45-FQ45),1),1,TRUE,0)</f>
        <v/>
      </c>
      <c r="FS45" s="18"/>
      <c r="FT45" s="19"/>
      <c r="FU45" s="33" t="str" cm="1">
        <f t="array" ref="FU45">_xlfn.IFS($D45="","",AND(FS45=$C45,FT45=$D45),3,($C45-$D45)/MAX(ABS($C45-$D45),1)=(FS45-FT45)/MAX(ABS(FS45-FT45),1),1,TRUE,0)</f>
        <v/>
      </c>
      <c r="FV45" s="18"/>
      <c r="FW45" s="19"/>
      <c r="FX45" s="33" t="str" cm="1">
        <f t="array" ref="FX45">_xlfn.IFS($D45="","",AND(FV45=$C45,FW45=$D45),3,($C45-$D45)/MAX(ABS($C45-$D45),1)=(FV45-FW45)/MAX(ABS(FV45-FW45),1),1,TRUE,0)</f>
        <v/>
      </c>
      <c r="FY45" s="18"/>
      <c r="FZ45" s="19"/>
      <c r="GA45" s="33" t="str" cm="1">
        <f t="array" ref="GA45">_xlfn.IFS($D45="","",AND(FY45=$C45,FZ45=$D45),3,($C45-$D45)/MAX(ABS($C45-$D45),1)=(FY45-FZ45)/MAX(ABS(FY45-FZ45),1),1,TRUE,0)</f>
        <v/>
      </c>
      <c r="GB45" s="18"/>
      <c r="GC45" s="19"/>
      <c r="GD45" s="33" t="str" cm="1">
        <f t="array" ref="GD45">_xlfn.IFS($D45="","",AND(GB45=$C45,GC45=$D45),3,($C45-$D45)/MAX(ABS($C45-$D45),1)=(GB45-GC45)/MAX(ABS(GB45-GC45),1),1,TRUE,0)</f>
        <v/>
      </c>
      <c r="GE45" s="52"/>
      <c r="GF45" s="19"/>
      <c r="GG45" s="33" t="str" cm="1">
        <f t="array" ref="GG45">_xlfn.IFS($D45="","",AND(GE45=$C45,GF45=$D45),3,($C45-$D45)/MAX(ABS($C45-$D45),1)=(GE45-GF45)/MAX(ABS(GE45-GF45),1),1,TRUE,0)</f>
        <v/>
      </c>
      <c r="GH45" s="18"/>
      <c r="GI45" s="19"/>
      <c r="GJ45" s="33" t="str" cm="1">
        <f t="array" ref="GJ45">_xlfn.IFS($D45="","",AND(GH45=$C45,GI45=$D45),3,($C45-$D45)/MAX(ABS($C45-$D45),1)=(GH45-GI45)/MAX(ABS(GH45-GI45),1),1,TRUE,0)</f>
        <v/>
      </c>
      <c r="GK45" s="18"/>
      <c r="GL45" s="19"/>
      <c r="GM45" s="33" t="str" cm="1">
        <f t="array" ref="GM45">_xlfn.IFS($D45="","",AND(GK45=$C45,GL45=$D45),3,($C45-$D45)/MAX(ABS($C45-$D45),1)=(GK45-GL45)/MAX(ABS(GK45-GL45),1),1,TRUE,0)</f>
        <v/>
      </c>
      <c r="GN45" s="18"/>
      <c r="GO45" s="19"/>
      <c r="GP45" s="33" t="str" cm="1">
        <f t="array" ref="GP45">_xlfn.IFS($D45="","",AND(GN45=$C45,GO45=$D45),3,($C45-$D45)/MAX(ABS($C45-$D45),1)=(GN45-GO45)/MAX(ABS(GN45-GO45),1),1,TRUE,0)</f>
        <v/>
      </c>
      <c r="GQ45" s="18"/>
      <c r="GR45" s="19"/>
      <c r="GS45" s="33" t="str" cm="1">
        <f t="array" ref="GS45">_xlfn.IFS($D45="","",AND(GQ45=$C45,GR45=$D45),3,($C45-$D45)/MAX(ABS($C45-$D45),1)=(GQ45-GR45)/MAX(ABS(GQ45-GR45),1),1,TRUE,0)</f>
        <v/>
      </c>
      <c r="GT45" s="18"/>
      <c r="GU45" s="19"/>
      <c r="GV45" s="33" t="str" cm="1">
        <f t="array" ref="GV45">_xlfn.IFS($D45="","",AND(GT45=$C45,GU45=$D45),3,($C45-$D45)/MAX(ABS($C45-$D45),1)=(GT45-GU45)/MAX(ABS(GT45-GU45),1),1,TRUE,0)</f>
        <v/>
      </c>
      <c r="GW45" s="18"/>
      <c r="GX45" s="19"/>
      <c r="GY45" s="33" t="str" cm="1">
        <f t="array" ref="GY45">_xlfn.IFS($D45="","",AND(GW45=$C45,GX45=$D45),3,($C45-$D45)/MAX(ABS($C45-$D45),1)=(GW45-GX45)/MAX(ABS(GW45-GX45),1),1,TRUE,0)</f>
        <v/>
      </c>
      <c r="GZ45" s="18"/>
      <c r="HA45" s="19"/>
      <c r="HB45" s="33" t="str" cm="1">
        <f t="array" ref="HB45">_xlfn.IFS($D45="","",AND(GZ45=$C45,HA45=$D45),3,($C45-$D45)/MAX(ABS($C45-$D45),1)=(GZ45-HA45)/MAX(ABS(GZ45-HA45),1),1,TRUE,0)</f>
        <v/>
      </c>
      <c r="HC45" s="18"/>
      <c r="HD45" s="19"/>
      <c r="HE45" s="33" t="str" cm="1">
        <f t="array" ref="HE45">_xlfn.IFS($D45="","",AND(HC45=$C45,HD45=$D45),3,($C45-$D45)/MAX(ABS($C45-$D45),1)=(HC45-HD45)/MAX(ABS(HC45-HD45),1),1,TRUE,0)</f>
        <v/>
      </c>
      <c r="HF45" s="18"/>
      <c r="HG45" s="19"/>
      <c r="HH45" s="33" t="str" cm="1">
        <f t="array" ref="HH45">_xlfn.IFS($D45="","",AND(HF45=$C45,HG45=$D45),3,($C45-$D45)/MAX(ABS($C45-$D45),1)=(HF45-HG45)/MAX(ABS(HF45-HG45),1),1,TRUE,0)</f>
        <v/>
      </c>
      <c r="HI45" s="18"/>
      <c r="HJ45" s="19"/>
      <c r="HK45" s="33" t="str" cm="1">
        <f t="array" ref="HK45">_xlfn.IFS($D45="","",AND(HI45=$C45,HJ45=$D45),3,($C45-$D45)/MAX(ABS($C45-$D45),1)=(HI45-HJ45)/MAX(ABS(HI45-HJ45),1),1,TRUE,0)</f>
        <v/>
      </c>
      <c r="HL45" s="18"/>
      <c r="HM45" s="19"/>
      <c r="HN45" s="33" t="str" cm="1">
        <f t="array" ref="HN45">_xlfn.IFS($D45="","",AND(HL45=$C45,HM45=$D45),3,($C45-$D45)/MAX(ABS($C45-$D45),1)=(HL45-HM45)/MAX(ABS(HL45-HM45),1),1,TRUE,0)</f>
        <v/>
      </c>
      <c r="HO45" s="18"/>
      <c r="HP45" s="19"/>
      <c r="HQ45" s="33" t="str" cm="1">
        <f t="array" ref="HQ45">_xlfn.IFS($D45="","",AND(HO45=$C45,HP45=$D45),3,($C45-$D45)/MAX(ABS($C45-$D45),1)=(HO45-HP45)/MAX(ABS(HO45-HP45),1),1,TRUE,0)</f>
        <v/>
      </c>
      <c r="HR45" s="18"/>
      <c r="HS45" s="19"/>
      <c r="HT45" s="33" t="str" cm="1">
        <f t="array" ref="HT45">_xlfn.IFS($D45="","",AND(HR45=$C45,HS45=$D45),3,($C45-$D45)/MAX(ABS($C45-$D45),1)=(HR45-HS45)/MAX(ABS(HR45-HS45),1),1,TRUE,0)</f>
        <v/>
      </c>
      <c r="HU45" s="18"/>
      <c r="HV45" s="19"/>
      <c r="HW45" s="33" t="str" cm="1">
        <f t="array" ref="HW45">_xlfn.IFS($D45="","",AND(HU45=$C45,HV45=$D45),3,($C45-$D45)/MAX(ABS($C45-$D45),1)=(HU45-HV45)/MAX(ABS(HU45-HV45),1),1,TRUE,0)</f>
        <v/>
      </c>
      <c r="HX45" s="18"/>
      <c r="HY45" s="19"/>
      <c r="HZ45" s="33" t="str" cm="1">
        <f t="array" ref="HZ45">_xlfn.IFS($D45="","",AND(HX45=$C45,HY45=$D45),3,($C45-$D45)/MAX(ABS($C45-$D45),1)=(HX45-HY45)/MAX(ABS(HX45-HY45),1),1,TRUE,0)</f>
        <v/>
      </c>
      <c r="IA45" s="18"/>
      <c r="IB45" s="19"/>
      <c r="IC45" s="33" t="str" cm="1">
        <f t="array" ref="IC45">_xlfn.IFS($D45="","",AND(IA45=$C45,IB45=$D45),3,($C45-$D45)/MAX(ABS($C45-$D45),1)=(IA45-IB45)/MAX(ABS(IA45-IB45),1),1,TRUE,0)</f>
        <v/>
      </c>
      <c r="ID45" s="18"/>
      <c r="IE45" s="19"/>
      <c r="IF45" s="33" t="str" cm="1">
        <f t="array" ref="IF45">_xlfn.IFS($D45="","",AND(ID45=$C45,IE45=$D45),3,($C45-$D45)/MAX(ABS($C45-$D45),1)=(ID45-IE45)/MAX(ABS(ID45-IE45),1),1,TRUE,0)</f>
        <v/>
      </c>
      <c r="IG45" s="18"/>
      <c r="IH45" s="19"/>
      <c r="II45" s="33" t="str" cm="1">
        <f t="array" ref="II45">_xlfn.IFS($D45="","",AND(IG45=$C45,IH45=$D45),3,($C45-$D45)/MAX(ABS($C45-$D45),1)=(IG45-IH45)/MAX(ABS(IG45-IH45),1),1,TRUE,0)</f>
        <v/>
      </c>
      <c r="IJ45" s="18"/>
      <c r="IK45" s="19"/>
      <c r="IL45" s="33" t="str" cm="1">
        <f t="array" ref="IL45">_xlfn.IFS($D45="","",AND(IJ45=$C45,IK45=$D45),3,($C45-$D45)/MAX(ABS($C45-$D45),1)=(IJ45-IK45)/MAX(ABS(IJ45-IK45),1),1,TRUE,0)</f>
        <v/>
      </c>
      <c r="IM45" s="18"/>
      <c r="IN45" s="19"/>
      <c r="IO45" s="33" t="str" cm="1">
        <f t="array" ref="IO45">_xlfn.IFS($D45="","",AND(IM45=$C45,IN45=$D45),3,($C45-$D45)/MAX(ABS($C45-$D45),1)=(IM45-IN45)/MAX(ABS(IM45-IN45),1),1,TRUE,0)</f>
        <v/>
      </c>
      <c r="IP45" s="18"/>
      <c r="IQ45" s="19"/>
      <c r="IR45" s="33" t="str" cm="1">
        <f t="array" ref="IR45">_xlfn.IFS($D45="","",AND(IP45=$C45,IQ45=$D45),3,($C45-$D45)/MAX(ABS($C45-$D45),1)=(IP45-IQ45)/MAX(ABS(IP45-IQ45),1),1,TRUE,0)</f>
        <v/>
      </c>
      <c r="IS45" s="18"/>
      <c r="IT45" s="19"/>
      <c r="IU45" s="33" t="str" cm="1">
        <f t="array" ref="IU45">_xlfn.IFS($D45="","",AND(IS45=$C45,IT45=$D45),3,($C45-$D45)/MAX(ABS($C45-$D45),1)=(IS45-IT45)/MAX(ABS(IS45-IT45),1),1,TRUE,0)</f>
        <v/>
      </c>
      <c r="IV45" s="18"/>
      <c r="IW45" s="19"/>
      <c r="IX45" s="33" t="str" cm="1">
        <f t="array" ref="IX45">_xlfn.IFS($D45="","",AND(IV45=$C45,IW45=$D45),3,($C45-$D45)/MAX(ABS($C45-$D45),1)=(IV45-IW45)/MAX(ABS(IV45-IW45),1),1,TRUE,0)</f>
        <v/>
      </c>
      <c r="IY45" s="18"/>
      <c r="IZ45" s="19"/>
      <c r="JA45" s="33" t="str" cm="1">
        <f t="array" ref="JA45">_xlfn.IFS($D45="","",AND(IY45=$C45,IZ45=$D45),3,($C45-$D45)/MAX(ABS($C45-$D45),1)=(IY45-IZ45)/MAX(ABS(IY45-IZ45),1),1,TRUE,0)</f>
        <v/>
      </c>
      <c r="JB45" s="18"/>
      <c r="JC45" s="19"/>
      <c r="JD45" s="33" t="str" cm="1">
        <f t="array" ref="JD45">_xlfn.IFS($D45="","",AND(JB45=$C45,JC45=$D45),3,($C45-$D45)/MAX(ABS($C45-$D45),1)=(JB45-JC45)/MAX(ABS(JB45-JC45),1),1,TRUE,0)</f>
        <v/>
      </c>
    </row>
    <row r="46" spans="1:264" ht="15" thickBot="1" x14ac:dyDescent="0.35">
      <c r="A46" s="22">
        <v>46196</v>
      </c>
      <c r="B46" s="28" t="s">
        <v>56</v>
      </c>
      <c r="C46" s="53" t="str" cm="1">
        <f t="array" ref="C46">_xlfn.LET(
_xlpm.x,_xlfn.XLOOKUP(1,(Scores_Fixtures[Date]=A46)*(Scores_Fixtures[Home.1]=B46),Scores_Fixtures[Score.1],""),
IF(_xlpm.x="","",_xlpm.x)
)</f>
        <v/>
      </c>
      <c r="D46" s="53" t="str" cm="1">
        <f t="array" ref="D46">_xlfn.LET(
_xlpm.x,_xlfn.XLOOKUP(1,(Scores_Fixtures[Date]=A46)*(Scores_Fixtures[Home.1]=B46),Scores_Fixtures[Score.2],""),
IF(_xlpm.x="","",_xlpm.x)
)</f>
        <v/>
      </c>
      <c r="E46" s="12" t="s">
        <v>69</v>
      </c>
      <c r="F46" s="15"/>
      <c r="G46" s="53"/>
      <c r="H46" s="53"/>
      <c r="I46" s="33" t="str" cm="1">
        <f t="array" ref="I46">_xlfn.IFS($D46="","",AND(G46=$C46,H46=$D46),3,($C46-$D46)/MAX(ABS($C46-$D46),1)=(G46-H46)/MAX(ABS(G46-H46),1),1,TRUE,0)</f>
        <v/>
      </c>
      <c r="J46" s="18"/>
      <c r="K46" s="19"/>
      <c r="L46" s="33" t="str" cm="1">
        <f t="array" ref="L46">_xlfn.IFS($D46="","",AND(J46=$C46,K46=$D46),3,($C46-$D46)/MAX(ABS($C46-$D46),1)=(J46-K46)/MAX(ABS(J46-K46),1),1,TRUE,0)</f>
        <v/>
      </c>
      <c r="M46" s="18"/>
      <c r="N46" s="19"/>
      <c r="O46" s="33" t="str" cm="1">
        <f t="array" ref="O46">_xlfn.IFS($D46="","",AND(M46=$C46,N46=$D46),3,($C46-$D46)/MAX(ABS($C46-$D46),1)=(M46-N46)/MAX(ABS(M46-N46),1),1,TRUE,0)</f>
        <v/>
      </c>
      <c r="P46" s="18"/>
      <c r="Q46" s="19"/>
      <c r="R46" s="33" t="str" cm="1">
        <f t="array" ref="R46">_xlfn.IFS($D46="","",AND(P46=$C46,Q46=$D46),3,($C46-$D46)/MAX(ABS($C46-$D46),1)=(P46-Q46)/MAX(ABS(P46-Q46),1),1,TRUE,0)</f>
        <v/>
      </c>
      <c r="S46" s="18"/>
      <c r="T46" s="19"/>
      <c r="U46" s="33" t="str" cm="1">
        <f t="array" ref="U46">_xlfn.IFS($D46="","",AND(S46=$C46,T46=$D46),3,($C46-$D46)/MAX(ABS($C46-$D46),1)=(S46-T46)/MAX(ABS(S46-T46),1),1,TRUE,0)</f>
        <v/>
      </c>
      <c r="V46" s="18"/>
      <c r="W46" s="19"/>
      <c r="X46" s="33" t="str" cm="1">
        <f t="array" ref="X46">_xlfn.IFS($D46="","",AND(V46=$C46,W46=$D46),3,($C46-$D46)/MAX(ABS($C46-$D46),1)=(V46-W46)/MAX(ABS(V46-W46),1),1,TRUE,0)</f>
        <v/>
      </c>
      <c r="Y46" s="18"/>
      <c r="Z46" s="19"/>
      <c r="AA46" s="33" t="str" cm="1">
        <f t="array" ref="AA46">_xlfn.IFS($D46="","",AND(Y46=$C46,Z46=$D46),3,($C46-$D46)/MAX(ABS($C46-$D46),1)=(Y46-Z46)/MAX(ABS(Y46-Z46),1),1,TRUE,0)</f>
        <v/>
      </c>
      <c r="AB46" s="18"/>
      <c r="AC46" s="19"/>
      <c r="AD46" s="33" t="str" cm="1">
        <f t="array" ref="AD46">_xlfn.IFS($D46="","",AND(AB46=$C46,AC46=$D46),3,($C46-$D46)/MAX(ABS($C46-$D46),1)=(AB46-AC46)/MAX(ABS(AB46-AC46),1),1,TRUE,0)</f>
        <v/>
      </c>
      <c r="AE46" s="18"/>
      <c r="AF46" s="19"/>
      <c r="AG46" s="33" t="str" cm="1">
        <f t="array" ref="AG46">_xlfn.IFS($D46="","",AND(AE46=$C46,AF46=$D46),3,($C46-$D46)/MAX(ABS($C46-$D46),1)=(AE46-AF46)/MAX(ABS(AE46-AF46),1),1,TRUE,0)</f>
        <v/>
      </c>
      <c r="AH46" s="18"/>
      <c r="AI46" s="19"/>
      <c r="AJ46" s="33" t="str" cm="1">
        <f t="array" ref="AJ46">_xlfn.IFS($D46="","",AND(AH46=$C46,AI46=$D46),3,($C46-$D46)/MAX(ABS($C46-$D46),1)=(AH46-AI46)/MAX(ABS(AH46-AI46),1),1,TRUE,0)</f>
        <v/>
      </c>
      <c r="AK46" s="18"/>
      <c r="AL46" s="19"/>
      <c r="AM46" s="33" t="str" cm="1">
        <f t="array" ref="AM46">_xlfn.IFS($D46="","",AND(AK46=$C46,AL46=$D46),3,($C46-$D46)/MAX(ABS($C46-$D46),1)=(AK46-AL46)/MAX(ABS(AK46-AL46),1),1,TRUE,0)</f>
        <v/>
      </c>
      <c r="AN46" s="18"/>
      <c r="AO46" s="19"/>
      <c r="AP46" s="33" t="str" cm="1">
        <f t="array" ref="AP46">_xlfn.IFS($D46="","",AND(AN46=$C46,AO46=$D46),3,($C46-$D46)/MAX(ABS($C46-$D46),1)=(AN46-AO46)/MAX(ABS(AN46-AO46),1),1,TRUE,0)</f>
        <v/>
      </c>
      <c r="AQ46" s="18"/>
      <c r="AR46" s="19"/>
      <c r="AS46" s="33" t="str" cm="1">
        <f t="array" ref="AS46">_xlfn.IFS($D46="","",AND(AQ46=$C46,AR46=$D46),3,($C46-$D46)/MAX(ABS($C46-$D46),1)=(AQ46-AR46)/MAX(ABS(AQ46-AR46),1),1,TRUE,0)</f>
        <v/>
      </c>
      <c r="AT46" s="18"/>
      <c r="AU46" s="19"/>
      <c r="AV46" s="33" t="str" cm="1">
        <f t="array" ref="AV46">_xlfn.IFS($D46="","",AND(AT46=$C46,AU46=$D46),3,($C46-$D46)/MAX(ABS($C46-$D46),1)=(AT46-AU46)/MAX(ABS(AT46-AU46),1),1,TRUE,0)</f>
        <v/>
      </c>
      <c r="AW46" s="18"/>
      <c r="AX46" s="19"/>
      <c r="AY46" s="33" t="str" cm="1">
        <f t="array" ref="AY46">_xlfn.IFS($D46="","",AND(AW46=$C46,AX46=$D46),3,($C46-$D46)/MAX(ABS($C46-$D46),1)=(AW46-AX46)/MAX(ABS(AW46-AX46),1),1,TRUE,0)</f>
        <v/>
      </c>
      <c r="AZ46" s="18"/>
      <c r="BA46" s="19"/>
      <c r="BB46" s="33" t="str" cm="1">
        <f t="array" ref="BB46">_xlfn.IFS($D46="","",AND(AZ46=$C46,BA46=$D46),3,($C46-$D46)/MAX(ABS($C46-$D46),1)=(AZ46-BA46)/MAX(ABS(AZ46-BA46),1),1,TRUE,0)</f>
        <v/>
      </c>
      <c r="BC46" s="18"/>
      <c r="BD46" s="19"/>
      <c r="BE46" s="33" t="str" cm="1">
        <f t="array" ref="BE46">_xlfn.IFS($D46="","",AND(BC46=$C46,BD46=$D46),3,($C46-$D46)/MAX(ABS($C46-$D46),1)=(BC46-BD46)/MAX(ABS(BC46-BD46),1),1,TRUE,0)</f>
        <v/>
      </c>
      <c r="BF46" s="18"/>
      <c r="BG46" s="19"/>
      <c r="BH46" s="33" t="str" cm="1">
        <f t="array" ref="BH46">_xlfn.IFS($D46="","",AND(BF46=$C46,BG46=$D46),3,($C46-$D46)/MAX(ABS($C46-$D46),1)=(BF46-BG46)/MAX(ABS(BF46-BG46),1),1,TRUE,0)</f>
        <v/>
      </c>
      <c r="BI46" s="18"/>
      <c r="BJ46" s="19"/>
      <c r="BK46" s="33" t="str" cm="1">
        <f t="array" ref="BK46">_xlfn.IFS($D46="","",AND(BI46=$C46,BJ46=$D46),3,($C46-$D46)/MAX(ABS($C46-$D46),1)=(BI46-BJ46)/MAX(ABS(BI46-BJ46),1),1,TRUE,0)</f>
        <v/>
      </c>
      <c r="BL46" s="18"/>
      <c r="BM46" s="19"/>
      <c r="BN46" s="33" t="str" cm="1">
        <f t="array" ref="BN46">_xlfn.IFS($D46="","",AND(BL46=$C46,BM46=$D46),3,($C46-$D46)/MAX(ABS($C46-$D46),1)=(BL46-BM46)/MAX(ABS(BL46-BM46),1),1,TRUE,0)</f>
        <v/>
      </c>
      <c r="BO46" s="18"/>
      <c r="BP46" s="19"/>
      <c r="BQ46" s="33" t="str" cm="1">
        <f t="array" ref="BQ46">_xlfn.IFS($D46="","",AND(BO46=$C46,BP46=$D46),3,($C46-$D46)/MAX(ABS($C46-$D46),1)=(BO46-BP46)/MAX(ABS(BO46-BP46),1),1,TRUE,0)</f>
        <v/>
      </c>
      <c r="BR46" s="18"/>
      <c r="BS46" s="19"/>
      <c r="BT46" s="33" t="str" cm="1">
        <f t="array" ref="BT46">_xlfn.IFS($D46="","",AND(BR46=$C46,BS46=$D46),3,($C46-$D46)/MAX(ABS($C46-$D46),1)=(BR46-BS46)/MAX(ABS(BR46-BS46),1),1,TRUE,0)</f>
        <v/>
      </c>
      <c r="BU46" s="18"/>
      <c r="BV46" s="19"/>
      <c r="BW46" s="33" t="str" cm="1">
        <f t="array" ref="BW46">_xlfn.IFS($D46="","",AND(BU46=$C46,BV46=$D46),3,($C46-$D46)/MAX(ABS($C46-$D46),1)=(BU46-BV46)/MAX(ABS(BU46-BV46),1),1,TRUE,0)</f>
        <v/>
      </c>
      <c r="BX46" s="18"/>
      <c r="BY46" s="19"/>
      <c r="BZ46" s="33" t="str" cm="1">
        <f t="array" ref="BZ46">_xlfn.IFS($D46="","",AND(BX46=$C46,BY46=$D46),3,($C46-$D46)/MAX(ABS($C46-$D46),1)=(BX46-BY46)/MAX(ABS(BX46-BY46),1),1,TRUE,0)</f>
        <v/>
      </c>
      <c r="CA46" s="18"/>
      <c r="CB46" s="19"/>
      <c r="CC46" s="33" t="str" cm="1">
        <f t="array" ref="CC46">_xlfn.IFS($D46="","",AND(CA46=$C46,CB46=$D46),3,($C46-$D46)/MAX(ABS($C46-$D46),1)=(CA46-CB46)/MAX(ABS(CA46-CB46),1),1,TRUE,0)</f>
        <v/>
      </c>
      <c r="CD46" s="18"/>
      <c r="CE46" s="19"/>
      <c r="CF46" s="33" t="str" cm="1">
        <f t="array" ref="CF46">_xlfn.IFS($D46="","",AND(CD46=$C46,CE46=$D46),3,($C46-$D46)/MAX(ABS($C46-$D46),1)=(CD46-CE46)/MAX(ABS(CD46-CE46),1),1,TRUE,0)</f>
        <v/>
      </c>
      <c r="CG46" s="18"/>
      <c r="CH46" s="19"/>
      <c r="CI46" s="33" t="str" cm="1">
        <f t="array" ref="CI46">_xlfn.IFS($D46="","",AND(CG46=$C46,CH46=$D46),3,($C46-$D46)/MAX(ABS($C46-$D46),1)=(CG46-CH46)/MAX(ABS(CG46-CH46),1),1,TRUE,0)</f>
        <v/>
      </c>
      <c r="CJ46" s="18"/>
      <c r="CK46" s="19"/>
      <c r="CL46" s="33" t="str" cm="1">
        <f t="array" ref="CL46">_xlfn.IFS($D46="","",AND(CJ46=$C46,CK46=$D46),3,($C46-$D46)/MAX(ABS($C46-$D46),1)=(CJ46-CK46)/MAX(ABS(CJ46-CK46),1),1,TRUE,0)</f>
        <v/>
      </c>
      <c r="CM46" s="18"/>
      <c r="CN46" s="19"/>
      <c r="CO46" s="33" t="str" cm="1">
        <f t="array" ref="CO46">_xlfn.IFS($D46="","",AND(CM46=$C46,CN46=$D46),3,($C46-$D46)/MAX(ABS($C46-$D46),1)=(CM46-CN46)/MAX(ABS(CM46-CN46),1),1,TRUE,0)</f>
        <v/>
      </c>
      <c r="CP46" s="18"/>
      <c r="CQ46" s="19"/>
      <c r="CR46" s="33" t="str" cm="1">
        <f t="array" ref="CR46">_xlfn.IFS($D46="","",AND(CP46=$C46,CQ46=$D46),3,($C46-$D46)/MAX(ABS($C46-$D46),1)=(CP46-CQ46)/MAX(ABS(CP46-CQ46),1),1,TRUE,0)</f>
        <v/>
      </c>
      <c r="CS46" s="18"/>
      <c r="CT46" s="19"/>
      <c r="CU46" s="33" t="str" cm="1">
        <f t="array" ref="CU46">_xlfn.IFS($D46="","",AND(CS46=$C46,CT46=$D46),3,($C46-$D46)/MAX(ABS($C46-$D46),1)=(CS46-CT46)/MAX(ABS(CS46-CT46),1),1,TRUE,0)</f>
        <v/>
      </c>
      <c r="CV46" s="18"/>
      <c r="CW46" s="19"/>
      <c r="CX46" s="33" t="str" cm="1">
        <f t="array" ref="CX46">_xlfn.IFS($D46="","",AND(CV46=$C46,CW46=$D46),3,($C46-$D46)/MAX(ABS($C46-$D46),1)=(CV46-CW46)/MAX(ABS(CV46-CW46),1),1,TRUE,0)</f>
        <v/>
      </c>
      <c r="CY46" s="18"/>
      <c r="CZ46" s="19"/>
      <c r="DA46" s="33" t="str" cm="1">
        <f t="array" ref="DA46">_xlfn.IFS($D46="","",AND(CY46=$C46,CZ46=$D46),3,($C46-$D46)/MAX(ABS($C46-$D46),1)=(CY46-CZ46)/MAX(ABS(CY46-CZ46),1),1,TRUE,0)</f>
        <v/>
      </c>
      <c r="DB46" s="37"/>
      <c r="DC46" s="38"/>
      <c r="DD46" s="33" t="str" cm="1">
        <f t="array" ref="DD46">_xlfn.IFS($D46="","",AND(DB46=$C46,DC46=$D46),3,($C46-$D46)/MAX(ABS($C46-$D46),1)=(DB46-DC46)/MAX(ABS(DB46-DC46),1),1,TRUE,0)</f>
        <v/>
      </c>
      <c r="DE46" s="18"/>
      <c r="DF46" s="19"/>
      <c r="DG46" s="33" t="str" cm="1">
        <f t="array" ref="DG46">_xlfn.IFS($D46="","",AND(DE46=$C46,DF46=$D46),3,($C46-$D46)/MAX(ABS($C46-$D46),1)=(DE46-DF46)/MAX(ABS(DE46-DF46),1),1,TRUE,0)</f>
        <v/>
      </c>
      <c r="DH46" s="18"/>
      <c r="DI46" s="19"/>
      <c r="DJ46" s="33" t="str" cm="1">
        <f t="array" ref="DJ46">_xlfn.IFS($D46="","",AND(DH46=$C46,DI46=$D46),3,($C46-$D46)/MAX(ABS($C46-$D46),1)=(DH46-DI46)/MAX(ABS(DH46-DI46),1),1,TRUE,0)</f>
        <v/>
      </c>
      <c r="DK46" s="18"/>
      <c r="DL46" s="19"/>
      <c r="DM46" s="33" t="str" cm="1">
        <f t="array" ref="DM46">_xlfn.IFS($D46="","",AND(DK46=$C46,DL46=$D46),3,($C46-$D46)/MAX(ABS($C46-$D46),1)=(DK46-DL46)/MAX(ABS(DK46-DL46),1),1,TRUE,0)</f>
        <v/>
      </c>
      <c r="DN46" s="18"/>
      <c r="DO46" s="19"/>
      <c r="DP46" s="33" t="str" cm="1">
        <f t="array" ref="DP46">_xlfn.IFS($D46="","",AND(DN46=$C46,DO46=$D46),3,($C46-$D46)/MAX(ABS($C46-$D46),1)=(DN46-DO46)/MAX(ABS(DN46-DO46),1),1,TRUE,0)</f>
        <v/>
      </c>
      <c r="DQ46" s="18"/>
      <c r="DR46" s="19"/>
      <c r="DS46" s="33" t="str" cm="1">
        <f t="array" ref="DS46">_xlfn.IFS($D46="","",AND(DQ46=$C46,DR46=$D46),3,($C46-$D46)/MAX(ABS($C46-$D46),1)=(DQ46-DR46)/MAX(ABS(DQ46-DR46),1),1,TRUE,0)</f>
        <v/>
      </c>
      <c r="DT46" s="18"/>
      <c r="DU46" s="19"/>
      <c r="DV46" s="33" t="str" cm="1">
        <f t="array" ref="DV46">_xlfn.IFS($D46="","",AND(DT46=$C46,DU46=$D46),3,($C46-$D46)/MAX(ABS($C46-$D46),1)=(DT46-DU46)/MAX(ABS(DT46-DU46),1),1,TRUE,0)</f>
        <v/>
      </c>
      <c r="DW46" s="18"/>
      <c r="DX46" s="19"/>
      <c r="DY46" s="33" t="str" cm="1">
        <f t="array" ref="DY46">_xlfn.IFS($D46="","",AND(DW46=$C46,DX46=$D46),3,($C46-$D46)/MAX(ABS($C46-$D46),1)=(DW46-DX46)/MAX(ABS(DW46-DX46),1),1,TRUE,0)</f>
        <v/>
      </c>
      <c r="DZ46" s="18"/>
      <c r="EA46" s="19"/>
      <c r="EB46" s="33" t="str" cm="1">
        <f t="array" ref="EB46">_xlfn.IFS($D46="","",AND(DZ46=$C46,EA46=$D46),3,($C46-$D46)/MAX(ABS($C46-$D46),1)=(DZ46-EA46)/MAX(ABS(DZ46-EA46),1),1,TRUE,0)</f>
        <v/>
      </c>
      <c r="EC46" s="18"/>
      <c r="ED46" s="19"/>
      <c r="EE46" s="33" t="str" cm="1">
        <f t="array" ref="EE46">_xlfn.IFS($D46="","",AND(EC46=$C46,ED46=$D46),3,($C46-$D46)/MAX(ABS($C46-$D46),1)=(EC46-ED46)/MAX(ABS(EC46-ED46),1),1,TRUE,0)</f>
        <v/>
      </c>
      <c r="EF46" s="18"/>
      <c r="EG46" s="19"/>
      <c r="EH46" s="33" t="str" cm="1">
        <f t="array" ref="EH46">_xlfn.IFS($D46="","",AND(EF46=$C46,EG46=$D46),3,($C46-$D46)/MAX(ABS($C46-$D46),1)=(EF46-EG46)/MAX(ABS(EF46-EG46),1),1,TRUE,0)</f>
        <v/>
      </c>
      <c r="EI46" s="50"/>
      <c r="EJ46" s="51"/>
      <c r="EK46" s="33" t="str" cm="1">
        <f t="array" ref="EK46">_xlfn.IFS($D46="","",AND(EI46=$C46,EJ46=$D46),3,($C46-$D46)/MAX(ABS($C46-$D46),1)=(EI46-EJ46)/MAX(ABS(EI46-EJ46),1),1,TRUE,0)</f>
        <v/>
      </c>
      <c r="EL46" s="18"/>
      <c r="EM46" s="19"/>
      <c r="EN46" s="33" t="str" cm="1">
        <f t="array" ref="EN46">_xlfn.IFS($D46="","",AND(EL46=$C46,EM46=$D46),3,($C46-$D46)/MAX(ABS($C46-$D46),1)=(EL46-EM46)/MAX(ABS(EL46-EM46),1),1,TRUE,0)</f>
        <v/>
      </c>
      <c r="EO46" s="18"/>
      <c r="EP46" s="19"/>
      <c r="EQ46" s="33" t="str" cm="1">
        <f t="array" ref="EQ46">_xlfn.IFS($D46="","",AND(EO46=$C46,EP46=$D46),3,($C46-$D46)/MAX(ABS($C46-$D46),1)=(EO46-EP46)/MAX(ABS(EO46-EP46),1),1,TRUE,0)</f>
        <v/>
      </c>
      <c r="ER46" s="18"/>
      <c r="ES46" s="19"/>
      <c r="ET46" s="33" t="str" cm="1">
        <f t="array" ref="ET46">_xlfn.IFS($D46="","",AND(ER46=$C46,ES46=$D46),3,($C46-$D46)/MAX(ABS($C46-$D46),1)=(ER46-ES46)/MAX(ABS(ER46-ES46),1),1,TRUE,0)</f>
        <v/>
      </c>
      <c r="EU46" s="18"/>
      <c r="EV46" s="19"/>
      <c r="EW46" s="33" t="str" cm="1">
        <f t="array" ref="EW46">_xlfn.IFS($D46="","",AND(EU46=$C46,EV46=$D46),3,($C46-$D46)/MAX(ABS($C46-$D46),1)=(EU46-EV46)/MAX(ABS(EU46-EV46),1),1,TRUE,0)</f>
        <v/>
      </c>
      <c r="EX46" s="18"/>
      <c r="EY46" s="19"/>
      <c r="EZ46" s="33" t="str" cm="1">
        <f t="array" ref="EZ46">_xlfn.IFS($D46="","",AND(EX46=$C46,EY46=$D46),3,($C46-$D46)/MAX(ABS($C46-$D46),1)=(EX46-EY46)/MAX(ABS(EX46-EY46),1),1,TRUE,0)</f>
        <v/>
      </c>
      <c r="FA46" s="18"/>
      <c r="FB46" s="19"/>
      <c r="FC46" s="33" t="str" cm="1">
        <f t="array" ref="FC46">_xlfn.IFS($D46="","",AND(FA46=$C46,FB46=$D46),3,($C46-$D46)/MAX(ABS($C46-$D46),1)=(FA46-FB46)/MAX(ABS(FA46-FB46),1),1,TRUE,0)</f>
        <v/>
      </c>
      <c r="FD46" s="18"/>
      <c r="FE46" s="19"/>
      <c r="FF46" s="33" t="str" cm="1">
        <f t="array" ref="FF46">_xlfn.IFS($D46="","",AND(FD46=$C46,FE46=$D46),3,($C46-$D46)/MAX(ABS($C46-$D46),1)=(FD46-FE46)/MAX(ABS(FD46-FE46),1),1,TRUE,0)</f>
        <v/>
      </c>
      <c r="FG46" s="18"/>
      <c r="FH46" s="19"/>
      <c r="FI46" s="33" t="str" cm="1">
        <f t="array" ref="FI46">_xlfn.IFS($D46="","",AND(FG46=$C46,FH46=$D46),3,($C46-$D46)/MAX(ABS($C46-$D46),1)=(FG46-FH46)/MAX(ABS(FG46-FH46),1),1,TRUE,0)</f>
        <v/>
      </c>
      <c r="FJ46" s="18"/>
      <c r="FK46" s="19"/>
      <c r="FL46" s="33" t="str" cm="1">
        <f t="array" ref="FL46">_xlfn.IFS($D46="","",AND(FJ46=$C46,FK46=$D46),3,($C46-$D46)/MAX(ABS($C46-$D46),1)=(FJ46-FK46)/MAX(ABS(FJ46-FK46),1),1,TRUE,0)</f>
        <v/>
      </c>
      <c r="FM46" s="18"/>
      <c r="FN46" s="19"/>
      <c r="FO46" s="33" t="str" cm="1">
        <f t="array" ref="FO46">_xlfn.IFS($D46="","",AND(FM46=$C46,FN46=$D46),3,($C46-$D46)/MAX(ABS($C46-$D46),1)=(FM46-FN46)/MAX(ABS(FM46-FN46),1),1,TRUE,0)</f>
        <v/>
      </c>
      <c r="FP46" s="18"/>
      <c r="FQ46" s="19"/>
      <c r="FR46" s="33" t="str" cm="1">
        <f t="array" ref="FR46">_xlfn.IFS($D46="","",AND(FP46=$C46,FQ46=$D46),3,($C46-$D46)/MAX(ABS($C46-$D46),1)=(FP46-FQ46)/MAX(ABS(FP46-FQ46),1),1,TRUE,0)</f>
        <v/>
      </c>
      <c r="FS46" s="18"/>
      <c r="FT46" s="19"/>
      <c r="FU46" s="33" t="str" cm="1">
        <f t="array" ref="FU46">_xlfn.IFS($D46="","",AND(FS46=$C46,FT46=$D46),3,($C46-$D46)/MAX(ABS($C46-$D46),1)=(FS46-FT46)/MAX(ABS(FS46-FT46),1),1,TRUE,0)</f>
        <v/>
      </c>
      <c r="FV46" s="18"/>
      <c r="FW46" s="19"/>
      <c r="FX46" s="33" t="str" cm="1">
        <f t="array" ref="FX46">_xlfn.IFS($D46="","",AND(FV46=$C46,FW46=$D46),3,($C46-$D46)/MAX(ABS($C46-$D46),1)=(FV46-FW46)/MAX(ABS(FV46-FW46),1),1,TRUE,0)</f>
        <v/>
      </c>
      <c r="FY46" s="18"/>
      <c r="FZ46" s="19"/>
      <c r="GA46" s="33" t="str" cm="1">
        <f t="array" ref="GA46">_xlfn.IFS($D46="","",AND(FY46=$C46,FZ46=$D46),3,($C46-$D46)/MAX(ABS($C46-$D46),1)=(FY46-FZ46)/MAX(ABS(FY46-FZ46),1),1,TRUE,0)</f>
        <v/>
      </c>
      <c r="GB46" s="18"/>
      <c r="GC46" s="19"/>
      <c r="GD46" s="33" t="str" cm="1">
        <f t="array" ref="GD46">_xlfn.IFS($D46="","",AND(GB46=$C46,GC46=$D46),3,($C46-$D46)/MAX(ABS($C46-$D46),1)=(GB46-GC46)/MAX(ABS(GB46-GC46),1),1,TRUE,0)</f>
        <v/>
      </c>
      <c r="GE46" s="52"/>
      <c r="GF46" s="19"/>
      <c r="GG46" s="33" t="str" cm="1">
        <f t="array" ref="GG46">_xlfn.IFS($D46="","",AND(GE46=$C46,GF46=$D46),3,($C46-$D46)/MAX(ABS($C46-$D46),1)=(GE46-GF46)/MAX(ABS(GE46-GF46),1),1,TRUE,0)</f>
        <v/>
      </c>
      <c r="GH46" s="18"/>
      <c r="GI46" s="19"/>
      <c r="GJ46" s="33" t="str" cm="1">
        <f t="array" ref="GJ46">_xlfn.IFS($D46="","",AND(GH46=$C46,GI46=$D46),3,($C46-$D46)/MAX(ABS($C46-$D46),1)=(GH46-GI46)/MAX(ABS(GH46-GI46),1),1,TRUE,0)</f>
        <v/>
      </c>
      <c r="GK46" s="18"/>
      <c r="GL46" s="19"/>
      <c r="GM46" s="33" t="str" cm="1">
        <f t="array" ref="GM46">_xlfn.IFS($D46="","",AND(GK46=$C46,GL46=$D46),3,($C46-$D46)/MAX(ABS($C46-$D46),1)=(GK46-GL46)/MAX(ABS(GK46-GL46),1),1,TRUE,0)</f>
        <v/>
      </c>
      <c r="GN46" s="18"/>
      <c r="GO46" s="19"/>
      <c r="GP46" s="33" t="str" cm="1">
        <f t="array" ref="GP46">_xlfn.IFS($D46="","",AND(GN46=$C46,GO46=$D46),3,($C46-$D46)/MAX(ABS($C46-$D46),1)=(GN46-GO46)/MAX(ABS(GN46-GO46),1),1,TRUE,0)</f>
        <v/>
      </c>
      <c r="GQ46" s="18"/>
      <c r="GR46" s="19"/>
      <c r="GS46" s="33" t="str" cm="1">
        <f t="array" ref="GS46">_xlfn.IFS($D46="","",AND(GQ46=$C46,GR46=$D46),3,($C46-$D46)/MAX(ABS($C46-$D46),1)=(GQ46-GR46)/MAX(ABS(GQ46-GR46),1),1,TRUE,0)</f>
        <v/>
      </c>
      <c r="GT46" s="18"/>
      <c r="GU46" s="19"/>
      <c r="GV46" s="33" t="str" cm="1">
        <f t="array" ref="GV46">_xlfn.IFS($D46="","",AND(GT46=$C46,GU46=$D46),3,($C46-$D46)/MAX(ABS($C46-$D46),1)=(GT46-GU46)/MAX(ABS(GT46-GU46),1),1,TRUE,0)</f>
        <v/>
      </c>
      <c r="GW46" s="18"/>
      <c r="GX46" s="19"/>
      <c r="GY46" s="33" t="str" cm="1">
        <f t="array" ref="GY46">_xlfn.IFS($D46="","",AND(GW46=$C46,GX46=$D46),3,($C46-$D46)/MAX(ABS($C46-$D46),1)=(GW46-GX46)/MAX(ABS(GW46-GX46),1),1,TRUE,0)</f>
        <v/>
      </c>
      <c r="GZ46" s="18"/>
      <c r="HA46" s="19"/>
      <c r="HB46" s="33" t="str" cm="1">
        <f t="array" ref="HB46">_xlfn.IFS($D46="","",AND(GZ46=$C46,HA46=$D46),3,($C46-$D46)/MAX(ABS($C46-$D46),1)=(GZ46-HA46)/MAX(ABS(GZ46-HA46),1),1,TRUE,0)</f>
        <v/>
      </c>
      <c r="HC46" s="18"/>
      <c r="HD46" s="19"/>
      <c r="HE46" s="33" t="str" cm="1">
        <f t="array" ref="HE46">_xlfn.IFS($D46="","",AND(HC46=$C46,HD46=$D46),3,($C46-$D46)/MAX(ABS($C46-$D46),1)=(HC46-HD46)/MAX(ABS(HC46-HD46),1),1,TRUE,0)</f>
        <v/>
      </c>
      <c r="HF46" s="18"/>
      <c r="HG46" s="19"/>
      <c r="HH46" s="33" t="str" cm="1">
        <f t="array" ref="HH46">_xlfn.IFS($D46="","",AND(HF46=$C46,HG46=$D46),3,($C46-$D46)/MAX(ABS($C46-$D46),1)=(HF46-HG46)/MAX(ABS(HF46-HG46),1),1,TRUE,0)</f>
        <v/>
      </c>
      <c r="HI46" s="18"/>
      <c r="HJ46" s="19"/>
      <c r="HK46" s="33" t="str" cm="1">
        <f t="array" ref="HK46">_xlfn.IFS($D46="","",AND(HI46=$C46,HJ46=$D46),3,($C46-$D46)/MAX(ABS($C46-$D46),1)=(HI46-HJ46)/MAX(ABS(HI46-HJ46),1),1,TRUE,0)</f>
        <v/>
      </c>
      <c r="HL46" s="18"/>
      <c r="HM46" s="19"/>
      <c r="HN46" s="33" t="str" cm="1">
        <f t="array" ref="HN46">_xlfn.IFS($D46="","",AND(HL46=$C46,HM46=$D46),3,($C46-$D46)/MAX(ABS($C46-$D46),1)=(HL46-HM46)/MAX(ABS(HL46-HM46),1),1,TRUE,0)</f>
        <v/>
      </c>
      <c r="HO46" s="18"/>
      <c r="HP46" s="19"/>
      <c r="HQ46" s="33" t="str" cm="1">
        <f t="array" ref="HQ46">_xlfn.IFS($D46="","",AND(HO46=$C46,HP46=$D46),3,($C46-$D46)/MAX(ABS($C46-$D46),1)=(HO46-HP46)/MAX(ABS(HO46-HP46),1),1,TRUE,0)</f>
        <v/>
      </c>
      <c r="HR46" s="18"/>
      <c r="HS46" s="19"/>
      <c r="HT46" s="33" t="str" cm="1">
        <f t="array" ref="HT46">_xlfn.IFS($D46="","",AND(HR46=$C46,HS46=$D46),3,($C46-$D46)/MAX(ABS($C46-$D46),1)=(HR46-HS46)/MAX(ABS(HR46-HS46),1),1,TRUE,0)</f>
        <v/>
      </c>
      <c r="HU46" s="18"/>
      <c r="HV46" s="19"/>
      <c r="HW46" s="33" t="str" cm="1">
        <f t="array" ref="HW46">_xlfn.IFS($D46="","",AND(HU46=$C46,HV46=$D46),3,($C46-$D46)/MAX(ABS($C46-$D46),1)=(HU46-HV46)/MAX(ABS(HU46-HV46),1),1,TRUE,0)</f>
        <v/>
      </c>
      <c r="HX46" s="18"/>
      <c r="HY46" s="19"/>
      <c r="HZ46" s="33" t="str" cm="1">
        <f t="array" ref="HZ46">_xlfn.IFS($D46="","",AND(HX46=$C46,HY46=$D46),3,($C46-$D46)/MAX(ABS($C46-$D46),1)=(HX46-HY46)/MAX(ABS(HX46-HY46),1),1,TRUE,0)</f>
        <v/>
      </c>
      <c r="IA46" s="18"/>
      <c r="IB46" s="19"/>
      <c r="IC46" s="33" t="str" cm="1">
        <f t="array" ref="IC46">_xlfn.IFS($D46="","",AND(IA46=$C46,IB46=$D46),3,($C46-$D46)/MAX(ABS($C46-$D46),1)=(IA46-IB46)/MAX(ABS(IA46-IB46),1),1,TRUE,0)</f>
        <v/>
      </c>
      <c r="ID46" s="18"/>
      <c r="IE46" s="19"/>
      <c r="IF46" s="33" t="str" cm="1">
        <f t="array" ref="IF46">_xlfn.IFS($D46="","",AND(ID46=$C46,IE46=$D46),3,($C46-$D46)/MAX(ABS($C46-$D46),1)=(ID46-IE46)/MAX(ABS(ID46-IE46),1),1,TRUE,0)</f>
        <v/>
      </c>
      <c r="IG46" s="18"/>
      <c r="IH46" s="19"/>
      <c r="II46" s="33" t="str" cm="1">
        <f t="array" ref="II46">_xlfn.IFS($D46="","",AND(IG46=$C46,IH46=$D46),3,($C46-$D46)/MAX(ABS($C46-$D46),1)=(IG46-IH46)/MAX(ABS(IG46-IH46),1),1,TRUE,0)</f>
        <v/>
      </c>
      <c r="IJ46" s="18"/>
      <c r="IK46" s="19"/>
      <c r="IL46" s="33" t="str" cm="1">
        <f t="array" ref="IL46">_xlfn.IFS($D46="","",AND(IJ46=$C46,IK46=$D46),3,($C46-$D46)/MAX(ABS($C46-$D46),1)=(IJ46-IK46)/MAX(ABS(IJ46-IK46),1),1,TRUE,0)</f>
        <v/>
      </c>
      <c r="IM46" s="18"/>
      <c r="IN46" s="19"/>
      <c r="IO46" s="33" t="str" cm="1">
        <f t="array" ref="IO46">_xlfn.IFS($D46="","",AND(IM46=$C46,IN46=$D46),3,($C46-$D46)/MAX(ABS($C46-$D46),1)=(IM46-IN46)/MAX(ABS(IM46-IN46),1),1,TRUE,0)</f>
        <v/>
      </c>
      <c r="IP46" s="18"/>
      <c r="IQ46" s="19"/>
      <c r="IR46" s="33" t="str" cm="1">
        <f t="array" ref="IR46">_xlfn.IFS($D46="","",AND(IP46=$C46,IQ46=$D46),3,($C46-$D46)/MAX(ABS($C46-$D46),1)=(IP46-IQ46)/MAX(ABS(IP46-IQ46),1),1,TRUE,0)</f>
        <v/>
      </c>
      <c r="IS46" s="18"/>
      <c r="IT46" s="19"/>
      <c r="IU46" s="33" t="str" cm="1">
        <f t="array" ref="IU46">_xlfn.IFS($D46="","",AND(IS46=$C46,IT46=$D46),3,($C46-$D46)/MAX(ABS($C46-$D46),1)=(IS46-IT46)/MAX(ABS(IS46-IT46),1),1,TRUE,0)</f>
        <v/>
      </c>
      <c r="IV46" s="18"/>
      <c r="IW46" s="19"/>
      <c r="IX46" s="33" t="str" cm="1">
        <f t="array" ref="IX46">_xlfn.IFS($D46="","",AND(IV46=$C46,IW46=$D46),3,($C46-$D46)/MAX(ABS($C46-$D46),1)=(IV46-IW46)/MAX(ABS(IV46-IW46),1),1,TRUE,0)</f>
        <v/>
      </c>
      <c r="IY46" s="18"/>
      <c r="IZ46" s="19"/>
      <c r="JA46" s="33" t="str" cm="1">
        <f t="array" ref="JA46">_xlfn.IFS($D46="","",AND(IY46=$C46,IZ46=$D46),3,($C46-$D46)/MAX(ABS($C46-$D46),1)=(IY46-IZ46)/MAX(ABS(IY46-IZ46),1),1,TRUE,0)</f>
        <v/>
      </c>
      <c r="JB46" s="18"/>
      <c r="JC46" s="19"/>
      <c r="JD46" s="33" t="str" cm="1">
        <f t="array" ref="JD46">_xlfn.IFS($D46="","",AND(JB46=$C46,JC46=$D46),3,($C46-$D46)/MAX(ABS($C46-$D46),1)=(JB46-JC46)/MAX(ABS(JB46-JC46),1),1,TRUE,0)</f>
        <v/>
      </c>
    </row>
    <row r="47" spans="1:264" ht="15" thickBot="1" x14ac:dyDescent="0.35">
      <c r="A47" s="22">
        <v>46196</v>
      </c>
      <c r="B47" s="28" t="s">
        <v>17</v>
      </c>
      <c r="C47" s="53" t="str" cm="1">
        <f t="array" ref="C47">_xlfn.LET(
_xlpm.x,_xlfn.XLOOKUP(1,(Scores_Fixtures[Date]=A47)*(Scores_Fixtures[Home.1]=B47),Scores_Fixtures[Score.1],""),
IF(_xlpm.x="","",_xlpm.x)
)</f>
        <v/>
      </c>
      <c r="D47" s="53" t="str" cm="1">
        <f t="array" ref="D47">_xlfn.LET(
_xlpm.x,_xlfn.XLOOKUP(1,(Scores_Fixtures[Date]=A47)*(Scores_Fixtures[Home.1]=B47),Scores_Fixtures[Score.2],""),
IF(_xlpm.x="","",_xlpm.x)
)</f>
        <v/>
      </c>
      <c r="E47" s="12" t="s">
        <v>49</v>
      </c>
      <c r="F47" s="15"/>
      <c r="G47" s="53"/>
      <c r="H47" s="53"/>
      <c r="I47" s="33" t="str" cm="1">
        <f t="array" ref="I47">_xlfn.IFS($D47="","",AND(G47=$C47,H47=$D47),3,($C47-$D47)/MAX(ABS($C47-$D47),1)=(G47-H47)/MAX(ABS(G47-H47),1),1,TRUE,0)</f>
        <v/>
      </c>
      <c r="J47" s="18"/>
      <c r="K47" s="19"/>
      <c r="L47" s="33" t="str" cm="1">
        <f t="array" ref="L47">_xlfn.IFS($D47="","",AND(J47=$C47,K47=$D47),3,($C47-$D47)/MAX(ABS($C47-$D47),1)=(J47-K47)/MAX(ABS(J47-K47),1),1,TRUE,0)</f>
        <v/>
      </c>
      <c r="M47" s="18"/>
      <c r="N47" s="19"/>
      <c r="O47" s="33" t="str" cm="1">
        <f t="array" ref="O47">_xlfn.IFS($D47="","",AND(M47=$C47,N47=$D47),3,($C47-$D47)/MAX(ABS($C47-$D47),1)=(M47-N47)/MAX(ABS(M47-N47),1),1,TRUE,0)</f>
        <v/>
      </c>
      <c r="P47" s="18"/>
      <c r="Q47" s="19"/>
      <c r="R47" s="33" t="str" cm="1">
        <f t="array" ref="R47">_xlfn.IFS($D47="","",AND(P47=$C47,Q47=$D47),3,($C47-$D47)/MAX(ABS($C47-$D47),1)=(P47-Q47)/MAX(ABS(P47-Q47),1),1,TRUE,0)</f>
        <v/>
      </c>
      <c r="S47" s="18"/>
      <c r="T47" s="19"/>
      <c r="U47" s="33" t="str" cm="1">
        <f t="array" ref="U47">_xlfn.IFS($D47="","",AND(S47=$C47,T47=$D47),3,($C47-$D47)/MAX(ABS($C47-$D47),1)=(S47-T47)/MAX(ABS(S47-T47),1),1,TRUE,0)</f>
        <v/>
      </c>
      <c r="V47" s="18"/>
      <c r="W47" s="19"/>
      <c r="X47" s="33" t="str" cm="1">
        <f t="array" ref="X47">_xlfn.IFS($D47="","",AND(V47=$C47,W47=$D47),3,($C47-$D47)/MAX(ABS($C47-$D47),1)=(V47-W47)/MAX(ABS(V47-W47),1),1,TRUE,0)</f>
        <v/>
      </c>
      <c r="Y47" s="18"/>
      <c r="Z47" s="19"/>
      <c r="AA47" s="33" t="str" cm="1">
        <f t="array" ref="AA47">_xlfn.IFS($D47="","",AND(Y47=$C47,Z47=$D47),3,($C47-$D47)/MAX(ABS($C47-$D47),1)=(Y47-Z47)/MAX(ABS(Y47-Z47),1),1,TRUE,0)</f>
        <v/>
      </c>
      <c r="AB47" s="18"/>
      <c r="AC47" s="19"/>
      <c r="AD47" s="33" t="str" cm="1">
        <f t="array" ref="AD47">_xlfn.IFS($D47="","",AND(AB47=$C47,AC47=$D47),3,($C47-$D47)/MAX(ABS($C47-$D47),1)=(AB47-AC47)/MAX(ABS(AB47-AC47),1),1,TRUE,0)</f>
        <v/>
      </c>
      <c r="AE47" s="18"/>
      <c r="AF47" s="19"/>
      <c r="AG47" s="33" t="str" cm="1">
        <f t="array" ref="AG47">_xlfn.IFS($D47="","",AND(AE47=$C47,AF47=$D47),3,($C47-$D47)/MAX(ABS($C47-$D47),1)=(AE47-AF47)/MAX(ABS(AE47-AF47),1),1,TRUE,0)</f>
        <v/>
      </c>
      <c r="AH47" s="18"/>
      <c r="AI47" s="19"/>
      <c r="AJ47" s="33" t="str" cm="1">
        <f t="array" ref="AJ47">_xlfn.IFS($D47="","",AND(AH47=$C47,AI47=$D47),3,($C47-$D47)/MAX(ABS($C47-$D47),1)=(AH47-AI47)/MAX(ABS(AH47-AI47),1),1,TRUE,0)</f>
        <v/>
      </c>
      <c r="AK47" s="18"/>
      <c r="AL47" s="19"/>
      <c r="AM47" s="33" t="str" cm="1">
        <f t="array" ref="AM47">_xlfn.IFS($D47="","",AND(AK47=$C47,AL47=$D47),3,($C47-$D47)/MAX(ABS($C47-$D47),1)=(AK47-AL47)/MAX(ABS(AK47-AL47),1),1,TRUE,0)</f>
        <v/>
      </c>
      <c r="AN47" s="18"/>
      <c r="AO47" s="19"/>
      <c r="AP47" s="33" t="str" cm="1">
        <f t="array" ref="AP47">_xlfn.IFS($D47="","",AND(AN47=$C47,AO47=$D47),3,($C47-$D47)/MAX(ABS($C47-$D47),1)=(AN47-AO47)/MAX(ABS(AN47-AO47),1),1,TRUE,0)</f>
        <v/>
      </c>
      <c r="AQ47" s="18"/>
      <c r="AR47" s="19"/>
      <c r="AS47" s="33" t="str" cm="1">
        <f t="array" ref="AS47">_xlfn.IFS($D47="","",AND(AQ47=$C47,AR47=$D47),3,($C47-$D47)/MAX(ABS($C47-$D47),1)=(AQ47-AR47)/MAX(ABS(AQ47-AR47),1),1,TRUE,0)</f>
        <v/>
      </c>
      <c r="AT47" s="18"/>
      <c r="AU47" s="19"/>
      <c r="AV47" s="33" t="str" cm="1">
        <f t="array" ref="AV47">_xlfn.IFS($D47="","",AND(AT47=$C47,AU47=$D47),3,($C47-$D47)/MAX(ABS($C47-$D47),1)=(AT47-AU47)/MAX(ABS(AT47-AU47),1),1,TRUE,0)</f>
        <v/>
      </c>
      <c r="AW47" s="18"/>
      <c r="AX47" s="19"/>
      <c r="AY47" s="33" t="str" cm="1">
        <f t="array" ref="AY47">_xlfn.IFS($D47="","",AND(AW47=$C47,AX47=$D47),3,($C47-$D47)/MAX(ABS($C47-$D47),1)=(AW47-AX47)/MAX(ABS(AW47-AX47),1),1,TRUE,0)</f>
        <v/>
      </c>
      <c r="AZ47" s="18"/>
      <c r="BA47" s="19"/>
      <c r="BB47" s="33" t="str" cm="1">
        <f t="array" ref="BB47">_xlfn.IFS($D47="","",AND(AZ47=$C47,BA47=$D47),3,($C47-$D47)/MAX(ABS($C47-$D47),1)=(AZ47-BA47)/MAX(ABS(AZ47-BA47),1),1,TRUE,0)</f>
        <v/>
      </c>
      <c r="BC47" s="18"/>
      <c r="BD47" s="19"/>
      <c r="BE47" s="33" t="str" cm="1">
        <f t="array" ref="BE47">_xlfn.IFS($D47="","",AND(BC47=$C47,BD47=$D47),3,($C47-$D47)/MAX(ABS($C47-$D47),1)=(BC47-BD47)/MAX(ABS(BC47-BD47),1),1,TRUE,0)</f>
        <v/>
      </c>
      <c r="BF47" s="18"/>
      <c r="BG47" s="19"/>
      <c r="BH47" s="33" t="str" cm="1">
        <f t="array" ref="BH47">_xlfn.IFS($D47="","",AND(BF47=$C47,BG47=$D47),3,($C47-$D47)/MAX(ABS($C47-$D47),1)=(BF47-BG47)/MAX(ABS(BF47-BG47),1),1,TRUE,0)</f>
        <v/>
      </c>
      <c r="BI47" s="18"/>
      <c r="BJ47" s="19"/>
      <c r="BK47" s="33" t="str" cm="1">
        <f t="array" ref="BK47">_xlfn.IFS($D47="","",AND(BI47=$C47,BJ47=$D47),3,($C47-$D47)/MAX(ABS($C47-$D47),1)=(BI47-BJ47)/MAX(ABS(BI47-BJ47),1),1,TRUE,0)</f>
        <v/>
      </c>
      <c r="BL47" s="18"/>
      <c r="BM47" s="19"/>
      <c r="BN47" s="33" t="str" cm="1">
        <f t="array" ref="BN47">_xlfn.IFS($D47="","",AND(BL47=$C47,BM47=$D47),3,($C47-$D47)/MAX(ABS($C47-$D47),1)=(BL47-BM47)/MAX(ABS(BL47-BM47),1),1,TRUE,0)</f>
        <v/>
      </c>
      <c r="BO47" s="18"/>
      <c r="BP47" s="19"/>
      <c r="BQ47" s="33" t="str" cm="1">
        <f t="array" ref="BQ47">_xlfn.IFS($D47="","",AND(BO47=$C47,BP47=$D47),3,($C47-$D47)/MAX(ABS($C47-$D47),1)=(BO47-BP47)/MAX(ABS(BO47-BP47),1),1,TRUE,0)</f>
        <v/>
      </c>
      <c r="BR47" s="18"/>
      <c r="BS47" s="19"/>
      <c r="BT47" s="33" t="str" cm="1">
        <f t="array" ref="BT47">_xlfn.IFS($D47="","",AND(BR47=$C47,BS47=$D47),3,($C47-$D47)/MAX(ABS($C47-$D47),1)=(BR47-BS47)/MAX(ABS(BR47-BS47),1),1,TRUE,0)</f>
        <v/>
      </c>
      <c r="BU47" s="18"/>
      <c r="BV47" s="19"/>
      <c r="BW47" s="33" t="str" cm="1">
        <f t="array" ref="BW47">_xlfn.IFS($D47="","",AND(BU47=$C47,BV47=$D47),3,($C47-$D47)/MAX(ABS($C47-$D47),1)=(BU47-BV47)/MAX(ABS(BU47-BV47),1),1,TRUE,0)</f>
        <v/>
      </c>
      <c r="BX47" s="18"/>
      <c r="BY47" s="19"/>
      <c r="BZ47" s="33" t="str" cm="1">
        <f t="array" ref="BZ47">_xlfn.IFS($D47="","",AND(BX47=$C47,BY47=$D47),3,($C47-$D47)/MAX(ABS($C47-$D47),1)=(BX47-BY47)/MAX(ABS(BX47-BY47),1),1,TRUE,0)</f>
        <v/>
      </c>
      <c r="CA47" s="18"/>
      <c r="CB47" s="19"/>
      <c r="CC47" s="33" t="str" cm="1">
        <f t="array" ref="CC47">_xlfn.IFS($D47="","",AND(CA47=$C47,CB47=$D47),3,($C47-$D47)/MAX(ABS($C47-$D47),1)=(CA47-CB47)/MAX(ABS(CA47-CB47),1),1,TRUE,0)</f>
        <v/>
      </c>
      <c r="CD47" s="18"/>
      <c r="CE47" s="19"/>
      <c r="CF47" s="33" t="str" cm="1">
        <f t="array" ref="CF47">_xlfn.IFS($D47="","",AND(CD47=$C47,CE47=$D47),3,($C47-$D47)/MAX(ABS($C47-$D47),1)=(CD47-CE47)/MAX(ABS(CD47-CE47),1),1,TRUE,0)</f>
        <v/>
      </c>
      <c r="CG47" s="18"/>
      <c r="CH47" s="19"/>
      <c r="CI47" s="33" t="str" cm="1">
        <f t="array" ref="CI47">_xlfn.IFS($D47="","",AND(CG47=$C47,CH47=$D47),3,($C47-$D47)/MAX(ABS($C47-$D47),1)=(CG47-CH47)/MAX(ABS(CG47-CH47),1),1,TRUE,0)</f>
        <v/>
      </c>
      <c r="CJ47" s="18"/>
      <c r="CK47" s="19"/>
      <c r="CL47" s="33" t="str" cm="1">
        <f t="array" ref="CL47">_xlfn.IFS($D47="","",AND(CJ47=$C47,CK47=$D47),3,($C47-$D47)/MAX(ABS($C47-$D47),1)=(CJ47-CK47)/MAX(ABS(CJ47-CK47),1),1,TRUE,0)</f>
        <v/>
      </c>
      <c r="CM47" s="18"/>
      <c r="CN47" s="19"/>
      <c r="CO47" s="33" t="str" cm="1">
        <f t="array" ref="CO47">_xlfn.IFS($D47="","",AND(CM47=$C47,CN47=$D47),3,($C47-$D47)/MAX(ABS($C47-$D47),1)=(CM47-CN47)/MAX(ABS(CM47-CN47),1),1,TRUE,0)</f>
        <v/>
      </c>
      <c r="CP47" s="18"/>
      <c r="CQ47" s="19"/>
      <c r="CR47" s="33" t="str" cm="1">
        <f t="array" ref="CR47">_xlfn.IFS($D47="","",AND(CP47=$C47,CQ47=$D47),3,($C47-$D47)/MAX(ABS($C47-$D47),1)=(CP47-CQ47)/MAX(ABS(CP47-CQ47),1),1,TRUE,0)</f>
        <v/>
      </c>
      <c r="CS47" s="18"/>
      <c r="CT47" s="19"/>
      <c r="CU47" s="33" t="str" cm="1">
        <f t="array" ref="CU47">_xlfn.IFS($D47="","",AND(CS47=$C47,CT47=$D47),3,($C47-$D47)/MAX(ABS($C47-$D47),1)=(CS47-CT47)/MAX(ABS(CS47-CT47),1),1,TRUE,0)</f>
        <v/>
      </c>
      <c r="CV47" s="18"/>
      <c r="CW47" s="19"/>
      <c r="CX47" s="33" t="str" cm="1">
        <f t="array" ref="CX47">_xlfn.IFS($D47="","",AND(CV47=$C47,CW47=$D47),3,($C47-$D47)/MAX(ABS($C47-$D47),1)=(CV47-CW47)/MAX(ABS(CV47-CW47),1),1,TRUE,0)</f>
        <v/>
      </c>
      <c r="CY47" s="18"/>
      <c r="CZ47" s="19"/>
      <c r="DA47" s="33" t="str" cm="1">
        <f t="array" ref="DA47">_xlfn.IFS($D47="","",AND(CY47=$C47,CZ47=$D47),3,($C47-$D47)/MAX(ABS($C47-$D47),1)=(CY47-CZ47)/MAX(ABS(CY47-CZ47),1),1,TRUE,0)</f>
        <v/>
      </c>
      <c r="DB47" s="37"/>
      <c r="DC47" s="38"/>
      <c r="DD47" s="33" t="str" cm="1">
        <f t="array" ref="DD47">_xlfn.IFS($D47="","",AND(DB47=$C47,DC47=$D47),3,($C47-$D47)/MAX(ABS($C47-$D47),1)=(DB47-DC47)/MAX(ABS(DB47-DC47),1),1,TRUE,0)</f>
        <v/>
      </c>
      <c r="DE47" s="18"/>
      <c r="DF47" s="19"/>
      <c r="DG47" s="33" t="str" cm="1">
        <f t="array" ref="DG47">_xlfn.IFS($D47="","",AND(DE47=$C47,DF47=$D47),3,($C47-$D47)/MAX(ABS($C47-$D47),1)=(DE47-DF47)/MAX(ABS(DE47-DF47),1),1,TRUE,0)</f>
        <v/>
      </c>
      <c r="DH47" s="18"/>
      <c r="DI47" s="19"/>
      <c r="DJ47" s="33" t="str" cm="1">
        <f t="array" ref="DJ47">_xlfn.IFS($D47="","",AND(DH47=$C47,DI47=$D47),3,($C47-$D47)/MAX(ABS($C47-$D47),1)=(DH47-DI47)/MAX(ABS(DH47-DI47),1),1,TRUE,0)</f>
        <v/>
      </c>
      <c r="DK47" s="18"/>
      <c r="DL47" s="19"/>
      <c r="DM47" s="33" t="str" cm="1">
        <f t="array" ref="DM47">_xlfn.IFS($D47="","",AND(DK47=$C47,DL47=$D47),3,($C47-$D47)/MAX(ABS($C47-$D47),1)=(DK47-DL47)/MAX(ABS(DK47-DL47),1),1,TRUE,0)</f>
        <v/>
      </c>
      <c r="DN47" s="18"/>
      <c r="DO47" s="19"/>
      <c r="DP47" s="33" t="str" cm="1">
        <f t="array" ref="DP47">_xlfn.IFS($D47="","",AND(DN47=$C47,DO47=$D47),3,($C47-$D47)/MAX(ABS($C47-$D47),1)=(DN47-DO47)/MAX(ABS(DN47-DO47),1),1,TRUE,0)</f>
        <v/>
      </c>
      <c r="DQ47" s="18"/>
      <c r="DR47" s="19"/>
      <c r="DS47" s="33" t="str" cm="1">
        <f t="array" ref="DS47">_xlfn.IFS($D47="","",AND(DQ47=$C47,DR47=$D47),3,($C47-$D47)/MAX(ABS($C47-$D47),1)=(DQ47-DR47)/MAX(ABS(DQ47-DR47),1),1,TRUE,0)</f>
        <v/>
      </c>
      <c r="DT47" s="18"/>
      <c r="DU47" s="19"/>
      <c r="DV47" s="33" t="str" cm="1">
        <f t="array" ref="DV47">_xlfn.IFS($D47="","",AND(DT47=$C47,DU47=$D47),3,($C47-$D47)/MAX(ABS($C47-$D47),1)=(DT47-DU47)/MAX(ABS(DT47-DU47),1),1,TRUE,0)</f>
        <v/>
      </c>
      <c r="DW47" s="18"/>
      <c r="DX47" s="19"/>
      <c r="DY47" s="33" t="str" cm="1">
        <f t="array" ref="DY47">_xlfn.IFS($D47="","",AND(DW47=$C47,DX47=$D47),3,($C47-$D47)/MAX(ABS($C47-$D47),1)=(DW47-DX47)/MAX(ABS(DW47-DX47),1),1,TRUE,0)</f>
        <v/>
      </c>
      <c r="DZ47" s="18"/>
      <c r="EA47" s="19"/>
      <c r="EB47" s="33" t="str" cm="1">
        <f t="array" ref="EB47">_xlfn.IFS($D47="","",AND(DZ47=$C47,EA47=$D47),3,($C47-$D47)/MAX(ABS($C47-$D47),1)=(DZ47-EA47)/MAX(ABS(DZ47-EA47),1),1,TRUE,0)</f>
        <v/>
      </c>
      <c r="EC47" s="18"/>
      <c r="ED47" s="19"/>
      <c r="EE47" s="33" t="str" cm="1">
        <f t="array" ref="EE47">_xlfn.IFS($D47="","",AND(EC47=$C47,ED47=$D47),3,($C47-$D47)/MAX(ABS($C47-$D47),1)=(EC47-ED47)/MAX(ABS(EC47-ED47),1),1,TRUE,0)</f>
        <v/>
      </c>
      <c r="EF47" s="18"/>
      <c r="EG47" s="19"/>
      <c r="EH47" s="33" t="str" cm="1">
        <f t="array" ref="EH47">_xlfn.IFS($D47="","",AND(EF47=$C47,EG47=$D47),3,($C47-$D47)/MAX(ABS($C47-$D47),1)=(EF47-EG47)/MAX(ABS(EF47-EG47),1),1,TRUE,0)</f>
        <v/>
      </c>
      <c r="EI47" s="50"/>
      <c r="EJ47" s="51"/>
      <c r="EK47" s="33" t="str" cm="1">
        <f t="array" ref="EK47">_xlfn.IFS($D47="","",AND(EI47=$C47,EJ47=$D47),3,($C47-$D47)/MAX(ABS($C47-$D47),1)=(EI47-EJ47)/MAX(ABS(EI47-EJ47),1),1,TRUE,0)</f>
        <v/>
      </c>
      <c r="EL47" s="18"/>
      <c r="EM47" s="19"/>
      <c r="EN47" s="33" t="str" cm="1">
        <f t="array" ref="EN47">_xlfn.IFS($D47="","",AND(EL47=$C47,EM47=$D47),3,($C47-$D47)/MAX(ABS($C47-$D47),1)=(EL47-EM47)/MAX(ABS(EL47-EM47),1),1,TRUE,0)</f>
        <v/>
      </c>
      <c r="EO47" s="18"/>
      <c r="EP47" s="19"/>
      <c r="EQ47" s="33" t="str" cm="1">
        <f t="array" ref="EQ47">_xlfn.IFS($D47="","",AND(EO47=$C47,EP47=$D47),3,($C47-$D47)/MAX(ABS($C47-$D47),1)=(EO47-EP47)/MAX(ABS(EO47-EP47),1),1,TRUE,0)</f>
        <v/>
      </c>
      <c r="ER47" s="18"/>
      <c r="ES47" s="19"/>
      <c r="ET47" s="33" t="str" cm="1">
        <f t="array" ref="ET47">_xlfn.IFS($D47="","",AND(ER47=$C47,ES47=$D47),3,($C47-$D47)/MAX(ABS($C47-$D47),1)=(ER47-ES47)/MAX(ABS(ER47-ES47),1),1,TRUE,0)</f>
        <v/>
      </c>
      <c r="EU47" s="18"/>
      <c r="EV47" s="19"/>
      <c r="EW47" s="33" t="str" cm="1">
        <f t="array" ref="EW47">_xlfn.IFS($D47="","",AND(EU47=$C47,EV47=$D47),3,($C47-$D47)/MAX(ABS($C47-$D47),1)=(EU47-EV47)/MAX(ABS(EU47-EV47),1),1,TRUE,0)</f>
        <v/>
      </c>
      <c r="EX47" s="18"/>
      <c r="EY47" s="19"/>
      <c r="EZ47" s="33" t="str" cm="1">
        <f t="array" ref="EZ47">_xlfn.IFS($D47="","",AND(EX47=$C47,EY47=$D47),3,($C47-$D47)/MAX(ABS($C47-$D47),1)=(EX47-EY47)/MAX(ABS(EX47-EY47),1),1,TRUE,0)</f>
        <v/>
      </c>
      <c r="FA47" s="18"/>
      <c r="FB47" s="19"/>
      <c r="FC47" s="33" t="str" cm="1">
        <f t="array" ref="FC47">_xlfn.IFS($D47="","",AND(FA47=$C47,FB47=$D47),3,($C47-$D47)/MAX(ABS($C47-$D47),1)=(FA47-FB47)/MAX(ABS(FA47-FB47),1),1,TRUE,0)</f>
        <v/>
      </c>
      <c r="FD47" s="18"/>
      <c r="FE47" s="19"/>
      <c r="FF47" s="33" t="str" cm="1">
        <f t="array" ref="FF47">_xlfn.IFS($D47="","",AND(FD47=$C47,FE47=$D47),3,($C47-$D47)/MAX(ABS($C47-$D47),1)=(FD47-FE47)/MAX(ABS(FD47-FE47),1),1,TRUE,0)</f>
        <v/>
      </c>
      <c r="FG47" s="18"/>
      <c r="FH47" s="19"/>
      <c r="FI47" s="33" t="str" cm="1">
        <f t="array" ref="FI47">_xlfn.IFS($D47="","",AND(FG47=$C47,FH47=$D47),3,($C47-$D47)/MAX(ABS($C47-$D47),1)=(FG47-FH47)/MAX(ABS(FG47-FH47),1),1,TRUE,0)</f>
        <v/>
      </c>
      <c r="FJ47" s="18"/>
      <c r="FK47" s="19"/>
      <c r="FL47" s="33" t="str" cm="1">
        <f t="array" ref="FL47">_xlfn.IFS($D47="","",AND(FJ47=$C47,FK47=$D47),3,($C47-$D47)/MAX(ABS($C47-$D47),1)=(FJ47-FK47)/MAX(ABS(FJ47-FK47),1),1,TRUE,0)</f>
        <v/>
      </c>
      <c r="FM47" s="18"/>
      <c r="FN47" s="19"/>
      <c r="FO47" s="33" t="str" cm="1">
        <f t="array" ref="FO47">_xlfn.IFS($D47="","",AND(FM47=$C47,FN47=$D47),3,($C47-$D47)/MAX(ABS($C47-$D47),1)=(FM47-FN47)/MAX(ABS(FM47-FN47),1),1,TRUE,0)</f>
        <v/>
      </c>
      <c r="FP47" s="18"/>
      <c r="FQ47" s="19"/>
      <c r="FR47" s="33" t="str" cm="1">
        <f t="array" ref="FR47">_xlfn.IFS($D47="","",AND(FP47=$C47,FQ47=$D47),3,($C47-$D47)/MAX(ABS($C47-$D47),1)=(FP47-FQ47)/MAX(ABS(FP47-FQ47),1),1,TRUE,0)</f>
        <v/>
      </c>
      <c r="FS47" s="18"/>
      <c r="FT47" s="19"/>
      <c r="FU47" s="33" t="str" cm="1">
        <f t="array" ref="FU47">_xlfn.IFS($D47="","",AND(FS47=$C47,FT47=$D47),3,($C47-$D47)/MAX(ABS($C47-$D47),1)=(FS47-FT47)/MAX(ABS(FS47-FT47),1),1,TRUE,0)</f>
        <v/>
      </c>
      <c r="FV47" s="18"/>
      <c r="FW47" s="19"/>
      <c r="FX47" s="33" t="str" cm="1">
        <f t="array" ref="FX47">_xlfn.IFS($D47="","",AND(FV47=$C47,FW47=$D47),3,($C47-$D47)/MAX(ABS($C47-$D47),1)=(FV47-FW47)/MAX(ABS(FV47-FW47),1),1,TRUE,0)</f>
        <v/>
      </c>
      <c r="FY47" s="18"/>
      <c r="FZ47" s="19"/>
      <c r="GA47" s="33" t="str" cm="1">
        <f t="array" ref="GA47">_xlfn.IFS($D47="","",AND(FY47=$C47,FZ47=$D47),3,($C47-$D47)/MAX(ABS($C47-$D47),1)=(FY47-FZ47)/MAX(ABS(FY47-FZ47),1),1,TRUE,0)</f>
        <v/>
      </c>
      <c r="GB47" s="18"/>
      <c r="GC47" s="19"/>
      <c r="GD47" s="33" t="str" cm="1">
        <f t="array" ref="GD47">_xlfn.IFS($D47="","",AND(GB47=$C47,GC47=$D47),3,($C47-$D47)/MAX(ABS($C47-$D47),1)=(GB47-GC47)/MAX(ABS(GB47-GC47),1),1,TRUE,0)</f>
        <v/>
      </c>
      <c r="GE47" s="52"/>
      <c r="GF47" s="19"/>
      <c r="GG47" s="33" t="str" cm="1">
        <f t="array" ref="GG47">_xlfn.IFS($D47="","",AND(GE47=$C47,GF47=$D47),3,($C47-$D47)/MAX(ABS($C47-$D47),1)=(GE47-GF47)/MAX(ABS(GE47-GF47),1),1,TRUE,0)</f>
        <v/>
      </c>
      <c r="GH47" s="18"/>
      <c r="GI47" s="19"/>
      <c r="GJ47" s="33" t="str" cm="1">
        <f t="array" ref="GJ47">_xlfn.IFS($D47="","",AND(GH47=$C47,GI47=$D47),3,($C47-$D47)/MAX(ABS($C47-$D47),1)=(GH47-GI47)/MAX(ABS(GH47-GI47),1),1,TRUE,0)</f>
        <v/>
      </c>
      <c r="GK47" s="18"/>
      <c r="GL47" s="19"/>
      <c r="GM47" s="33" t="str" cm="1">
        <f t="array" ref="GM47">_xlfn.IFS($D47="","",AND(GK47=$C47,GL47=$D47),3,($C47-$D47)/MAX(ABS($C47-$D47),1)=(GK47-GL47)/MAX(ABS(GK47-GL47),1),1,TRUE,0)</f>
        <v/>
      </c>
      <c r="GN47" s="18"/>
      <c r="GO47" s="19"/>
      <c r="GP47" s="33" t="str" cm="1">
        <f t="array" ref="GP47">_xlfn.IFS($D47="","",AND(GN47=$C47,GO47=$D47),3,($C47-$D47)/MAX(ABS($C47-$D47),1)=(GN47-GO47)/MAX(ABS(GN47-GO47),1),1,TRUE,0)</f>
        <v/>
      </c>
      <c r="GQ47" s="18"/>
      <c r="GR47" s="19"/>
      <c r="GS47" s="33" t="str" cm="1">
        <f t="array" ref="GS47">_xlfn.IFS($D47="","",AND(GQ47=$C47,GR47=$D47),3,($C47-$D47)/MAX(ABS($C47-$D47),1)=(GQ47-GR47)/MAX(ABS(GQ47-GR47),1),1,TRUE,0)</f>
        <v/>
      </c>
      <c r="GT47" s="18"/>
      <c r="GU47" s="19"/>
      <c r="GV47" s="33" t="str" cm="1">
        <f t="array" ref="GV47">_xlfn.IFS($D47="","",AND(GT47=$C47,GU47=$D47),3,($C47-$D47)/MAX(ABS($C47-$D47),1)=(GT47-GU47)/MAX(ABS(GT47-GU47),1),1,TRUE,0)</f>
        <v/>
      </c>
      <c r="GW47" s="18"/>
      <c r="GX47" s="19"/>
      <c r="GY47" s="33" t="str" cm="1">
        <f t="array" ref="GY47">_xlfn.IFS($D47="","",AND(GW47=$C47,GX47=$D47),3,($C47-$D47)/MAX(ABS($C47-$D47),1)=(GW47-GX47)/MAX(ABS(GW47-GX47),1),1,TRUE,0)</f>
        <v/>
      </c>
      <c r="GZ47" s="18"/>
      <c r="HA47" s="19"/>
      <c r="HB47" s="33" t="str" cm="1">
        <f t="array" ref="HB47">_xlfn.IFS($D47="","",AND(GZ47=$C47,HA47=$D47),3,($C47-$D47)/MAX(ABS($C47-$D47),1)=(GZ47-HA47)/MAX(ABS(GZ47-HA47),1),1,TRUE,0)</f>
        <v/>
      </c>
      <c r="HC47" s="18"/>
      <c r="HD47" s="19"/>
      <c r="HE47" s="33" t="str" cm="1">
        <f t="array" ref="HE47">_xlfn.IFS($D47="","",AND(HC47=$C47,HD47=$D47),3,($C47-$D47)/MAX(ABS($C47-$D47),1)=(HC47-HD47)/MAX(ABS(HC47-HD47),1),1,TRUE,0)</f>
        <v/>
      </c>
      <c r="HF47" s="18"/>
      <c r="HG47" s="19"/>
      <c r="HH47" s="33" t="str" cm="1">
        <f t="array" ref="HH47">_xlfn.IFS($D47="","",AND(HF47=$C47,HG47=$D47),3,($C47-$D47)/MAX(ABS($C47-$D47),1)=(HF47-HG47)/MAX(ABS(HF47-HG47),1),1,TRUE,0)</f>
        <v/>
      </c>
      <c r="HI47" s="18"/>
      <c r="HJ47" s="19"/>
      <c r="HK47" s="33" t="str" cm="1">
        <f t="array" ref="HK47">_xlfn.IFS($D47="","",AND(HI47=$C47,HJ47=$D47),3,($C47-$D47)/MAX(ABS($C47-$D47),1)=(HI47-HJ47)/MAX(ABS(HI47-HJ47),1),1,TRUE,0)</f>
        <v/>
      </c>
      <c r="HL47" s="18"/>
      <c r="HM47" s="19"/>
      <c r="HN47" s="33" t="str" cm="1">
        <f t="array" ref="HN47">_xlfn.IFS($D47="","",AND(HL47=$C47,HM47=$D47),3,($C47-$D47)/MAX(ABS($C47-$D47),1)=(HL47-HM47)/MAX(ABS(HL47-HM47),1),1,TRUE,0)</f>
        <v/>
      </c>
      <c r="HO47" s="18"/>
      <c r="HP47" s="19"/>
      <c r="HQ47" s="33" t="str" cm="1">
        <f t="array" ref="HQ47">_xlfn.IFS($D47="","",AND(HO47=$C47,HP47=$D47),3,($C47-$D47)/MAX(ABS($C47-$D47),1)=(HO47-HP47)/MAX(ABS(HO47-HP47),1),1,TRUE,0)</f>
        <v/>
      </c>
      <c r="HR47" s="18"/>
      <c r="HS47" s="19"/>
      <c r="HT47" s="33" t="str" cm="1">
        <f t="array" ref="HT47">_xlfn.IFS($D47="","",AND(HR47=$C47,HS47=$D47),3,($C47-$D47)/MAX(ABS($C47-$D47),1)=(HR47-HS47)/MAX(ABS(HR47-HS47),1),1,TRUE,0)</f>
        <v/>
      </c>
      <c r="HU47" s="18"/>
      <c r="HV47" s="19"/>
      <c r="HW47" s="33" t="str" cm="1">
        <f t="array" ref="HW47">_xlfn.IFS($D47="","",AND(HU47=$C47,HV47=$D47),3,($C47-$D47)/MAX(ABS($C47-$D47),1)=(HU47-HV47)/MAX(ABS(HU47-HV47),1),1,TRUE,0)</f>
        <v/>
      </c>
      <c r="HX47" s="18"/>
      <c r="HY47" s="19"/>
      <c r="HZ47" s="33" t="str" cm="1">
        <f t="array" ref="HZ47">_xlfn.IFS($D47="","",AND(HX47=$C47,HY47=$D47),3,($C47-$D47)/MAX(ABS($C47-$D47),1)=(HX47-HY47)/MAX(ABS(HX47-HY47),1),1,TRUE,0)</f>
        <v/>
      </c>
      <c r="IA47" s="18"/>
      <c r="IB47" s="19"/>
      <c r="IC47" s="33" t="str" cm="1">
        <f t="array" ref="IC47">_xlfn.IFS($D47="","",AND(IA47=$C47,IB47=$D47),3,($C47-$D47)/MAX(ABS($C47-$D47),1)=(IA47-IB47)/MAX(ABS(IA47-IB47),1),1,TRUE,0)</f>
        <v/>
      </c>
      <c r="ID47" s="18"/>
      <c r="IE47" s="19"/>
      <c r="IF47" s="33" t="str" cm="1">
        <f t="array" ref="IF47">_xlfn.IFS($D47="","",AND(ID47=$C47,IE47=$D47),3,($C47-$D47)/MAX(ABS($C47-$D47),1)=(ID47-IE47)/MAX(ABS(ID47-IE47),1),1,TRUE,0)</f>
        <v/>
      </c>
      <c r="IG47" s="18"/>
      <c r="IH47" s="19"/>
      <c r="II47" s="33" t="str" cm="1">
        <f t="array" ref="II47">_xlfn.IFS($D47="","",AND(IG47=$C47,IH47=$D47),3,($C47-$D47)/MAX(ABS($C47-$D47),1)=(IG47-IH47)/MAX(ABS(IG47-IH47),1),1,TRUE,0)</f>
        <v/>
      </c>
      <c r="IJ47" s="18"/>
      <c r="IK47" s="19"/>
      <c r="IL47" s="33" t="str" cm="1">
        <f t="array" ref="IL47">_xlfn.IFS($D47="","",AND(IJ47=$C47,IK47=$D47),3,($C47-$D47)/MAX(ABS($C47-$D47),1)=(IJ47-IK47)/MAX(ABS(IJ47-IK47),1),1,TRUE,0)</f>
        <v/>
      </c>
      <c r="IM47" s="18"/>
      <c r="IN47" s="19"/>
      <c r="IO47" s="33" t="str" cm="1">
        <f t="array" ref="IO47">_xlfn.IFS($D47="","",AND(IM47=$C47,IN47=$D47),3,($C47-$D47)/MAX(ABS($C47-$D47),1)=(IM47-IN47)/MAX(ABS(IM47-IN47),1),1,TRUE,0)</f>
        <v/>
      </c>
      <c r="IP47" s="18"/>
      <c r="IQ47" s="19"/>
      <c r="IR47" s="33" t="str" cm="1">
        <f t="array" ref="IR47">_xlfn.IFS($D47="","",AND(IP47=$C47,IQ47=$D47),3,($C47-$D47)/MAX(ABS($C47-$D47),1)=(IP47-IQ47)/MAX(ABS(IP47-IQ47),1),1,TRUE,0)</f>
        <v/>
      </c>
      <c r="IS47" s="18"/>
      <c r="IT47" s="19"/>
      <c r="IU47" s="33" t="str" cm="1">
        <f t="array" ref="IU47">_xlfn.IFS($D47="","",AND(IS47=$C47,IT47=$D47),3,($C47-$D47)/MAX(ABS($C47-$D47),1)=(IS47-IT47)/MAX(ABS(IS47-IT47),1),1,TRUE,0)</f>
        <v/>
      </c>
      <c r="IV47" s="18"/>
      <c r="IW47" s="19"/>
      <c r="IX47" s="33" t="str" cm="1">
        <f t="array" ref="IX47">_xlfn.IFS($D47="","",AND(IV47=$C47,IW47=$D47),3,($C47-$D47)/MAX(ABS($C47-$D47),1)=(IV47-IW47)/MAX(ABS(IV47-IW47),1),1,TRUE,0)</f>
        <v/>
      </c>
      <c r="IY47" s="18"/>
      <c r="IZ47" s="19"/>
      <c r="JA47" s="33" t="str" cm="1">
        <f t="array" ref="JA47">_xlfn.IFS($D47="","",AND(IY47=$C47,IZ47=$D47),3,($C47-$D47)/MAX(ABS($C47-$D47),1)=(IY47-IZ47)/MAX(ABS(IY47-IZ47),1),1,TRUE,0)</f>
        <v/>
      </c>
      <c r="JB47" s="18"/>
      <c r="JC47" s="19"/>
      <c r="JD47" s="33" t="str" cm="1">
        <f t="array" ref="JD47">_xlfn.IFS($D47="","",AND(JB47=$C47,JC47=$D47),3,($C47-$D47)/MAX(ABS($C47-$D47),1)=(JB47-JC47)/MAX(ABS(JB47-JC47),1),1,TRUE,0)</f>
        <v/>
      </c>
    </row>
    <row r="48" spans="1:264" ht="15" thickBot="1" x14ac:dyDescent="0.35">
      <c r="A48" s="22">
        <v>46196</v>
      </c>
      <c r="B48" s="28" t="s">
        <v>9</v>
      </c>
      <c r="C48" s="53" t="str" cm="1">
        <f t="array" ref="C48">_xlfn.LET(
_xlpm.x,_xlfn.XLOOKUP(1,(Scores_Fixtures[Date]=A48)*(Scores_Fixtures[Home.1]=B48),Scores_Fixtures[Score.1],""),
IF(_xlpm.x="","",_xlpm.x)
)</f>
        <v/>
      </c>
      <c r="D48" s="53" t="str" cm="1">
        <f t="array" ref="D48">_xlfn.LET(
_xlpm.x,_xlfn.XLOOKUP(1,(Scores_Fixtures[Date]=A48)*(Scores_Fixtures[Home.1]=B48),Scores_Fixtures[Score.2],""),
IF(_xlpm.x="","",_xlpm.x)
)</f>
        <v/>
      </c>
      <c r="E48" s="12" t="s">
        <v>48</v>
      </c>
      <c r="F48" s="15"/>
      <c r="G48" s="53"/>
      <c r="H48" s="53"/>
      <c r="I48" s="33" t="str" cm="1">
        <f t="array" ref="I48">_xlfn.IFS($D48="","",AND(G48=$C48,H48=$D48),3,($C48-$D48)/MAX(ABS($C48-$D48),1)=(G48-H48)/MAX(ABS(G48-H48),1),1,TRUE,0)</f>
        <v/>
      </c>
      <c r="J48" s="18"/>
      <c r="K48" s="19"/>
      <c r="L48" s="33" t="str" cm="1">
        <f t="array" ref="L48">_xlfn.IFS($D48="","",AND(J48=$C48,K48=$D48),3,($C48-$D48)/MAX(ABS($C48-$D48),1)=(J48-K48)/MAX(ABS(J48-K48),1),1,TRUE,0)</f>
        <v/>
      </c>
      <c r="M48" s="18"/>
      <c r="N48" s="19"/>
      <c r="O48" s="33" t="str" cm="1">
        <f t="array" ref="O48">_xlfn.IFS($D48="","",AND(M48=$C48,N48=$D48),3,($C48-$D48)/MAX(ABS($C48-$D48),1)=(M48-N48)/MAX(ABS(M48-N48),1),1,TRUE,0)</f>
        <v/>
      </c>
      <c r="P48" s="18"/>
      <c r="Q48" s="19"/>
      <c r="R48" s="33" t="str" cm="1">
        <f t="array" ref="R48">_xlfn.IFS($D48="","",AND(P48=$C48,Q48=$D48),3,($C48-$D48)/MAX(ABS($C48-$D48),1)=(P48-Q48)/MAX(ABS(P48-Q48),1),1,TRUE,0)</f>
        <v/>
      </c>
      <c r="S48" s="18"/>
      <c r="T48" s="19"/>
      <c r="U48" s="33" t="str" cm="1">
        <f t="array" ref="U48">_xlfn.IFS($D48="","",AND(S48=$C48,T48=$D48),3,($C48-$D48)/MAX(ABS($C48-$D48),1)=(S48-T48)/MAX(ABS(S48-T48),1),1,TRUE,0)</f>
        <v/>
      </c>
      <c r="V48" s="18"/>
      <c r="W48" s="19"/>
      <c r="X48" s="33" t="str" cm="1">
        <f t="array" ref="X48">_xlfn.IFS($D48="","",AND(V48=$C48,W48=$D48),3,($C48-$D48)/MAX(ABS($C48-$D48),1)=(V48-W48)/MAX(ABS(V48-W48),1),1,TRUE,0)</f>
        <v/>
      </c>
      <c r="Y48" s="18"/>
      <c r="Z48" s="19"/>
      <c r="AA48" s="33" t="str" cm="1">
        <f t="array" ref="AA48">_xlfn.IFS($D48="","",AND(Y48=$C48,Z48=$D48),3,($C48-$D48)/MAX(ABS($C48-$D48),1)=(Y48-Z48)/MAX(ABS(Y48-Z48),1),1,TRUE,0)</f>
        <v/>
      </c>
      <c r="AB48" s="18"/>
      <c r="AC48" s="19"/>
      <c r="AD48" s="33" t="str" cm="1">
        <f t="array" ref="AD48">_xlfn.IFS($D48="","",AND(AB48=$C48,AC48=$D48),3,($C48-$D48)/MAX(ABS($C48-$D48),1)=(AB48-AC48)/MAX(ABS(AB48-AC48),1),1,TRUE,0)</f>
        <v/>
      </c>
      <c r="AE48" s="18"/>
      <c r="AF48" s="19"/>
      <c r="AG48" s="33" t="str" cm="1">
        <f t="array" ref="AG48">_xlfn.IFS($D48="","",AND(AE48=$C48,AF48=$D48),3,($C48-$D48)/MAX(ABS($C48-$D48),1)=(AE48-AF48)/MAX(ABS(AE48-AF48),1),1,TRUE,0)</f>
        <v/>
      </c>
      <c r="AH48" s="18"/>
      <c r="AI48" s="19"/>
      <c r="AJ48" s="33" t="str" cm="1">
        <f t="array" ref="AJ48">_xlfn.IFS($D48="","",AND(AH48=$C48,AI48=$D48),3,($C48-$D48)/MAX(ABS($C48-$D48),1)=(AH48-AI48)/MAX(ABS(AH48-AI48),1),1,TRUE,0)</f>
        <v/>
      </c>
      <c r="AK48" s="18"/>
      <c r="AL48" s="19"/>
      <c r="AM48" s="33" t="str" cm="1">
        <f t="array" ref="AM48">_xlfn.IFS($D48="","",AND(AK48=$C48,AL48=$D48),3,($C48-$D48)/MAX(ABS($C48-$D48),1)=(AK48-AL48)/MAX(ABS(AK48-AL48),1),1,TRUE,0)</f>
        <v/>
      </c>
      <c r="AN48" s="18"/>
      <c r="AO48" s="19"/>
      <c r="AP48" s="33" t="str" cm="1">
        <f t="array" ref="AP48">_xlfn.IFS($D48="","",AND(AN48=$C48,AO48=$D48),3,($C48-$D48)/MAX(ABS($C48-$D48),1)=(AN48-AO48)/MAX(ABS(AN48-AO48),1),1,TRUE,0)</f>
        <v/>
      </c>
      <c r="AQ48" s="18"/>
      <c r="AR48" s="19"/>
      <c r="AS48" s="33" t="str" cm="1">
        <f t="array" ref="AS48">_xlfn.IFS($D48="","",AND(AQ48=$C48,AR48=$D48),3,($C48-$D48)/MAX(ABS($C48-$D48),1)=(AQ48-AR48)/MAX(ABS(AQ48-AR48),1),1,TRUE,0)</f>
        <v/>
      </c>
      <c r="AT48" s="18"/>
      <c r="AU48" s="19"/>
      <c r="AV48" s="33" t="str" cm="1">
        <f t="array" ref="AV48">_xlfn.IFS($D48="","",AND(AT48=$C48,AU48=$D48),3,($C48-$D48)/MAX(ABS($C48-$D48),1)=(AT48-AU48)/MAX(ABS(AT48-AU48),1),1,TRUE,0)</f>
        <v/>
      </c>
      <c r="AW48" s="18"/>
      <c r="AX48" s="19"/>
      <c r="AY48" s="33" t="str" cm="1">
        <f t="array" ref="AY48">_xlfn.IFS($D48="","",AND(AW48=$C48,AX48=$D48),3,($C48-$D48)/MAX(ABS($C48-$D48),1)=(AW48-AX48)/MAX(ABS(AW48-AX48),1),1,TRUE,0)</f>
        <v/>
      </c>
      <c r="AZ48" s="18"/>
      <c r="BA48" s="19"/>
      <c r="BB48" s="33" t="str" cm="1">
        <f t="array" ref="BB48">_xlfn.IFS($D48="","",AND(AZ48=$C48,BA48=$D48),3,($C48-$D48)/MAX(ABS($C48-$D48),1)=(AZ48-BA48)/MAX(ABS(AZ48-BA48),1),1,TRUE,0)</f>
        <v/>
      </c>
      <c r="BC48" s="18"/>
      <c r="BD48" s="19"/>
      <c r="BE48" s="33" t="str" cm="1">
        <f t="array" ref="BE48">_xlfn.IFS($D48="","",AND(BC48=$C48,BD48=$D48),3,($C48-$D48)/MAX(ABS($C48-$D48),1)=(BC48-BD48)/MAX(ABS(BC48-BD48),1),1,TRUE,0)</f>
        <v/>
      </c>
      <c r="BF48" s="18"/>
      <c r="BG48" s="19"/>
      <c r="BH48" s="33" t="str" cm="1">
        <f t="array" ref="BH48">_xlfn.IFS($D48="","",AND(BF48=$C48,BG48=$D48),3,($C48-$D48)/MAX(ABS($C48-$D48),1)=(BF48-BG48)/MAX(ABS(BF48-BG48),1),1,TRUE,0)</f>
        <v/>
      </c>
      <c r="BI48" s="18"/>
      <c r="BJ48" s="19"/>
      <c r="BK48" s="33" t="str" cm="1">
        <f t="array" ref="BK48">_xlfn.IFS($D48="","",AND(BI48=$C48,BJ48=$D48),3,($C48-$D48)/MAX(ABS($C48-$D48),1)=(BI48-BJ48)/MAX(ABS(BI48-BJ48),1),1,TRUE,0)</f>
        <v/>
      </c>
      <c r="BL48" s="18"/>
      <c r="BM48" s="19"/>
      <c r="BN48" s="33" t="str" cm="1">
        <f t="array" ref="BN48">_xlfn.IFS($D48="","",AND(BL48=$C48,BM48=$D48),3,($C48-$D48)/MAX(ABS($C48-$D48),1)=(BL48-BM48)/MAX(ABS(BL48-BM48),1),1,TRUE,0)</f>
        <v/>
      </c>
      <c r="BO48" s="18"/>
      <c r="BP48" s="19"/>
      <c r="BQ48" s="33" t="str" cm="1">
        <f t="array" ref="BQ48">_xlfn.IFS($D48="","",AND(BO48=$C48,BP48=$D48),3,($C48-$D48)/MAX(ABS($C48-$D48),1)=(BO48-BP48)/MAX(ABS(BO48-BP48),1),1,TRUE,0)</f>
        <v/>
      </c>
      <c r="BR48" s="18"/>
      <c r="BS48" s="19"/>
      <c r="BT48" s="33" t="str" cm="1">
        <f t="array" ref="BT48">_xlfn.IFS($D48="","",AND(BR48=$C48,BS48=$D48),3,($C48-$D48)/MAX(ABS($C48-$D48),1)=(BR48-BS48)/MAX(ABS(BR48-BS48),1),1,TRUE,0)</f>
        <v/>
      </c>
      <c r="BU48" s="18"/>
      <c r="BV48" s="19"/>
      <c r="BW48" s="33" t="str" cm="1">
        <f t="array" ref="BW48">_xlfn.IFS($D48="","",AND(BU48=$C48,BV48=$D48),3,($C48-$D48)/MAX(ABS($C48-$D48),1)=(BU48-BV48)/MAX(ABS(BU48-BV48),1),1,TRUE,0)</f>
        <v/>
      </c>
      <c r="BX48" s="18"/>
      <c r="BY48" s="19"/>
      <c r="BZ48" s="33" t="str" cm="1">
        <f t="array" ref="BZ48">_xlfn.IFS($D48="","",AND(BX48=$C48,BY48=$D48),3,($C48-$D48)/MAX(ABS($C48-$D48),1)=(BX48-BY48)/MAX(ABS(BX48-BY48),1),1,TRUE,0)</f>
        <v/>
      </c>
      <c r="CA48" s="18"/>
      <c r="CB48" s="19"/>
      <c r="CC48" s="33" t="str" cm="1">
        <f t="array" ref="CC48">_xlfn.IFS($D48="","",AND(CA48=$C48,CB48=$D48),3,($C48-$D48)/MAX(ABS($C48-$D48),1)=(CA48-CB48)/MAX(ABS(CA48-CB48),1),1,TRUE,0)</f>
        <v/>
      </c>
      <c r="CD48" s="18"/>
      <c r="CE48" s="19"/>
      <c r="CF48" s="33" t="str" cm="1">
        <f t="array" ref="CF48">_xlfn.IFS($D48="","",AND(CD48=$C48,CE48=$D48),3,($C48-$D48)/MAX(ABS($C48-$D48),1)=(CD48-CE48)/MAX(ABS(CD48-CE48),1),1,TRUE,0)</f>
        <v/>
      </c>
      <c r="CG48" s="18"/>
      <c r="CH48" s="19"/>
      <c r="CI48" s="33" t="str" cm="1">
        <f t="array" ref="CI48">_xlfn.IFS($D48="","",AND(CG48=$C48,CH48=$D48),3,($C48-$D48)/MAX(ABS($C48-$D48),1)=(CG48-CH48)/MAX(ABS(CG48-CH48),1),1,TRUE,0)</f>
        <v/>
      </c>
      <c r="CJ48" s="18"/>
      <c r="CK48" s="19"/>
      <c r="CL48" s="33" t="str" cm="1">
        <f t="array" ref="CL48">_xlfn.IFS($D48="","",AND(CJ48=$C48,CK48=$D48),3,($C48-$D48)/MAX(ABS($C48-$D48),1)=(CJ48-CK48)/MAX(ABS(CJ48-CK48),1),1,TRUE,0)</f>
        <v/>
      </c>
      <c r="CM48" s="18"/>
      <c r="CN48" s="19"/>
      <c r="CO48" s="33" t="str" cm="1">
        <f t="array" ref="CO48">_xlfn.IFS($D48="","",AND(CM48=$C48,CN48=$D48),3,($C48-$D48)/MAX(ABS($C48-$D48),1)=(CM48-CN48)/MAX(ABS(CM48-CN48),1),1,TRUE,0)</f>
        <v/>
      </c>
      <c r="CP48" s="18"/>
      <c r="CQ48" s="19"/>
      <c r="CR48" s="33" t="str" cm="1">
        <f t="array" ref="CR48">_xlfn.IFS($D48="","",AND(CP48=$C48,CQ48=$D48),3,($C48-$D48)/MAX(ABS($C48-$D48),1)=(CP48-CQ48)/MAX(ABS(CP48-CQ48),1),1,TRUE,0)</f>
        <v/>
      </c>
      <c r="CS48" s="18"/>
      <c r="CT48" s="19"/>
      <c r="CU48" s="33" t="str" cm="1">
        <f t="array" ref="CU48">_xlfn.IFS($D48="","",AND(CS48=$C48,CT48=$D48),3,($C48-$D48)/MAX(ABS($C48-$D48),1)=(CS48-CT48)/MAX(ABS(CS48-CT48),1),1,TRUE,0)</f>
        <v/>
      </c>
      <c r="CV48" s="18"/>
      <c r="CW48" s="19"/>
      <c r="CX48" s="33" t="str" cm="1">
        <f t="array" ref="CX48">_xlfn.IFS($D48="","",AND(CV48=$C48,CW48=$D48),3,($C48-$D48)/MAX(ABS($C48-$D48),1)=(CV48-CW48)/MAX(ABS(CV48-CW48),1),1,TRUE,0)</f>
        <v/>
      </c>
      <c r="CY48" s="18"/>
      <c r="CZ48" s="19"/>
      <c r="DA48" s="33" t="str" cm="1">
        <f t="array" ref="DA48">_xlfn.IFS($D48="","",AND(CY48=$C48,CZ48=$D48),3,($C48-$D48)/MAX(ABS($C48-$D48),1)=(CY48-CZ48)/MAX(ABS(CY48-CZ48),1),1,TRUE,0)</f>
        <v/>
      </c>
      <c r="DB48" s="37"/>
      <c r="DC48" s="38"/>
      <c r="DD48" s="33" t="str" cm="1">
        <f t="array" ref="DD48">_xlfn.IFS($D48="","",AND(DB48=$C48,DC48=$D48),3,($C48-$D48)/MAX(ABS($C48-$D48),1)=(DB48-DC48)/MAX(ABS(DB48-DC48),1),1,TRUE,0)</f>
        <v/>
      </c>
      <c r="DE48" s="18"/>
      <c r="DF48" s="19"/>
      <c r="DG48" s="33" t="str" cm="1">
        <f t="array" ref="DG48">_xlfn.IFS($D48="","",AND(DE48=$C48,DF48=$D48),3,($C48-$D48)/MAX(ABS($C48-$D48),1)=(DE48-DF48)/MAX(ABS(DE48-DF48),1),1,TRUE,0)</f>
        <v/>
      </c>
      <c r="DH48" s="18"/>
      <c r="DI48" s="19"/>
      <c r="DJ48" s="33" t="str" cm="1">
        <f t="array" ref="DJ48">_xlfn.IFS($D48="","",AND(DH48=$C48,DI48=$D48),3,($C48-$D48)/MAX(ABS($C48-$D48),1)=(DH48-DI48)/MAX(ABS(DH48-DI48),1),1,TRUE,0)</f>
        <v/>
      </c>
      <c r="DK48" s="18"/>
      <c r="DL48" s="19"/>
      <c r="DM48" s="33" t="str" cm="1">
        <f t="array" ref="DM48">_xlfn.IFS($D48="","",AND(DK48=$C48,DL48=$D48),3,($C48-$D48)/MAX(ABS($C48-$D48),1)=(DK48-DL48)/MAX(ABS(DK48-DL48),1),1,TRUE,0)</f>
        <v/>
      </c>
      <c r="DN48" s="18"/>
      <c r="DO48" s="19"/>
      <c r="DP48" s="33" t="str" cm="1">
        <f t="array" ref="DP48">_xlfn.IFS($D48="","",AND(DN48=$C48,DO48=$D48),3,($C48-$D48)/MAX(ABS($C48-$D48),1)=(DN48-DO48)/MAX(ABS(DN48-DO48),1),1,TRUE,0)</f>
        <v/>
      </c>
      <c r="DQ48" s="18"/>
      <c r="DR48" s="19"/>
      <c r="DS48" s="33" t="str" cm="1">
        <f t="array" ref="DS48">_xlfn.IFS($D48="","",AND(DQ48=$C48,DR48=$D48),3,($C48-$D48)/MAX(ABS($C48-$D48),1)=(DQ48-DR48)/MAX(ABS(DQ48-DR48),1),1,TRUE,0)</f>
        <v/>
      </c>
      <c r="DT48" s="18"/>
      <c r="DU48" s="19"/>
      <c r="DV48" s="33" t="str" cm="1">
        <f t="array" ref="DV48">_xlfn.IFS($D48="","",AND(DT48=$C48,DU48=$D48),3,($C48-$D48)/MAX(ABS($C48-$D48),1)=(DT48-DU48)/MAX(ABS(DT48-DU48),1),1,TRUE,0)</f>
        <v/>
      </c>
      <c r="DW48" s="18"/>
      <c r="DX48" s="19"/>
      <c r="DY48" s="33" t="str" cm="1">
        <f t="array" ref="DY48">_xlfn.IFS($D48="","",AND(DW48=$C48,DX48=$D48),3,($C48-$D48)/MAX(ABS($C48-$D48),1)=(DW48-DX48)/MAX(ABS(DW48-DX48),1),1,TRUE,0)</f>
        <v/>
      </c>
      <c r="DZ48" s="18"/>
      <c r="EA48" s="19"/>
      <c r="EB48" s="33" t="str" cm="1">
        <f t="array" ref="EB48">_xlfn.IFS($D48="","",AND(DZ48=$C48,EA48=$D48),3,($C48-$D48)/MAX(ABS($C48-$D48),1)=(DZ48-EA48)/MAX(ABS(DZ48-EA48),1),1,TRUE,0)</f>
        <v/>
      </c>
      <c r="EC48" s="18"/>
      <c r="ED48" s="19"/>
      <c r="EE48" s="33" t="str" cm="1">
        <f t="array" ref="EE48">_xlfn.IFS($D48="","",AND(EC48=$C48,ED48=$D48),3,($C48-$D48)/MAX(ABS($C48-$D48),1)=(EC48-ED48)/MAX(ABS(EC48-ED48),1),1,TRUE,0)</f>
        <v/>
      </c>
      <c r="EF48" s="18"/>
      <c r="EG48" s="19"/>
      <c r="EH48" s="33" t="str" cm="1">
        <f t="array" ref="EH48">_xlfn.IFS($D48="","",AND(EF48=$C48,EG48=$D48),3,($C48-$D48)/MAX(ABS($C48-$D48),1)=(EF48-EG48)/MAX(ABS(EF48-EG48),1),1,TRUE,0)</f>
        <v/>
      </c>
      <c r="EI48" s="50"/>
      <c r="EJ48" s="51"/>
      <c r="EK48" s="33" t="str" cm="1">
        <f t="array" ref="EK48">_xlfn.IFS($D48="","",AND(EI48=$C48,EJ48=$D48),3,($C48-$D48)/MAX(ABS($C48-$D48),1)=(EI48-EJ48)/MAX(ABS(EI48-EJ48),1),1,TRUE,0)</f>
        <v/>
      </c>
      <c r="EL48" s="18"/>
      <c r="EM48" s="19"/>
      <c r="EN48" s="33" t="str" cm="1">
        <f t="array" ref="EN48">_xlfn.IFS($D48="","",AND(EL48=$C48,EM48=$D48),3,($C48-$D48)/MAX(ABS($C48-$D48),1)=(EL48-EM48)/MAX(ABS(EL48-EM48),1),1,TRUE,0)</f>
        <v/>
      </c>
      <c r="EO48" s="18"/>
      <c r="EP48" s="19"/>
      <c r="EQ48" s="33" t="str" cm="1">
        <f t="array" ref="EQ48">_xlfn.IFS($D48="","",AND(EO48=$C48,EP48=$D48),3,($C48-$D48)/MAX(ABS($C48-$D48),1)=(EO48-EP48)/MAX(ABS(EO48-EP48),1),1,TRUE,0)</f>
        <v/>
      </c>
      <c r="ER48" s="18"/>
      <c r="ES48" s="19"/>
      <c r="ET48" s="33" t="str" cm="1">
        <f t="array" ref="ET48">_xlfn.IFS($D48="","",AND(ER48=$C48,ES48=$D48),3,($C48-$D48)/MAX(ABS($C48-$D48),1)=(ER48-ES48)/MAX(ABS(ER48-ES48),1),1,TRUE,0)</f>
        <v/>
      </c>
      <c r="EU48" s="18"/>
      <c r="EV48" s="19"/>
      <c r="EW48" s="33" t="str" cm="1">
        <f t="array" ref="EW48">_xlfn.IFS($D48="","",AND(EU48=$C48,EV48=$D48),3,($C48-$D48)/MAX(ABS($C48-$D48),1)=(EU48-EV48)/MAX(ABS(EU48-EV48),1),1,TRUE,0)</f>
        <v/>
      </c>
      <c r="EX48" s="18"/>
      <c r="EY48" s="19"/>
      <c r="EZ48" s="33" t="str" cm="1">
        <f t="array" ref="EZ48">_xlfn.IFS($D48="","",AND(EX48=$C48,EY48=$D48),3,($C48-$D48)/MAX(ABS($C48-$D48),1)=(EX48-EY48)/MAX(ABS(EX48-EY48),1),1,TRUE,0)</f>
        <v/>
      </c>
      <c r="FA48" s="18"/>
      <c r="FB48" s="19"/>
      <c r="FC48" s="33" t="str" cm="1">
        <f t="array" ref="FC48">_xlfn.IFS($D48="","",AND(FA48=$C48,FB48=$D48),3,($C48-$D48)/MAX(ABS($C48-$D48),1)=(FA48-FB48)/MAX(ABS(FA48-FB48),1),1,TRUE,0)</f>
        <v/>
      </c>
      <c r="FD48" s="18"/>
      <c r="FE48" s="19"/>
      <c r="FF48" s="33" t="str" cm="1">
        <f t="array" ref="FF48">_xlfn.IFS($D48="","",AND(FD48=$C48,FE48=$D48),3,($C48-$D48)/MAX(ABS($C48-$D48),1)=(FD48-FE48)/MAX(ABS(FD48-FE48),1),1,TRUE,0)</f>
        <v/>
      </c>
      <c r="FG48" s="18"/>
      <c r="FH48" s="19"/>
      <c r="FI48" s="33" t="str" cm="1">
        <f t="array" ref="FI48">_xlfn.IFS($D48="","",AND(FG48=$C48,FH48=$D48),3,($C48-$D48)/MAX(ABS($C48-$D48),1)=(FG48-FH48)/MAX(ABS(FG48-FH48),1),1,TRUE,0)</f>
        <v/>
      </c>
      <c r="FJ48" s="18"/>
      <c r="FK48" s="19"/>
      <c r="FL48" s="33" t="str" cm="1">
        <f t="array" ref="FL48">_xlfn.IFS($D48="","",AND(FJ48=$C48,FK48=$D48),3,($C48-$D48)/MAX(ABS($C48-$D48),1)=(FJ48-FK48)/MAX(ABS(FJ48-FK48),1),1,TRUE,0)</f>
        <v/>
      </c>
      <c r="FM48" s="18"/>
      <c r="FN48" s="19"/>
      <c r="FO48" s="33" t="str" cm="1">
        <f t="array" ref="FO48">_xlfn.IFS($D48="","",AND(FM48=$C48,FN48=$D48),3,($C48-$D48)/MAX(ABS($C48-$D48),1)=(FM48-FN48)/MAX(ABS(FM48-FN48),1),1,TRUE,0)</f>
        <v/>
      </c>
      <c r="FP48" s="18"/>
      <c r="FQ48" s="19"/>
      <c r="FR48" s="33" t="str" cm="1">
        <f t="array" ref="FR48">_xlfn.IFS($D48="","",AND(FP48=$C48,FQ48=$D48),3,($C48-$D48)/MAX(ABS($C48-$D48),1)=(FP48-FQ48)/MAX(ABS(FP48-FQ48),1),1,TRUE,0)</f>
        <v/>
      </c>
      <c r="FS48" s="18"/>
      <c r="FT48" s="19"/>
      <c r="FU48" s="33" t="str" cm="1">
        <f t="array" ref="FU48">_xlfn.IFS($D48="","",AND(FS48=$C48,FT48=$D48),3,($C48-$D48)/MAX(ABS($C48-$D48),1)=(FS48-FT48)/MAX(ABS(FS48-FT48),1),1,TRUE,0)</f>
        <v/>
      </c>
      <c r="FV48" s="18"/>
      <c r="FW48" s="19"/>
      <c r="FX48" s="33" t="str" cm="1">
        <f t="array" ref="FX48">_xlfn.IFS($D48="","",AND(FV48=$C48,FW48=$D48),3,($C48-$D48)/MAX(ABS($C48-$D48),1)=(FV48-FW48)/MAX(ABS(FV48-FW48),1),1,TRUE,0)</f>
        <v/>
      </c>
      <c r="FY48" s="18"/>
      <c r="FZ48" s="19"/>
      <c r="GA48" s="33" t="str" cm="1">
        <f t="array" ref="GA48">_xlfn.IFS($D48="","",AND(FY48=$C48,FZ48=$D48),3,($C48-$D48)/MAX(ABS($C48-$D48),1)=(FY48-FZ48)/MAX(ABS(FY48-FZ48),1),1,TRUE,0)</f>
        <v/>
      </c>
      <c r="GB48" s="18"/>
      <c r="GC48" s="19"/>
      <c r="GD48" s="33" t="str" cm="1">
        <f t="array" ref="GD48">_xlfn.IFS($D48="","",AND(GB48=$C48,GC48=$D48),3,($C48-$D48)/MAX(ABS($C48-$D48),1)=(GB48-GC48)/MAX(ABS(GB48-GC48),1),1,TRUE,0)</f>
        <v/>
      </c>
      <c r="GE48" s="52"/>
      <c r="GF48" s="19"/>
      <c r="GG48" s="33" t="str" cm="1">
        <f t="array" ref="GG48">_xlfn.IFS($D48="","",AND(GE48=$C48,GF48=$D48),3,($C48-$D48)/MAX(ABS($C48-$D48),1)=(GE48-GF48)/MAX(ABS(GE48-GF48),1),1,TRUE,0)</f>
        <v/>
      </c>
      <c r="GH48" s="18"/>
      <c r="GI48" s="19"/>
      <c r="GJ48" s="33" t="str" cm="1">
        <f t="array" ref="GJ48">_xlfn.IFS($D48="","",AND(GH48=$C48,GI48=$D48),3,($C48-$D48)/MAX(ABS($C48-$D48),1)=(GH48-GI48)/MAX(ABS(GH48-GI48),1),1,TRUE,0)</f>
        <v/>
      </c>
      <c r="GK48" s="18"/>
      <c r="GL48" s="19"/>
      <c r="GM48" s="33" t="str" cm="1">
        <f t="array" ref="GM48">_xlfn.IFS($D48="","",AND(GK48=$C48,GL48=$D48),3,($C48-$D48)/MAX(ABS($C48-$D48),1)=(GK48-GL48)/MAX(ABS(GK48-GL48),1),1,TRUE,0)</f>
        <v/>
      </c>
      <c r="GN48" s="18"/>
      <c r="GO48" s="19"/>
      <c r="GP48" s="33" t="str" cm="1">
        <f t="array" ref="GP48">_xlfn.IFS($D48="","",AND(GN48=$C48,GO48=$D48),3,($C48-$D48)/MAX(ABS($C48-$D48),1)=(GN48-GO48)/MAX(ABS(GN48-GO48),1),1,TRUE,0)</f>
        <v/>
      </c>
      <c r="GQ48" s="18"/>
      <c r="GR48" s="19"/>
      <c r="GS48" s="33" t="str" cm="1">
        <f t="array" ref="GS48">_xlfn.IFS($D48="","",AND(GQ48=$C48,GR48=$D48),3,($C48-$D48)/MAX(ABS($C48-$D48),1)=(GQ48-GR48)/MAX(ABS(GQ48-GR48),1),1,TRUE,0)</f>
        <v/>
      </c>
      <c r="GT48" s="18"/>
      <c r="GU48" s="19"/>
      <c r="GV48" s="33" t="str" cm="1">
        <f t="array" ref="GV48">_xlfn.IFS($D48="","",AND(GT48=$C48,GU48=$D48),3,($C48-$D48)/MAX(ABS($C48-$D48),1)=(GT48-GU48)/MAX(ABS(GT48-GU48),1),1,TRUE,0)</f>
        <v/>
      </c>
      <c r="GW48" s="18"/>
      <c r="GX48" s="19"/>
      <c r="GY48" s="33" t="str" cm="1">
        <f t="array" ref="GY48">_xlfn.IFS($D48="","",AND(GW48=$C48,GX48=$D48),3,($C48-$D48)/MAX(ABS($C48-$D48),1)=(GW48-GX48)/MAX(ABS(GW48-GX48),1),1,TRUE,0)</f>
        <v/>
      </c>
      <c r="GZ48" s="18"/>
      <c r="HA48" s="19"/>
      <c r="HB48" s="33" t="str" cm="1">
        <f t="array" ref="HB48">_xlfn.IFS($D48="","",AND(GZ48=$C48,HA48=$D48),3,($C48-$D48)/MAX(ABS($C48-$D48),1)=(GZ48-HA48)/MAX(ABS(GZ48-HA48),1),1,TRUE,0)</f>
        <v/>
      </c>
      <c r="HC48" s="18"/>
      <c r="HD48" s="19"/>
      <c r="HE48" s="33" t="str" cm="1">
        <f t="array" ref="HE48">_xlfn.IFS($D48="","",AND(HC48=$C48,HD48=$D48),3,($C48-$D48)/MAX(ABS($C48-$D48),1)=(HC48-HD48)/MAX(ABS(HC48-HD48),1),1,TRUE,0)</f>
        <v/>
      </c>
      <c r="HF48" s="18"/>
      <c r="HG48" s="19"/>
      <c r="HH48" s="33" t="str" cm="1">
        <f t="array" ref="HH48">_xlfn.IFS($D48="","",AND(HF48=$C48,HG48=$D48),3,($C48-$D48)/MAX(ABS($C48-$D48),1)=(HF48-HG48)/MAX(ABS(HF48-HG48),1),1,TRUE,0)</f>
        <v/>
      </c>
      <c r="HI48" s="18"/>
      <c r="HJ48" s="19"/>
      <c r="HK48" s="33" t="str" cm="1">
        <f t="array" ref="HK48">_xlfn.IFS($D48="","",AND(HI48=$C48,HJ48=$D48),3,($C48-$D48)/MAX(ABS($C48-$D48),1)=(HI48-HJ48)/MAX(ABS(HI48-HJ48),1),1,TRUE,0)</f>
        <v/>
      </c>
      <c r="HL48" s="18"/>
      <c r="HM48" s="19"/>
      <c r="HN48" s="33" t="str" cm="1">
        <f t="array" ref="HN48">_xlfn.IFS($D48="","",AND(HL48=$C48,HM48=$D48),3,($C48-$D48)/MAX(ABS($C48-$D48),1)=(HL48-HM48)/MAX(ABS(HL48-HM48),1),1,TRUE,0)</f>
        <v/>
      </c>
      <c r="HO48" s="18"/>
      <c r="HP48" s="19"/>
      <c r="HQ48" s="33" t="str" cm="1">
        <f t="array" ref="HQ48">_xlfn.IFS($D48="","",AND(HO48=$C48,HP48=$D48),3,($C48-$D48)/MAX(ABS($C48-$D48),1)=(HO48-HP48)/MAX(ABS(HO48-HP48),1),1,TRUE,0)</f>
        <v/>
      </c>
      <c r="HR48" s="18"/>
      <c r="HS48" s="19"/>
      <c r="HT48" s="33" t="str" cm="1">
        <f t="array" ref="HT48">_xlfn.IFS($D48="","",AND(HR48=$C48,HS48=$D48),3,($C48-$D48)/MAX(ABS($C48-$D48),1)=(HR48-HS48)/MAX(ABS(HR48-HS48),1),1,TRUE,0)</f>
        <v/>
      </c>
      <c r="HU48" s="18"/>
      <c r="HV48" s="19"/>
      <c r="HW48" s="33" t="str" cm="1">
        <f t="array" ref="HW48">_xlfn.IFS($D48="","",AND(HU48=$C48,HV48=$D48),3,($C48-$D48)/MAX(ABS($C48-$D48),1)=(HU48-HV48)/MAX(ABS(HU48-HV48),1),1,TRUE,0)</f>
        <v/>
      </c>
      <c r="HX48" s="18"/>
      <c r="HY48" s="19"/>
      <c r="HZ48" s="33" t="str" cm="1">
        <f t="array" ref="HZ48">_xlfn.IFS($D48="","",AND(HX48=$C48,HY48=$D48),3,($C48-$D48)/MAX(ABS($C48-$D48),1)=(HX48-HY48)/MAX(ABS(HX48-HY48),1),1,TRUE,0)</f>
        <v/>
      </c>
      <c r="IA48" s="18"/>
      <c r="IB48" s="19"/>
      <c r="IC48" s="33" t="str" cm="1">
        <f t="array" ref="IC48">_xlfn.IFS($D48="","",AND(IA48=$C48,IB48=$D48),3,($C48-$D48)/MAX(ABS($C48-$D48),1)=(IA48-IB48)/MAX(ABS(IA48-IB48),1),1,TRUE,0)</f>
        <v/>
      </c>
      <c r="ID48" s="18"/>
      <c r="IE48" s="19"/>
      <c r="IF48" s="33" t="str" cm="1">
        <f t="array" ref="IF48">_xlfn.IFS($D48="","",AND(ID48=$C48,IE48=$D48),3,($C48-$D48)/MAX(ABS($C48-$D48),1)=(ID48-IE48)/MAX(ABS(ID48-IE48),1),1,TRUE,0)</f>
        <v/>
      </c>
      <c r="IG48" s="18"/>
      <c r="IH48" s="19"/>
      <c r="II48" s="33" t="str" cm="1">
        <f t="array" ref="II48">_xlfn.IFS($D48="","",AND(IG48=$C48,IH48=$D48),3,($C48-$D48)/MAX(ABS($C48-$D48),1)=(IG48-IH48)/MAX(ABS(IG48-IH48),1),1,TRUE,0)</f>
        <v/>
      </c>
      <c r="IJ48" s="18"/>
      <c r="IK48" s="19"/>
      <c r="IL48" s="33" t="str" cm="1">
        <f t="array" ref="IL48">_xlfn.IFS($D48="","",AND(IJ48=$C48,IK48=$D48),3,($C48-$D48)/MAX(ABS($C48-$D48),1)=(IJ48-IK48)/MAX(ABS(IJ48-IK48),1),1,TRUE,0)</f>
        <v/>
      </c>
      <c r="IM48" s="18"/>
      <c r="IN48" s="19"/>
      <c r="IO48" s="33" t="str" cm="1">
        <f t="array" ref="IO48">_xlfn.IFS($D48="","",AND(IM48=$C48,IN48=$D48),3,($C48-$D48)/MAX(ABS($C48-$D48),1)=(IM48-IN48)/MAX(ABS(IM48-IN48),1),1,TRUE,0)</f>
        <v/>
      </c>
      <c r="IP48" s="18"/>
      <c r="IQ48" s="19"/>
      <c r="IR48" s="33" t="str" cm="1">
        <f t="array" ref="IR48">_xlfn.IFS($D48="","",AND(IP48=$C48,IQ48=$D48),3,($C48-$D48)/MAX(ABS($C48-$D48),1)=(IP48-IQ48)/MAX(ABS(IP48-IQ48),1),1,TRUE,0)</f>
        <v/>
      </c>
      <c r="IS48" s="18"/>
      <c r="IT48" s="19"/>
      <c r="IU48" s="33" t="str" cm="1">
        <f t="array" ref="IU48">_xlfn.IFS($D48="","",AND(IS48=$C48,IT48=$D48),3,($C48-$D48)/MAX(ABS($C48-$D48),1)=(IS48-IT48)/MAX(ABS(IS48-IT48),1),1,TRUE,0)</f>
        <v/>
      </c>
      <c r="IV48" s="18"/>
      <c r="IW48" s="19"/>
      <c r="IX48" s="33" t="str" cm="1">
        <f t="array" ref="IX48">_xlfn.IFS($D48="","",AND(IV48=$C48,IW48=$D48),3,($C48-$D48)/MAX(ABS($C48-$D48),1)=(IV48-IW48)/MAX(ABS(IV48-IW48),1),1,TRUE,0)</f>
        <v/>
      </c>
      <c r="IY48" s="18"/>
      <c r="IZ48" s="19"/>
      <c r="JA48" s="33" t="str" cm="1">
        <f t="array" ref="JA48">_xlfn.IFS($D48="","",AND(IY48=$C48,IZ48=$D48),3,($C48-$D48)/MAX(ABS($C48-$D48),1)=(IY48-IZ48)/MAX(ABS(IY48-IZ48),1),1,TRUE,0)</f>
        <v/>
      </c>
      <c r="JB48" s="18"/>
      <c r="JC48" s="19"/>
      <c r="JD48" s="33" t="str" cm="1">
        <f t="array" ref="JD48">_xlfn.IFS($D48="","",AND(JB48=$C48,JC48=$D48),3,($C48-$D48)/MAX(ABS($C48-$D48),1)=(JB48-JC48)/MAX(ABS(JB48-JC48),1),1,TRUE,0)</f>
        <v/>
      </c>
    </row>
    <row r="49" spans="1:264" ht="15" thickBot="1" x14ac:dyDescent="0.35">
      <c r="A49" s="22">
        <v>46197</v>
      </c>
      <c r="B49" s="28" t="s">
        <v>57</v>
      </c>
      <c r="C49" s="53" t="str" cm="1">
        <f t="array" ref="C49">_xlfn.LET(
_xlpm.x,_xlfn.XLOOKUP(1,(Scores_Fixtures[Date]=A49)*(Scores_Fixtures[Home.1]=B49),Scores_Fixtures[Score.1],""),
IF(_xlpm.x="","",_xlpm.x)
)</f>
        <v/>
      </c>
      <c r="D49" s="53" t="str" cm="1">
        <f t="array" ref="D49">_xlfn.LET(
_xlpm.x,_xlfn.XLOOKUP(1,(Scores_Fixtures[Date]=A49)*(Scores_Fixtures[Home.1]=B49),Scores_Fixtures[Score.2],""),
IF(_xlpm.x="","",_xlpm.x)
)</f>
        <v/>
      </c>
      <c r="E49" s="12" t="s">
        <v>12</v>
      </c>
      <c r="F49" s="15"/>
      <c r="G49" s="53"/>
      <c r="H49" s="53"/>
      <c r="I49" s="33" t="str" cm="1">
        <f t="array" ref="I49">_xlfn.IFS($D49="","",AND(G49=$C49,H49=$D49),3,($C49-$D49)/MAX(ABS($C49-$D49),1)=(G49-H49)/MAX(ABS(G49-H49),1),1,TRUE,0)</f>
        <v/>
      </c>
      <c r="J49" s="18"/>
      <c r="K49" s="19"/>
      <c r="L49" s="33" t="str" cm="1">
        <f t="array" ref="L49">_xlfn.IFS($D49="","",AND(J49=$C49,K49=$D49),3,($C49-$D49)/MAX(ABS($C49-$D49),1)=(J49-K49)/MAX(ABS(J49-K49),1),1,TRUE,0)</f>
        <v/>
      </c>
      <c r="M49" s="18"/>
      <c r="N49" s="19"/>
      <c r="O49" s="33" t="str" cm="1">
        <f t="array" ref="O49">_xlfn.IFS($D49="","",AND(M49=$C49,N49=$D49),3,($C49-$D49)/MAX(ABS($C49-$D49),1)=(M49-N49)/MAX(ABS(M49-N49),1),1,TRUE,0)</f>
        <v/>
      </c>
      <c r="P49" s="18"/>
      <c r="Q49" s="19"/>
      <c r="R49" s="33" t="str" cm="1">
        <f t="array" ref="R49">_xlfn.IFS($D49="","",AND(P49=$C49,Q49=$D49),3,($C49-$D49)/MAX(ABS($C49-$D49),1)=(P49-Q49)/MAX(ABS(P49-Q49),1),1,TRUE,0)</f>
        <v/>
      </c>
      <c r="S49" s="18"/>
      <c r="T49" s="19"/>
      <c r="U49" s="33" t="str" cm="1">
        <f t="array" ref="U49">_xlfn.IFS($D49="","",AND(S49=$C49,T49=$D49),3,($C49-$D49)/MAX(ABS($C49-$D49),1)=(S49-T49)/MAX(ABS(S49-T49),1),1,TRUE,0)</f>
        <v/>
      </c>
      <c r="V49" s="18"/>
      <c r="W49" s="19"/>
      <c r="X49" s="33" t="str" cm="1">
        <f t="array" ref="X49">_xlfn.IFS($D49="","",AND(V49=$C49,W49=$D49),3,($C49-$D49)/MAX(ABS($C49-$D49),1)=(V49-W49)/MAX(ABS(V49-W49),1),1,TRUE,0)</f>
        <v/>
      </c>
      <c r="Y49" s="18"/>
      <c r="Z49" s="19"/>
      <c r="AA49" s="33" t="str" cm="1">
        <f t="array" ref="AA49">_xlfn.IFS($D49="","",AND(Y49=$C49,Z49=$D49),3,($C49-$D49)/MAX(ABS($C49-$D49),1)=(Y49-Z49)/MAX(ABS(Y49-Z49),1),1,TRUE,0)</f>
        <v/>
      </c>
      <c r="AB49" s="18"/>
      <c r="AC49" s="19"/>
      <c r="AD49" s="33" t="str" cm="1">
        <f t="array" ref="AD49">_xlfn.IFS($D49="","",AND(AB49=$C49,AC49=$D49),3,($C49-$D49)/MAX(ABS($C49-$D49),1)=(AB49-AC49)/MAX(ABS(AB49-AC49),1),1,TRUE,0)</f>
        <v/>
      </c>
      <c r="AE49" s="18"/>
      <c r="AF49" s="19"/>
      <c r="AG49" s="33" t="str" cm="1">
        <f t="array" ref="AG49">_xlfn.IFS($D49="","",AND(AE49=$C49,AF49=$D49),3,($C49-$D49)/MAX(ABS($C49-$D49),1)=(AE49-AF49)/MAX(ABS(AE49-AF49),1),1,TRUE,0)</f>
        <v/>
      </c>
      <c r="AH49" s="18"/>
      <c r="AI49" s="19"/>
      <c r="AJ49" s="33" t="str" cm="1">
        <f t="array" ref="AJ49">_xlfn.IFS($D49="","",AND(AH49=$C49,AI49=$D49),3,($C49-$D49)/MAX(ABS($C49-$D49),1)=(AH49-AI49)/MAX(ABS(AH49-AI49),1),1,TRUE,0)</f>
        <v/>
      </c>
      <c r="AK49" s="18"/>
      <c r="AL49" s="19"/>
      <c r="AM49" s="33" t="str" cm="1">
        <f t="array" ref="AM49">_xlfn.IFS($D49="","",AND(AK49=$C49,AL49=$D49),3,($C49-$D49)/MAX(ABS($C49-$D49),1)=(AK49-AL49)/MAX(ABS(AK49-AL49),1),1,TRUE,0)</f>
        <v/>
      </c>
      <c r="AN49" s="18"/>
      <c r="AO49" s="19"/>
      <c r="AP49" s="33" t="str" cm="1">
        <f t="array" ref="AP49">_xlfn.IFS($D49="","",AND(AN49=$C49,AO49=$D49),3,($C49-$D49)/MAX(ABS($C49-$D49),1)=(AN49-AO49)/MAX(ABS(AN49-AO49),1),1,TRUE,0)</f>
        <v/>
      </c>
      <c r="AQ49" s="18"/>
      <c r="AR49" s="19"/>
      <c r="AS49" s="33" t="str" cm="1">
        <f t="array" ref="AS49">_xlfn.IFS($D49="","",AND(AQ49=$C49,AR49=$D49),3,($C49-$D49)/MAX(ABS($C49-$D49),1)=(AQ49-AR49)/MAX(ABS(AQ49-AR49),1),1,TRUE,0)</f>
        <v/>
      </c>
      <c r="AT49" s="18"/>
      <c r="AU49" s="19"/>
      <c r="AV49" s="33" t="str" cm="1">
        <f t="array" ref="AV49">_xlfn.IFS($D49="","",AND(AT49=$C49,AU49=$D49),3,($C49-$D49)/MAX(ABS($C49-$D49),1)=(AT49-AU49)/MAX(ABS(AT49-AU49),1),1,TRUE,0)</f>
        <v/>
      </c>
      <c r="AW49" s="18"/>
      <c r="AX49" s="19"/>
      <c r="AY49" s="33" t="str" cm="1">
        <f t="array" ref="AY49">_xlfn.IFS($D49="","",AND(AW49=$C49,AX49=$D49),3,($C49-$D49)/MAX(ABS($C49-$D49),1)=(AW49-AX49)/MAX(ABS(AW49-AX49),1),1,TRUE,0)</f>
        <v/>
      </c>
      <c r="AZ49" s="18"/>
      <c r="BA49" s="19"/>
      <c r="BB49" s="33" t="str" cm="1">
        <f t="array" ref="BB49">_xlfn.IFS($D49="","",AND(AZ49=$C49,BA49=$D49),3,($C49-$D49)/MAX(ABS($C49-$D49),1)=(AZ49-BA49)/MAX(ABS(AZ49-BA49),1),1,TRUE,0)</f>
        <v/>
      </c>
      <c r="BC49" s="18"/>
      <c r="BD49" s="19"/>
      <c r="BE49" s="33" t="str" cm="1">
        <f t="array" ref="BE49">_xlfn.IFS($D49="","",AND(BC49=$C49,BD49=$D49),3,($C49-$D49)/MAX(ABS($C49-$D49),1)=(BC49-BD49)/MAX(ABS(BC49-BD49),1),1,TRUE,0)</f>
        <v/>
      </c>
      <c r="BF49" s="18"/>
      <c r="BG49" s="19"/>
      <c r="BH49" s="33" t="str" cm="1">
        <f t="array" ref="BH49">_xlfn.IFS($D49="","",AND(BF49=$C49,BG49=$D49),3,($C49-$D49)/MAX(ABS($C49-$D49),1)=(BF49-BG49)/MAX(ABS(BF49-BG49),1),1,TRUE,0)</f>
        <v/>
      </c>
      <c r="BI49" s="18"/>
      <c r="BJ49" s="19"/>
      <c r="BK49" s="33" t="str" cm="1">
        <f t="array" ref="BK49">_xlfn.IFS($D49="","",AND(BI49=$C49,BJ49=$D49),3,($C49-$D49)/MAX(ABS($C49-$D49),1)=(BI49-BJ49)/MAX(ABS(BI49-BJ49),1),1,TRUE,0)</f>
        <v/>
      </c>
      <c r="BL49" s="18"/>
      <c r="BM49" s="19"/>
      <c r="BN49" s="33" t="str" cm="1">
        <f t="array" ref="BN49">_xlfn.IFS($D49="","",AND(BL49=$C49,BM49=$D49),3,($C49-$D49)/MAX(ABS($C49-$D49),1)=(BL49-BM49)/MAX(ABS(BL49-BM49),1),1,TRUE,0)</f>
        <v/>
      </c>
      <c r="BO49" s="18"/>
      <c r="BP49" s="19"/>
      <c r="BQ49" s="33" t="str" cm="1">
        <f t="array" ref="BQ49">_xlfn.IFS($D49="","",AND(BO49=$C49,BP49=$D49),3,($C49-$D49)/MAX(ABS($C49-$D49),1)=(BO49-BP49)/MAX(ABS(BO49-BP49),1),1,TRUE,0)</f>
        <v/>
      </c>
      <c r="BR49" s="18"/>
      <c r="BS49" s="19"/>
      <c r="BT49" s="33" t="str" cm="1">
        <f t="array" ref="BT49">_xlfn.IFS($D49="","",AND(BR49=$C49,BS49=$D49),3,($C49-$D49)/MAX(ABS($C49-$D49),1)=(BR49-BS49)/MAX(ABS(BR49-BS49),1),1,TRUE,0)</f>
        <v/>
      </c>
      <c r="BU49" s="18"/>
      <c r="BV49" s="19"/>
      <c r="BW49" s="33" t="str" cm="1">
        <f t="array" ref="BW49">_xlfn.IFS($D49="","",AND(BU49=$C49,BV49=$D49),3,($C49-$D49)/MAX(ABS($C49-$D49),1)=(BU49-BV49)/MAX(ABS(BU49-BV49),1),1,TRUE,0)</f>
        <v/>
      </c>
      <c r="BX49" s="18"/>
      <c r="BY49" s="19"/>
      <c r="BZ49" s="33" t="str" cm="1">
        <f t="array" ref="BZ49">_xlfn.IFS($D49="","",AND(BX49=$C49,BY49=$D49),3,($C49-$D49)/MAX(ABS($C49-$D49),1)=(BX49-BY49)/MAX(ABS(BX49-BY49),1),1,TRUE,0)</f>
        <v/>
      </c>
      <c r="CA49" s="18"/>
      <c r="CB49" s="19"/>
      <c r="CC49" s="33" t="str" cm="1">
        <f t="array" ref="CC49">_xlfn.IFS($D49="","",AND(CA49=$C49,CB49=$D49),3,($C49-$D49)/MAX(ABS($C49-$D49),1)=(CA49-CB49)/MAX(ABS(CA49-CB49),1),1,TRUE,0)</f>
        <v/>
      </c>
      <c r="CD49" s="18"/>
      <c r="CE49" s="19"/>
      <c r="CF49" s="33" t="str" cm="1">
        <f t="array" ref="CF49">_xlfn.IFS($D49="","",AND(CD49=$C49,CE49=$D49),3,($C49-$D49)/MAX(ABS($C49-$D49),1)=(CD49-CE49)/MAX(ABS(CD49-CE49),1),1,TRUE,0)</f>
        <v/>
      </c>
      <c r="CG49" s="18"/>
      <c r="CH49" s="19"/>
      <c r="CI49" s="33" t="str" cm="1">
        <f t="array" ref="CI49">_xlfn.IFS($D49="","",AND(CG49=$C49,CH49=$D49),3,($C49-$D49)/MAX(ABS($C49-$D49),1)=(CG49-CH49)/MAX(ABS(CG49-CH49),1),1,TRUE,0)</f>
        <v/>
      </c>
      <c r="CJ49" s="18"/>
      <c r="CK49" s="19"/>
      <c r="CL49" s="33" t="str" cm="1">
        <f t="array" ref="CL49">_xlfn.IFS($D49="","",AND(CJ49=$C49,CK49=$D49),3,($C49-$D49)/MAX(ABS($C49-$D49),1)=(CJ49-CK49)/MAX(ABS(CJ49-CK49),1),1,TRUE,0)</f>
        <v/>
      </c>
      <c r="CM49" s="18"/>
      <c r="CN49" s="19"/>
      <c r="CO49" s="33" t="str" cm="1">
        <f t="array" ref="CO49">_xlfn.IFS($D49="","",AND(CM49=$C49,CN49=$D49),3,($C49-$D49)/MAX(ABS($C49-$D49),1)=(CM49-CN49)/MAX(ABS(CM49-CN49),1),1,TRUE,0)</f>
        <v/>
      </c>
      <c r="CP49" s="18"/>
      <c r="CQ49" s="19"/>
      <c r="CR49" s="33" t="str" cm="1">
        <f t="array" ref="CR49">_xlfn.IFS($D49="","",AND(CP49=$C49,CQ49=$D49),3,($C49-$D49)/MAX(ABS($C49-$D49),1)=(CP49-CQ49)/MAX(ABS(CP49-CQ49),1),1,TRUE,0)</f>
        <v/>
      </c>
      <c r="CS49" s="18"/>
      <c r="CT49" s="19"/>
      <c r="CU49" s="33" t="str" cm="1">
        <f t="array" ref="CU49">_xlfn.IFS($D49="","",AND(CS49=$C49,CT49=$D49),3,($C49-$D49)/MAX(ABS($C49-$D49),1)=(CS49-CT49)/MAX(ABS(CS49-CT49),1),1,TRUE,0)</f>
        <v/>
      </c>
      <c r="CV49" s="18"/>
      <c r="CW49" s="19"/>
      <c r="CX49" s="33" t="str" cm="1">
        <f t="array" ref="CX49">_xlfn.IFS($D49="","",AND(CV49=$C49,CW49=$D49),3,($C49-$D49)/MAX(ABS($C49-$D49),1)=(CV49-CW49)/MAX(ABS(CV49-CW49),1),1,TRUE,0)</f>
        <v/>
      </c>
      <c r="CY49" s="18"/>
      <c r="CZ49" s="19"/>
      <c r="DA49" s="33" t="str" cm="1">
        <f t="array" ref="DA49">_xlfn.IFS($D49="","",AND(CY49=$C49,CZ49=$D49),3,($C49-$D49)/MAX(ABS($C49-$D49),1)=(CY49-CZ49)/MAX(ABS(CY49-CZ49),1),1,TRUE,0)</f>
        <v/>
      </c>
      <c r="DB49" s="37"/>
      <c r="DC49" s="38"/>
      <c r="DD49" s="33" t="str" cm="1">
        <f t="array" ref="DD49">_xlfn.IFS($D49="","",AND(DB49=$C49,DC49=$D49),3,($C49-$D49)/MAX(ABS($C49-$D49),1)=(DB49-DC49)/MAX(ABS(DB49-DC49),1),1,TRUE,0)</f>
        <v/>
      </c>
      <c r="DE49" s="18"/>
      <c r="DF49" s="19"/>
      <c r="DG49" s="33" t="str" cm="1">
        <f t="array" ref="DG49">_xlfn.IFS($D49="","",AND(DE49=$C49,DF49=$D49),3,($C49-$D49)/MAX(ABS($C49-$D49),1)=(DE49-DF49)/MAX(ABS(DE49-DF49),1),1,TRUE,0)</f>
        <v/>
      </c>
      <c r="DH49" s="18"/>
      <c r="DI49" s="19"/>
      <c r="DJ49" s="33" t="str" cm="1">
        <f t="array" ref="DJ49">_xlfn.IFS($D49="","",AND(DH49=$C49,DI49=$D49),3,($C49-$D49)/MAX(ABS($C49-$D49),1)=(DH49-DI49)/MAX(ABS(DH49-DI49),1),1,TRUE,0)</f>
        <v/>
      </c>
      <c r="DK49" s="18"/>
      <c r="DL49" s="19"/>
      <c r="DM49" s="33" t="str" cm="1">
        <f t="array" ref="DM49">_xlfn.IFS($D49="","",AND(DK49=$C49,DL49=$D49),3,($C49-$D49)/MAX(ABS($C49-$D49),1)=(DK49-DL49)/MAX(ABS(DK49-DL49),1),1,TRUE,0)</f>
        <v/>
      </c>
      <c r="DN49" s="18"/>
      <c r="DO49" s="19"/>
      <c r="DP49" s="33" t="str" cm="1">
        <f t="array" ref="DP49">_xlfn.IFS($D49="","",AND(DN49=$C49,DO49=$D49),3,($C49-$D49)/MAX(ABS($C49-$D49),1)=(DN49-DO49)/MAX(ABS(DN49-DO49),1),1,TRUE,0)</f>
        <v/>
      </c>
      <c r="DQ49" s="18"/>
      <c r="DR49" s="19"/>
      <c r="DS49" s="33" t="str" cm="1">
        <f t="array" ref="DS49">_xlfn.IFS($D49="","",AND(DQ49=$C49,DR49=$D49),3,($C49-$D49)/MAX(ABS($C49-$D49),1)=(DQ49-DR49)/MAX(ABS(DQ49-DR49),1),1,TRUE,0)</f>
        <v/>
      </c>
      <c r="DT49" s="18"/>
      <c r="DU49" s="19"/>
      <c r="DV49" s="33" t="str" cm="1">
        <f t="array" ref="DV49">_xlfn.IFS($D49="","",AND(DT49=$C49,DU49=$D49),3,($C49-$D49)/MAX(ABS($C49-$D49),1)=(DT49-DU49)/MAX(ABS(DT49-DU49),1),1,TRUE,0)</f>
        <v/>
      </c>
      <c r="DW49" s="18"/>
      <c r="DX49" s="19"/>
      <c r="DY49" s="33" t="str" cm="1">
        <f t="array" ref="DY49">_xlfn.IFS($D49="","",AND(DW49=$C49,DX49=$D49),3,($C49-$D49)/MAX(ABS($C49-$D49),1)=(DW49-DX49)/MAX(ABS(DW49-DX49),1),1,TRUE,0)</f>
        <v/>
      </c>
      <c r="DZ49" s="18"/>
      <c r="EA49" s="19"/>
      <c r="EB49" s="33" t="str" cm="1">
        <f t="array" ref="EB49">_xlfn.IFS($D49="","",AND(DZ49=$C49,EA49=$D49),3,($C49-$D49)/MAX(ABS($C49-$D49),1)=(DZ49-EA49)/MAX(ABS(DZ49-EA49),1),1,TRUE,0)</f>
        <v/>
      </c>
      <c r="EC49" s="18"/>
      <c r="ED49" s="19"/>
      <c r="EE49" s="33" t="str" cm="1">
        <f t="array" ref="EE49">_xlfn.IFS($D49="","",AND(EC49=$C49,ED49=$D49),3,($C49-$D49)/MAX(ABS($C49-$D49),1)=(EC49-ED49)/MAX(ABS(EC49-ED49),1),1,TRUE,0)</f>
        <v/>
      </c>
      <c r="EF49" s="18"/>
      <c r="EG49" s="19"/>
      <c r="EH49" s="33" t="str" cm="1">
        <f t="array" ref="EH49">_xlfn.IFS($D49="","",AND(EF49=$C49,EG49=$D49),3,($C49-$D49)/MAX(ABS($C49-$D49),1)=(EF49-EG49)/MAX(ABS(EF49-EG49),1),1,TRUE,0)</f>
        <v/>
      </c>
      <c r="EI49" s="50"/>
      <c r="EJ49" s="51"/>
      <c r="EK49" s="33" t="str" cm="1">
        <f t="array" ref="EK49">_xlfn.IFS($D49="","",AND(EI49=$C49,EJ49=$D49),3,($C49-$D49)/MAX(ABS($C49-$D49),1)=(EI49-EJ49)/MAX(ABS(EI49-EJ49),1),1,TRUE,0)</f>
        <v/>
      </c>
      <c r="EL49" s="18"/>
      <c r="EM49" s="19"/>
      <c r="EN49" s="33" t="str" cm="1">
        <f t="array" ref="EN49">_xlfn.IFS($D49="","",AND(EL49=$C49,EM49=$D49),3,($C49-$D49)/MAX(ABS($C49-$D49),1)=(EL49-EM49)/MAX(ABS(EL49-EM49),1),1,TRUE,0)</f>
        <v/>
      </c>
      <c r="EO49" s="18"/>
      <c r="EP49" s="19"/>
      <c r="EQ49" s="33" t="str" cm="1">
        <f t="array" ref="EQ49">_xlfn.IFS($D49="","",AND(EO49=$C49,EP49=$D49),3,($C49-$D49)/MAX(ABS($C49-$D49),1)=(EO49-EP49)/MAX(ABS(EO49-EP49),1),1,TRUE,0)</f>
        <v/>
      </c>
      <c r="ER49" s="18"/>
      <c r="ES49" s="19"/>
      <c r="ET49" s="33" t="str" cm="1">
        <f t="array" ref="ET49">_xlfn.IFS($D49="","",AND(ER49=$C49,ES49=$D49),3,($C49-$D49)/MAX(ABS($C49-$D49),1)=(ER49-ES49)/MAX(ABS(ER49-ES49),1),1,TRUE,0)</f>
        <v/>
      </c>
      <c r="EU49" s="18"/>
      <c r="EV49" s="19"/>
      <c r="EW49" s="33" t="str" cm="1">
        <f t="array" ref="EW49">_xlfn.IFS($D49="","",AND(EU49=$C49,EV49=$D49),3,($C49-$D49)/MAX(ABS($C49-$D49),1)=(EU49-EV49)/MAX(ABS(EU49-EV49),1),1,TRUE,0)</f>
        <v/>
      </c>
      <c r="EX49" s="18"/>
      <c r="EY49" s="19"/>
      <c r="EZ49" s="33" t="str" cm="1">
        <f t="array" ref="EZ49">_xlfn.IFS($D49="","",AND(EX49=$C49,EY49=$D49),3,($C49-$D49)/MAX(ABS($C49-$D49),1)=(EX49-EY49)/MAX(ABS(EX49-EY49),1),1,TRUE,0)</f>
        <v/>
      </c>
      <c r="FA49" s="18"/>
      <c r="FB49" s="19"/>
      <c r="FC49" s="33" t="str" cm="1">
        <f t="array" ref="FC49">_xlfn.IFS($D49="","",AND(FA49=$C49,FB49=$D49),3,($C49-$D49)/MAX(ABS($C49-$D49),1)=(FA49-FB49)/MAX(ABS(FA49-FB49),1),1,TRUE,0)</f>
        <v/>
      </c>
      <c r="FD49" s="18"/>
      <c r="FE49" s="19"/>
      <c r="FF49" s="33" t="str" cm="1">
        <f t="array" ref="FF49">_xlfn.IFS($D49="","",AND(FD49=$C49,FE49=$D49),3,($C49-$D49)/MAX(ABS($C49-$D49),1)=(FD49-FE49)/MAX(ABS(FD49-FE49),1),1,TRUE,0)</f>
        <v/>
      </c>
      <c r="FG49" s="18"/>
      <c r="FH49" s="19"/>
      <c r="FI49" s="33" t="str" cm="1">
        <f t="array" ref="FI49">_xlfn.IFS($D49="","",AND(FG49=$C49,FH49=$D49),3,($C49-$D49)/MAX(ABS($C49-$D49),1)=(FG49-FH49)/MAX(ABS(FG49-FH49),1),1,TRUE,0)</f>
        <v/>
      </c>
      <c r="FJ49" s="18"/>
      <c r="FK49" s="19"/>
      <c r="FL49" s="33" t="str" cm="1">
        <f t="array" ref="FL49">_xlfn.IFS($D49="","",AND(FJ49=$C49,FK49=$D49),3,($C49-$D49)/MAX(ABS($C49-$D49),1)=(FJ49-FK49)/MAX(ABS(FJ49-FK49),1),1,TRUE,0)</f>
        <v/>
      </c>
      <c r="FM49" s="18"/>
      <c r="FN49" s="19"/>
      <c r="FO49" s="33" t="str" cm="1">
        <f t="array" ref="FO49">_xlfn.IFS($D49="","",AND(FM49=$C49,FN49=$D49),3,($C49-$D49)/MAX(ABS($C49-$D49),1)=(FM49-FN49)/MAX(ABS(FM49-FN49),1),1,TRUE,0)</f>
        <v/>
      </c>
      <c r="FP49" s="18"/>
      <c r="FQ49" s="19"/>
      <c r="FR49" s="33" t="str" cm="1">
        <f t="array" ref="FR49">_xlfn.IFS($D49="","",AND(FP49=$C49,FQ49=$D49),3,($C49-$D49)/MAX(ABS($C49-$D49),1)=(FP49-FQ49)/MAX(ABS(FP49-FQ49),1),1,TRUE,0)</f>
        <v/>
      </c>
      <c r="FS49" s="18"/>
      <c r="FT49" s="19"/>
      <c r="FU49" s="33" t="str" cm="1">
        <f t="array" ref="FU49">_xlfn.IFS($D49="","",AND(FS49=$C49,FT49=$D49),3,($C49-$D49)/MAX(ABS($C49-$D49),1)=(FS49-FT49)/MAX(ABS(FS49-FT49),1),1,TRUE,0)</f>
        <v/>
      </c>
      <c r="FV49" s="18"/>
      <c r="FW49" s="19"/>
      <c r="FX49" s="33" t="str" cm="1">
        <f t="array" ref="FX49">_xlfn.IFS($D49="","",AND(FV49=$C49,FW49=$D49),3,($C49-$D49)/MAX(ABS($C49-$D49),1)=(FV49-FW49)/MAX(ABS(FV49-FW49),1),1,TRUE,0)</f>
        <v/>
      </c>
      <c r="FY49" s="18"/>
      <c r="FZ49" s="19"/>
      <c r="GA49" s="33" t="str" cm="1">
        <f t="array" ref="GA49">_xlfn.IFS($D49="","",AND(FY49=$C49,FZ49=$D49),3,($C49-$D49)/MAX(ABS($C49-$D49),1)=(FY49-FZ49)/MAX(ABS(FY49-FZ49),1),1,TRUE,0)</f>
        <v/>
      </c>
      <c r="GB49" s="18"/>
      <c r="GC49" s="19"/>
      <c r="GD49" s="33" t="str" cm="1">
        <f t="array" ref="GD49">_xlfn.IFS($D49="","",AND(GB49=$C49,GC49=$D49),3,($C49-$D49)/MAX(ABS($C49-$D49),1)=(GB49-GC49)/MAX(ABS(GB49-GC49),1),1,TRUE,0)</f>
        <v/>
      </c>
      <c r="GE49" s="52"/>
      <c r="GF49" s="19"/>
      <c r="GG49" s="33" t="str" cm="1">
        <f t="array" ref="GG49">_xlfn.IFS($D49="","",AND(GE49=$C49,GF49=$D49),3,($C49-$D49)/MAX(ABS($C49-$D49),1)=(GE49-GF49)/MAX(ABS(GE49-GF49),1),1,TRUE,0)</f>
        <v/>
      </c>
      <c r="GH49" s="18"/>
      <c r="GI49" s="19"/>
      <c r="GJ49" s="33" t="str" cm="1">
        <f t="array" ref="GJ49">_xlfn.IFS($D49="","",AND(GH49=$C49,GI49=$D49),3,($C49-$D49)/MAX(ABS($C49-$D49),1)=(GH49-GI49)/MAX(ABS(GH49-GI49),1),1,TRUE,0)</f>
        <v/>
      </c>
      <c r="GK49" s="18"/>
      <c r="GL49" s="19"/>
      <c r="GM49" s="33" t="str" cm="1">
        <f t="array" ref="GM49">_xlfn.IFS($D49="","",AND(GK49=$C49,GL49=$D49),3,($C49-$D49)/MAX(ABS($C49-$D49),1)=(GK49-GL49)/MAX(ABS(GK49-GL49),1),1,TRUE,0)</f>
        <v/>
      </c>
      <c r="GN49" s="18"/>
      <c r="GO49" s="19"/>
      <c r="GP49" s="33" t="str" cm="1">
        <f t="array" ref="GP49">_xlfn.IFS($D49="","",AND(GN49=$C49,GO49=$D49),3,($C49-$D49)/MAX(ABS($C49-$D49),1)=(GN49-GO49)/MAX(ABS(GN49-GO49),1),1,TRUE,0)</f>
        <v/>
      </c>
      <c r="GQ49" s="18"/>
      <c r="GR49" s="19"/>
      <c r="GS49" s="33" t="str" cm="1">
        <f t="array" ref="GS49">_xlfn.IFS($D49="","",AND(GQ49=$C49,GR49=$D49),3,($C49-$D49)/MAX(ABS($C49-$D49),1)=(GQ49-GR49)/MAX(ABS(GQ49-GR49),1),1,TRUE,0)</f>
        <v/>
      </c>
      <c r="GT49" s="18"/>
      <c r="GU49" s="19"/>
      <c r="GV49" s="33" t="str" cm="1">
        <f t="array" ref="GV49">_xlfn.IFS($D49="","",AND(GT49=$C49,GU49=$D49),3,($C49-$D49)/MAX(ABS($C49-$D49),1)=(GT49-GU49)/MAX(ABS(GT49-GU49),1),1,TRUE,0)</f>
        <v/>
      </c>
      <c r="GW49" s="18"/>
      <c r="GX49" s="19"/>
      <c r="GY49" s="33" t="str" cm="1">
        <f t="array" ref="GY49">_xlfn.IFS($D49="","",AND(GW49=$C49,GX49=$D49),3,($C49-$D49)/MAX(ABS($C49-$D49),1)=(GW49-GX49)/MAX(ABS(GW49-GX49),1),1,TRUE,0)</f>
        <v/>
      </c>
      <c r="GZ49" s="18"/>
      <c r="HA49" s="19"/>
      <c r="HB49" s="33" t="str" cm="1">
        <f t="array" ref="HB49">_xlfn.IFS($D49="","",AND(GZ49=$C49,HA49=$D49),3,($C49-$D49)/MAX(ABS($C49-$D49),1)=(GZ49-HA49)/MAX(ABS(GZ49-HA49),1),1,TRUE,0)</f>
        <v/>
      </c>
      <c r="HC49" s="18"/>
      <c r="HD49" s="19"/>
      <c r="HE49" s="33" t="str" cm="1">
        <f t="array" ref="HE49">_xlfn.IFS($D49="","",AND(HC49=$C49,HD49=$D49),3,($C49-$D49)/MAX(ABS($C49-$D49),1)=(HC49-HD49)/MAX(ABS(HC49-HD49),1),1,TRUE,0)</f>
        <v/>
      </c>
      <c r="HF49" s="18"/>
      <c r="HG49" s="19"/>
      <c r="HH49" s="33" t="str" cm="1">
        <f t="array" ref="HH49">_xlfn.IFS($D49="","",AND(HF49=$C49,HG49=$D49),3,($C49-$D49)/MAX(ABS($C49-$D49),1)=(HF49-HG49)/MAX(ABS(HF49-HG49),1),1,TRUE,0)</f>
        <v/>
      </c>
      <c r="HI49" s="18"/>
      <c r="HJ49" s="19"/>
      <c r="HK49" s="33" t="str" cm="1">
        <f t="array" ref="HK49">_xlfn.IFS($D49="","",AND(HI49=$C49,HJ49=$D49),3,($C49-$D49)/MAX(ABS($C49-$D49),1)=(HI49-HJ49)/MAX(ABS(HI49-HJ49),1),1,TRUE,0)</f>
        <v/>
      </c>
      <c r="HL49" s="18"/>
      <c r="HM49" s="19"/>
      <c r="HN49" s="33" t="str" cm="1">
        <f t="array" ref="HN49">_xlfn.IFS($D49="","",AND(HL49=$C49,HM49=$D49),3,($C49-$D49)/MAX(ABS($C49-$D49),1)=(HL49-HM49)/MAX(ABS(HL49-HM49),1),1,TRUE,0)</f>
        <v/>
      </c>
      <c r="HO49" s="18"/>
      <c r="HP49" s="19"/>
      <c r="HQ49" s="33" t="str" cm="1">
        <f t="array" ref="HQ49">_xlfn.IFS($D49="","",AND(HO49=$C49,HP49=$D49),3,($C49-$D49)/MAX(ABS($C49-$D49),1)=(HO49-HP49)/MAX(ABS(HO49-HP49),1),1,TRUE,0)</f>
        <v/>
      </c>
      <c r="HR49" s="18"/>
      <c r="HS49" s="19"/>
      <c r="HT49" s="33" t="str" cm="1">
        <f t="array" ref="HT49">_xlfn.IFS($D49="","",AND(HR49=$C49,HS49=$D49),3,($C49-$D49)/MAX(ABS($C49-$D49),1)=(HR49-HS49)/MAX(ABS(HR49-HS49),1),1,TRUE,0)</f>
        <v/>
      </c>
      <c r="HU49" s="18"/>
      <c r="HV49" s="19"/>
      <c r="HW49" s="33" t="str" cm="1">
        <f t="array" ref="HW49">_xlfn.IFS($D49="","",AND(HU49=$C49,HV49=$D49),3,($C49-$D49)/MAX(ABS($C49-$D49),1)=(HU49-HV49)/MAX(ABS(HU49-HV49),1),1,TRUE,0)</f>
        <v/>
      </c>
      <c r="HX49" s="18"/>
      <c r="HY49" s="19"/>
      <c r="HZ49" s="33" t="str" cm="1">
        <f t="array" ref="HZ49">_xlfn.IFS($D49="","",AND(HX49=$C49,HY49=$D49),3,($C49-$D49)/MAX(ABS($C49-$D49),1)=(HX49-HY49)/MAX(ABS(HX49-HY49),1),1,TRUE,0)</f>
        <v/>
      </c>
      <c r="IA49" s="18"/>
      <c r="IB49" s="19"/>
      <c r="IC49" s="33" t="str" cm="1">
        <f t="array" ref="IC49">_xlfn.IFS($D49="","",AND(IA49=$C49,IB49=$D49),3,($C49-$D49)/MAX(ABS($C49-$D49),1)=(IA49-IB49)/MAX(ABS(IA49-IB49),1),1,TRUE,0)</f>
        <v/>
      </c>
      <c r="ID49" s="18"/>
      <c r="IE49" s="19"/>
      <c r="IF49" s="33" t="str" cm="1">
        <f t="array" ref="IF49">_xlfn.IFS($D49="","",AND(ID49=$C49,IE49=$D49),3,($C49-$D49)/MAX(ABS($C49-$D49),1)=(ID49-IE49)/MAX(ABS(ID49-IE49),1),1,TRUE,0)</f>
        <v/>
      </c>
      <c r="IG49" s="18"/>
      <c r="IH49" s="19"/>
      <c r="II49" s="33" t="str" cm="1">
        <f t="array" ref="II49">_xlfn.IFS($D49="","",AND(IG49=$C49,IH49=$D49),3,($C49-$D49)/MAX(ABS($C49-$D49),1)=(IG49-IH49)/MAX(ABS(IG49-IH49),1),1,TRUE,0)</f>
        <v/>
      </c>
      <c r="IJ49" s="18"/>
      <c r="IK49" s="19"/>
      <c r="IL49" s="33" t="str" cm="1">
        <f t="array" ref="IL49">_xlfn.IFS($D49="","",AND(IJ49=$C49,IK49=$D49),3,($C49-$D49)/MAX(ABS($C49-$D49),1)=(IJ49-IK49)/MAX(ABS(IJ49-IK49),1),1,TRUE,0)</f>
        <v/>
      </c>
      <c r="IM49" s="18"/>
      <c r="IN49" s="19"/>
      <c r="IO49" s="33" t="str" cm="1">
        <f t="array" ref="IO49">_xlfn.IFS($D49="","",AND(IM49=$C49,IN49=$D49),3,($C49-$D49)/MAX(ABS($C49-$D49),1)=(IM49-IN49)/MAX(ABS(IM49-IN49),1),1,TRUE,0)</f>
        <v/>
      </c>
      <c r="IP49" s="18"/>
      <c r="IQ49" s="19"/>
      <c r="IR49" s="33" t="str" cm="1">
        <f t="array" ref="IR49">_xlfn.IFS($D49="","",AND(IP49=$C49,IQ49=$D49),3,($C49-$D49)/MAX(ABS($C49-$D49),1)=(IP49-IQ49)/MAX(ABS(IP49-IQ49),1),1,TRUE,0)</f>
        <v/>
      </c>
      <c r="IS49" s="18"/>
      <c r="IT49" s="19"/>
      <c r="IU49" s="33" t="str" cm="1">
        <f t="array" ref="IU49">_xlfn.IFS($D49="","",AND(IS49=$C49,IT49=$D49),3,($C49-$D49)/MAX(ABS($C49-$D49),1)=(IS49-IT49)/MAX(ABS(IS49-IT49),1),1,TRUE,0)</f>
        <v/>
      </c>
      <c r="IV49" s="18"/>
      <c r="IW49" s="19"/>
      <c r="IX49" s="33" t="str" cm="1">
        <f t="array" ref="IX49">_xlfn.IFS($D49="","",AND(IV49=$C49,IW49=$D49),3,($C49-$D49)/MAX(ABS($C49-$D49),1)=(IV49-IW49)/MAX(ABS(IV49-IW49),1),1,TRUE,0)</f>
        <v/>
      </c>
      <c r="IY49" s="18"/>
      <c r="IZ49" s="19"/>
      <c r="JA49" s="33" t="str" cm="1">
        <f t="array" ref="JA49">_xlfn.IFS($D49="","",AND(IY49=$C49,IZ49=$D49),3,($C49-$D49)/MAX(ABS($C49-$D49),1)=(IY49-IZ49)/MAX(ABS(IY49-IZ49),1),1,TRUE,0)</f>
        <v/>
      </c>
      <c r="JB49" s="18"/>
      <c r="JC49" s="19"/>
      <c r="JD49" s="33" t="str" cm="1">
        <f t="array" ref="JD49">_xlfn.IFS($D49="","",AND(JB49=$C49,JC49=$D49),3,($C49-$D49)/MAX(ABS($C49-$D49),1)=(JB49-JC49)/MAX(ABS(JB49-JC49),1),1,TRUE,0)</f>
        <v/>
      </c>
    </row>
    <row r="50" spans="1:264" ht="15" thickBot="1" x14ac:dyDescent="0.35">
      <c r="A50" s="22">
        <v>46197</v>
      </c>
      <c r="B50" s="28" t="s">
        <v>58</v>
      </c>
      <c r="C50" s="53" t="str" cm="1">
        <f t="array" ref="C50">_xlfn.LET(
_xlpm.x,_xlfn.XLOOKUP(1,(Scores_Fixtures[Date]=A50)*(Scores_Fixtures[Home.1]=B50),Scores_Fixtures[Score.1],""),
IF(_xlpm.x="","",_xlpm.x)
)</f>
        <v/>
      </c>
      <c r="D50" s="53" t="str" cm="1">
        <f t="array" ref="D50">_xlfn.LET(
_xlpm.x,_xlfn.XLOOKUP(1,(Scores_Fixtures[Date]=A50)*(Scores_Fixtures[Home.1]=B50),Scores_Fixtures[Score.2],""),
IF(_xlpm.x="","",_xlpm.x)
)</f>
        <v/>
      </c>
      <c r="E50" s="12" t="s">
        <v>68</v>
      </c>
      <c r="F50" s="15"/>
      <c r="G50" s="53"/>
      <c r="H50" s="53"/>
      <c r="I50" s="33" t="str" cm="1">
        <f t="array" ref="I50">_xlfn.IFS($D50="","",AND(G50=$C50,H50=$D50),3,($C50-$D50)/MAX(ABS($C50-$D50),1)=(G50-H50)/MAX(ABS(G50-H50),1),1,TRUE,0)</f>
        <v/>
      </c>
      <c r="J50" s="18"/>
      <c r="K50" s="19"/>
      <c r="L50" s="33" t="str" cm="1">
        <f t="array" ref="L50">_xlfn.IFS($D50="","",AND(J50=$C50,K50=$D50),3,($C50-$D50)/MAX(ABS($C50-$D50),1)=(J50-K50)/MAX(ABS(J50-K50),1),1,TRUE,0)</f>
        <v/>
      </c>
      <c r="M50" s="18"/>
      <c r="N50" s="19"/>
      <c r="O50" s="33" t="str" cm="1">
        <f t="array" ref="O50">_xlfn.IFS($D50="","",AND(M50=$C50,N50=$D50),3,($C50-$D50)/MAX(ABS($C50-$D50),1)=(M50-N50)/MAX(ABS(M50-N50),1),1,TRUE,0)</f>
        <v/>
      </c>
      <c r="P50" s="18"/>
      <c r="Q50" s="19"/>
      <c r="R50" s="33" t="str" cm="1">
        <f t="array" ref="R50">_xlfn.IFS($D50="","",AND(P50=$C50,Q50=$D50),3,($C50-$D50)/MAX(ABS($C50-$D50),1)=(P50-Q50)/MAX(ABS(P50-Q50),1),1,TRUE,0)</f>
        <v/>
      </c>
      <c r="S50" s="18"/>
      <c r="T50" s="19"/>
      <c r="U50" s="33" t="str" cm="1">
        <f t="array" ref="U50">_xlfn.IFS($D50="","",AND(S50=$C50,T50=$D50),3,($C50-$D50)/MAX(ABS($C50-$D50),1)=(S50-T50)/MAX(ABS(S50-T50),1),1,TRUE,0)</f>
        <v/>
      </c>
      <c r="V50" s="18"/>
      <c r="W50" s="19"/>
      <c r="X50" s="33" t="str" cm="1">
        <f t="array" ref="X50">_xlfn.IFS($D50="","",AND(V50=$C50,W50=$D50),3,($C50-$D50)/MAX(ABS($C50-$D50),1)=(V50-W50)/MAX(ABS(V50-W50),1),1,TRUE,0)</f>
        <v/>
      </c>
      <c r="Y50" s="18"/>
      <c r="Z50" s="19"/>
      <c r="AA50" s="33" t="str" cm="1">
        <f t="array" ref="AA50">_xlfn.IFS($D50="","",AND(Y50=$C50,Z50=$D50),3,($C50-$D50)/MAX(ABS($C50-$D50),1)=(Y50-Z50)/MAX(ABS(Y50-Z50),1),1,TRUE,0)</f>
        <v/>
      </c>
      <c r="AB50" s="18"/>
      <c r="AC50" s="19"/>
      <c r="AD50" s="33" t="str" cm="1">
        <f t="array" ref="AD50">_xlfn.IFS($D50="","",AND(AB50=$C50,AC50=$D50),3,($C50-$D50)/MAX(ABS($C50-$D50),1)=(AB50-AC50)/MAX(ABS(AB50-AC50),1),1,TRUE,0)</f>
        <v/>
      </c>
      <c r="AE50" s="18"/>
      <c r="AF50" s="19"/>
      <c r="AG50" s="33" t="str" cm="1">
        <f t="array" ref="AG50">_xlfn.IFS($D50="","",AND(AE50=$C50,AF50=$D50),3,($C50-$D50)/MAX(ABS($C50-$D50),1)=(AE50-AF50)/MAX(ABS(AE50-AF50),1),1,TRUE,0)</f>
        <v/>
      </c>
      <c r="AH50" s="18"/>
      <c r="AI50" s="19"/>
      <c r="AJ50" s="33" t="str" cm="1">
        <f t="array" ref="AJ50">_xlfn.IFS($D50="","",AND(AH50=$C50,AI50=$D50),3,($C50-$D50)/MAX(ABS($C50-$D50),1)=(AH50-AI50)/MAX(ABS(AH50-AI50),1),1,TRUE,0)</f>
        <v/>
      </c>
      <c r="AK50" s="18"/>
      <c r="AL50" s="19"/>
      <c r="AM50" s="33" t="str" cm="1">
        <f t="array" ref="AM50">_xlfn.IFS($D50="","",AND(AK50=$C50,AL50=$D50),3,($C50-$D50)/MAX(ABS($C50-$D50),1)=(AK50-AL50)/MAX(ABS(AK50-AL50),1),1,TRUE,0)</f>
        <v/>
      </c>
      <c r="AN50" s="18"/>
      <c r="AO50" s="19"/>
      <c r="AP50" s="33" t="str" cm="1">
        <f t="array" ref="AP50">_xlfn.IFS($D50="","",AND(AN50=$C50,AO50=$D50),3,($C50-$D50)/MAX(ABS($C50-$D50),1)=(AN50-AO50)/MAX(ABS(AN50-AO50),1),1,TRUE,0)</f>
        <v/>
      </c>
      <c r="AQ50" s="18"/>
      <c r="AR50" s="19"/>
      <c r="AS50" s="33" t="str" cm="1">
        <f t="array" ref="AS50">_xlfn.IFS($D50="","",AND(AQ50=$C50,AR50=$D50),3,($C50-$D50)/MAX(ABS($C50-$D50),1)=(AQ50-AR50)/MAX(ABS(AQ50-AR50),1),1,TRUE,0)</f>
        <v/>
      </c>
      <c r="AT50" s="18"/>
      <c r="AU50" s="19"/>
      <c r="AV50" s="33" t="str" cm="1">
        <f t="array" ref="AV50">_xlfn.IFS($D50="","",AND(AT50=$C50,AU50=$D50),3,($C50-$D50)/MAX(ABS($C50-$D50),1)=(AT50-AU50)/MAX(ABS(AT50-AU50),1),1,TRUE,0)</f>
        <v/>
      </c>
      <c r="AW50" s="18"/>
      <c r="AX50" s="19"/>
      <c r="AY50" s="33" t="str" cm="1">
        <f t="array" ref="AY50">_xlfn.IFS($D50="","",AND(AW50=$C50,AX50=$D50),3,($C50-$D50)/MAX(ABS($C50-$D50),1)=(AW50-AX50)/MAX(ABS(AW50-AX50),1),1,TRUE,0)</f>
        <v/>
      </c>
      <c r="AZ50" s="18"/>
      <c r="BA50" s="19"/>
      <c r="BB50" s="33" t="str" cm="1">
        <f t="array" ref="BB50">_xlfn.IFS($D50="","",AND(AZ50=$C50,BA50=$D50),3,($C50-$D50)/MAX(ABS($C50-$D50),1)=(AZ50-BA50)/MAX(ABS(AZ50-BA50),1),1,TRUE,0)</f>
        <v/>
      </c>
      <c r="BC50" s="18"/>
      <c r="BD50" s="19"/>
      <c r="BE50" s="33" t="str" cm="1">
        <f t="array" ref="BE50">_xlfn.IFS($D50="","",AND(BC50=$C50,BD50=$D50),3,($C50-$D50)/MAX(ABS($C50-$D50),1)=(BC50-BD50)/MAX(ABS(BC50-BD50),1),1,TRUE,0)</f>
        <v/>
      </c>
      <c r="BF50" s="18"/>
      <c r="BG50" s="19"/>
      <c r="BH50" s="33" t="str" cm="1">
        <f t="array" ref="BH50">_xlfn.IFS($D50="","",AND(BF50=$C50,BG50=$D50),3,($C50-$D50)/MAX(ABS($C50-$D50),1)=(BF50-BG50)/MAX(ABS(BF50-BG50),1),1,TRUE,0)</f>
        <v/>
      </c>
      <c r="BI50" s="18"/>
      <c r="BJ50" s="19"/>
      <c r="BK50" s="33" t="str" cm="1">
        <f t="array" ref="BK50">_xlfn.IFS($D50="","",AND(BI50=$C50,BJ50=$D50),3,($C50-$D50)/MAX(ABS($C50-$D50),1)=(BI50-BJ50)/MAX(ABS(BI50-BJ50),1),1,TRUE,0)</f>
        <v/>
      </c>
      <c r="BL50" s="18"/>
      <c r="BM50" s="19"/>
      <c r="BN50" s="33" t="str" cm="1">
        <f t="array" ref="BN50">_xlfn.IFS($D50="","",AND(BL50=$C50,BM50=$D50),3,($C50-$D50)/MAX(ABS($C50-$D50),1)=(BL50-BM50)/MAX(ABS(BL50-BM50),1),1,TRUE,0)</f>
        <v/>
      </c>
      <c r="BO50" s="18"/>
      <c r="BP50" s="19"/>
      <c r="BQ50" s="33" t="str" cm="1">
        <f t="array" ref="BQ50">_xlfn.IFS($D50="","",AND(BO50=$C50,BP50=$D50),3,($C50-$D50)/MAX(ABS($C50-$D50),1)=(BO50-BP50)/MAX(ABS(BO50-BP50),1),1,TRUE,0)</f>
        <v/>
      </c>
      <c r="BR50" s="18"/>
      <c r="BS50" s="19"/>
      <c r="BT50" s="33" t="str" cm="1">
        <f t="array" ref="BT50">_xlfn.IFS($D50="","",AND(BR50=$C50,BS50=$D50),3,($C50-$D50)/MAX(ABS($C50-$D50),1)=(BR50-BS50)/MAX(ABS(BR50-BS50),1),1,TRUE,0)</f>
        <v/>
      </c>
      <c r="BU50" s="18"/>
      <c r="BV50" s="19"/>
      <c r="BW50" s="33" t="str" cm="1">
        <f t="array" ref="BW50">_xlfn.IFS($D50="","",AND(BU50=$C50,BV50=$D50),3,($C50-$D50)/MAX(ABS($C50-$D50),1)=(BU50-BV50)/MAX(ABS(BU50-BV50),1),1,TRUE,0)</f>
        <v/>
      </c>
      <c r="BX50" s="18"/>
      <c r="BY50" s="19"/>
      <c r="BZ50" s="33" t="str" cm="1">
        <f t="array" ref="BZ50">_xlfn.IFS($D50="","",AND(BX50=$C50,BY50=$D50),3,($C50-$D50)/MAX(ABS($C50-$D50),1)=(BX50-BY50)/MAX(ABS(BX50-BY50),1),1,TRUE,0)</f>
        <v/>
      </c>
      <c r="CA50" s="18"/>
      <c r="CB50" s="19"/>
      <c r="CC50" s="33" t="str" cm="1">
        <f t="array" ref="CC50">_xlfn.IFS($D50="","",AND(CA50=$C50,CB50=$D50),3,($C50-$D50)/MAX(ABS($C50-$D50),1)=(CA50-CB50)/MAX(ABS(CA50-CB50),1),1,TRUE,0)</f>
        <v/>
      </c>
      <c r="CD50" s="18"/>
      <c r="CE50" s="19"/>
      <c r="CF50" s="33" t="str" cm="1">
        <f t="array" ref="CF50">_xlfn.IFS($D50="","",AND(CD50=$C50,CE50=$D50),3,($C50-$D50)/MAX(ABS($C50-$D50),1)=(CD50-CE50)/MAX(ABS(CD50-CE50),1),1,TRUE,0)</f>
        <v/>
      </c>
      <c r="CG50" s="18"/>
      <c r="CH50" s="19"/>
      <c r="CI50" s="33" t="str" cm="1">
        <f t="array" ref="CI50">_xlfn.IFS($D50="","",AND(CG50=$C50,CH50=$D50),3,($C50-$D50)/MAX(ABS($C50-$D50),1)=(CG50-CH50)/MAX(ABS(CG50-CH50),1),1,TRUE,0)</f>
        <v/>
      </c>
      <c r="CJ50" s="18"/>
      <c r="CK50" s="19"/>
      <c r="CL50" s="33" t="str" cm="1">
        <f t="array" ref="CL50">_xlfn.IFS($D50="","",AND(CJ50=$C50,CK50=$D50),3,($C50-$D50)/MAX(ABS($C50-$D50),1)=(CJ50-CK50)/MAX(ABS(CJ50-CK50),1),1,TRUE,0)</f>
        <v/>
      </c>
      <c r="CM50" s="18"/>
      <c r="CN50" s="19"/>
      <c r="CO50" s="33" t="str" cm="1">
        <f t="array" ref="CO50">_xlfn.IFS($D50="","",AND(CM50=$C50,CN50=$D50),3,($C50-$D50)/MAX(ABS($C50-$D50),1)=(CM50-CN50)/MAX(ABS(CM50-CN50),1),1,TRUE,0)</f>
        <v/>
      </c>
      <c r="CP50" s="18"/>
      <c r="CQ50" s="19"/>
      <c r="CR50" s="33" t="str" cm="1">
        <f t="array" ref="CR50">_xlfn.IFS($D50="","",AND(CP50=$C50,CQ50=$D50),3,($C50-$D50)/MAX(ABS($C50-$D50),1)=(CP50-CQ50)/MAX(ABS(CP50-CQ50),1),1,TRUE,0)</f>
        <v/>
      </c>
      <c r="CS50" s="18"/>
      <c r="CT50" s="19"/>
      <c r="CU50" s="33" t="str" cm="1">
        <f t="array" ref="CU50">_xlfn.IFS($D50="","",AND(CS50=$C50,CT50=$D50),3,($C50-$D50)/MAX(ABS($C50-$D50),1)=(CS50-CT50)/MAX(ABS(CS50-CT50),1),1,TRUE,0)</f>
        <v/>
      </c>
      <c r="CV50" s="18"/>
      <c r="CW50" s="19"/>
      <c r="CX50" s="33" t="str" cm="1">
        <f t="array" ref="CX50">_xlfn.IFS($D50="","",AND(CV50=$C50,CW50=$D50),3,($C50-$D50)/MAX(ABS($C50-$D50),1)=(CV50-CW50)/MAX(ABS(CV50-CW50),1),1,TRUE,0)</f>
        <v/>
      </c>
      <c r="CY50" s="18"/>
      <c r="CZ50" s="19"/>
      <c r="DA50" s="33" t="str" cm="1">
        <f t="array" ref="DA50">_xlfn.IFS($D50="","",AND(CY50=$C50,CZ50=$D50),3,($C50-$D50)/MAX(ABS($C50-$D50),1)=(CY50-CZ50)/MAX(ABS(CY50-CZ50),1),1,TRUE,0)</f>
        <v/>
      </c>
      <c r="DB50" s="37"/>
      <c r="DC50" s="38"/>
      <c r="DD50" s="33" t="str" cm="1">
        <f t="array" ref="DD50">_xlfn.IFS($D50="","",AND(DB50=$C50,DC50=$D50),3,($C50-$D50)/MAX(ABS($C50-$D50),1)=(DB50-DC50)/MAX(ABS(DB50-DC50),1),1,TRUE,0)</f>
        <v/>
      </c>
      <c r="DE50" s="18"/>
      <c r="DF50" s="19"/>
      <c r="DG50" s="33" t="str" cm="1">
        <f t="array" ref="DG50">_xlfn.IFS($D50="","",AND(DE50=$C50,DF50=$D50),3,($C50-$D50)/MAX(ABS($C50-$D50),1)=(DE50-DF50)/MAX(ABS(DE50-DF50),1),1,TRUE,0)</f>
        <v/>
      </c>
      <c r="DH50" s="18"/>
      <c r="DI50" s="19"/>
      <c r="DJ50" s="33" t="str" cm="1">
        <f t="array" ref="DJ50">_xlfn.IFS($D50="","",AND(DH50=$C50,DI50=$D50),3,($C50-$D50)/MAX(ABS($C50-$D50),1)=(DH50-DI50)/MAX(ABS(DH50-DI50),1),1,TRUE,0)</f>
        <v/>
      </c>
      <c r="DK50" s="18"/>
      <c r="DL50" s="19"/>
      <c r="DM50" s="33" t="str" cm="1">
        <f t="array" ref="DM50">_xlfn.IFS($D50="","",AND(DK50=$C50,DL50=$D50),3,($C50-$D50)/MAX(ABS($C50-$D50),1)=(DK50-DL50)/MAX(ABS(DK50-DL50),1),1,TRUE,0)</f>
        <v/>
      </c>
      <c r="DN50" s="18"/>
      <c r="DO50" s="19"/>
      <c r="DP50" s="33" t="str" cm="1">
        <f t="array" ref="DP50">_xlfn.IFS($D50="","",AND(DN50=$C50,DO50=$D50),3,($C50-$D50)/MAX(ABS($C50-$D50),1)=(DN50-DO50)/MAX(ABS(DN50-DO50),1),1,TRUE,0)</f>
        <v/>
      </c>
      <c r="DQ50" s="18"/>
      <c r="DR50" s="19"/>
      <c r="DS50" s="33" t="str" cm="1">
        <f t="array" ref="DS50">_xlfn.IFS($D50="","",AND(DQ50=$C50,DR50=$D50),3,($C50-$D50)/MAX(ABS($C50-$D50),1)=(DQ50-DR50)/MAX(ABS(DQ50-DR50),1),1,TRUE,0)</f>
        <v/>
      </c>
      <c r="DT50" s="18"/>
      <c r="DU50" s="19"/>
      <c r="DV50" s="33" t="str" cm="1">
        <f t="array" ref="DV50">_xlfn.IFS($D50="","",AND(DT50=$C50,DU50=$D50),3,($C50-$D50)/MAX(ABS($C50-$D50),1)=(DT50-DU50)/MAX(ABS(DT50-DU50),1),1,TRUE,0)</f>
        <v/>
      </c>
      <c r="DW50" s="18"/>
      <c r="DX50" s="19"/>
      <c r="DY50" s="33" t="str" cm="1">
        <f t="array" ref="DY50">_xlfn.IFS($D50="","",AND(DW50=$C50,DX50=$D50),3,($C50-$D50)/MAX(ABS($C50-$D50),1)=(DW50-DX50)/MAX(ABS(DW50-DX50),1),1,TRUE,0)</f>
        <v/>
      </c>
      <c r="DZ50" s="18"/>
      <c r="EA50" s="19"/>
      <c r="EB50" s="33" t="str" cm="1">
        <f t="array" ref="EB50">_xlfn.IFS($D50="","",AND(DZ50=$C50,EA50=$D50),3,($C50-$D50)/MAX(ABS($C50-$D50),1)=(DZ50-EA50)/MAX(ABS(DZ50-EA50),1),1,TRUE,0)</f>
        <v/>
      </c>
      <c r="EC50" s="18"/>
      <c r="ED50" s="19"/>
      <c r="EE50" s="33" t="str" cm="1">
        <f t="array" ref="EE50">_xlfn.IFS($D50="","",AND(EC50=$C50,ED50=$D50),3,($C50-$D50)/MAX(ABS($C50-$D50),1)=(EC50-ED50)/MAX(ABS(EC50-ED50),1),1,TRUE,0)</f>
        <v/>
      </c>
      <c r="EF50" s="18"/>
      <c r="EG50" s="19"/>
      <c r="EH50" s="33" t="str" cm="1">
        <f t="array" ref="EH50">_xlfn.IFS($D50="","",AND(EF50=$C50,EG50=$D50),3,($C50-$D50)/MAX(ABS($C50-$D50),1)=(EF50-EG50)/MAX(ABS(EF50-EG50),1),1,TRUE,0)</f>
        <v/>
      </c>
      <c r="EI50" s="50"/>
      <c r="EJ50" s="51"/>
      <c r="EK50" s="33" t="str" cm="1">
        <f t="array" ref="EK50">_xlfn.IFS($D50="","",AND(EI50=$C50,EJ50=$D50),3,($C50-$D50)/MAX(ABS($C50-$D50),1)=(EI50-EJ50)/MAX(ABS(EI50-EJ50),1),1,TRUE,0)</f>
        <v/>
      </c>
      <c r="EL50" s="18"/>
      <c r="EM50" s="19"/>
      <c r="EN50" s="33" t="str" cm="1">
        <f t="array" ref="EN50">_xlfn.IFS($D50="","",AND(EL50=$C50,EM50=$D50),3,($C50-$D50)/MAX(ABS($C50-$D50),1)=(EL50-EM50)/MAX(ABS(EL50-EM50),1),1,TRUE,0)</f>
        <v/>
      </c>
      <c r="EO50" s="18"/>
      <c r="EP50" s="19"/>
      <c r="EQ50" s="33" t="str" cm="1">
        <f t="array" ref="EQ50">_xlfn.IFS($D50="","",AND(EO50=$C50,EP50=$D50),3,($C50-$D50)/MAX(ABS($C50-$D50),1)=(EO50-EP50)/MAX(ABS(EO50-EP50),1),1,TRUE,0)</f>
        <v/>
      </c>
      <c r="ER50" s="18"/>
      <c r="ES50" s="19"/>
      <c r="ET50" s="33" t="str" cm="1">
        <f t="array" ref="ET50">_xlfn.IFS($D50="","",AND(ER50=$C50,ES50=$D50),3,($C50-$D50)/MAX(ABS($C50-$D50),1)=(ER50-ES50)/MAX(ABS(ER50-ES50),1),1,TRUE,0)</f>
        <v/>
      </c>
      <c r="EU50" s="18"/>
      <c r="EV50" s="19"/>
      <c r="EW50" s="33" t="str" cm="1">
        <f t="array" ref="EW50">_xlfn.IFS($D50="","",AND(EU50=$C50,EV50=$D50),3,($C50-$D50)/MAX(ABS($C50-$D50),1)=(EU50-EV50)/MAX(ABS(EU50-EV50),1),1,TRUE,0)</f>
        <v/>
      </c>
      <c r="EX50" s="18"/>
      <c r="EY50" s="19"/>
      <c r="EZ50" s="33" t="str" cm="1">
        <f t="array" ref="EZ50">_xlfn.IFS($D50="","",AND(EX50=$C50,EY50=$D50),3,($C50-$D50)/MAX(ABS($C50-$D50),1)=(EX50-EY50)/MAX(ABS(EX50-EY50),1),1,TRUE,0)</f>
        <v/>
      </c>
      <c r="FA50" s="18"/>
      <c r="FB50" s="19"/>
      <c r="FC50" s="33" t="str" cm="1">
        <f t="array" ref="FC50">_xlfn.IFS($D50="","",AND(FA50=$C50,FB50=$D50),3,($C50-$D50)/MAX(ABS($C50-$D50),1)=(FA50-FB50)/MAX(ABS(FA50-FB50),1),1,TRUE,0)</f>
        <v/>
      </c>
      <c r="FD50" s="18"/>
      <c r="FE50" s="19"/>
      <c r="FF50" s="33" t="str" cm="1">
        <f t="array" ref="FF50">_xlfn.IFS($D50="","",AND(FD50=$C50,FE50=$D50),3,($C50-$D50)/MAX(ABS($C50-$D50),1)=(FD50-FE50)/MAX(ABS(FD50-FE50),1),1,TRUE,0)</f>
        <v/>
      </c>
      <c r="FG50" s="18"/>
      <c r="FH50" s="19"/>
      <c r="FI50" s="33" t="str" cm="1">
        <f t="array" ref="FI50">_xlfn.IFS($D50="","",AND(FG50=$C50,FH50=$D50),3,($C50-$D50)/MAX(ABS($C50-$D50),1)=(FG50-FH50)/MAX(ABS(FG50-FH50),1),1,TRUE,0)</f>
        <v/>
      </c>
      <c r="FJ50" s="18"/>
      <c r="FK50" s="19"/>
      <c r="FL50" s="33" t="str" cm="1">
        <f t="array" ref="FL50">_xlfn.IFS($D50="","",AND(FJ50=$C50,FK50=$D50),3,($C50-$D50)/MAX(ABS($C50-$D50),1)=(FJ50-FK50)/MAX(ABS(FJ50-FK50),1),1,TRUE,0)</f>
        <v/>
      </c>
      <c r="FM50" s="18"/>
      <c r="FN50" s="19"/>
      <c r="FO50" s="33" t="str" cm="1">
        <f t="array" ref="FO50">_xlfn.IFS($D50="","",AND(FM50=$C50,FN50=$D50),3,($C50-$D50)/MAX(ABS($C50-$D50),1)=(FM50-FN50)/MAX(ABS(FM50-FN50),1),1,TRUE,0)</f>
        <v/>
      </c>
      <c r="FP50" s="18"/>
      <c r="FQ50" s="19"/>
      <c r="FR50" s="33" t="str" cm="1">
        <f t="array" ref="FR50">_xlfn.IFS($D50="","",AND(FP50=$C50,FQ50=$D50),3,($C50-$D50)/MAX(ABS($C50-$D50),1)=(FP50-FQ50)/MAX(ABS(FP50-FQ50),1),1,TRUE,0)</f>
        <v/>
      </c>
      <c r="FS50" s="18"/>
      <c r="FT50" s="19"/>
      <c r="FU50" s="33" t="str" cm="1">
        <f t="array" ref="FU50">_xlfn.IFS($D50="","",AND(FS50=$C50,FT50=$D50),3,($C50-$D50)/MAX(ABS($C50-$D50),1)=(FS50-FT50)/MAX(ABS(FS50-FT50),1),1,TRUE,0)</f>
        <v/>
      </c>
      <c r="FV50" s="18"/>
      <c r="FW50" s="19"/>
      <c r="FX50" s="33" t="str" cm="1">
        <f t="array" ref="FX50">_xlfn.IFS($D50="","",AND(FV50=$C50,FW50=$D50),3,($C50-$D50)/MAX(ABS($C50-$D50),1)=(FV50-FW50)/MAX(ABS(FV50-FW50),1),1,TRUE,0)</f>
        <v/>
      </c>
      <c r="FY50" s="18"/>
      <c r="FZ50" s="19"/>
      <c r="GA50" s="33" t="str" cm="1">
        <f t="array" ref="GA50">_xlfn.IFS($D50="","",AND(FY50=$C50,FZ50=$D50),3,($C50-$D50)/MAX(ABS($C50-$D50),1)=(FY50-FZ50)/MAX(ABS(FY50-FZ50),1),1,TRUE,0)</f>
        <v/>
      </c>
      <c r="GB50" s="18"/>
      <c r="GC50" s="19"/>
      <c r="GD50" s="33" t="str" cm="1">
        <f t="array" ref="GD50">_xlfn.IFS($D50="","",AND(GB50=$C50,GC50=$D50),3,($C50-$D50)/MAX(ABS($C50-$D50),1)=(GB50-GC50)/MAX(ABS(GB50-GC50),1),1,TRUE,0)</f>
        <v/>
      </c>
      <c r="GE50" s="52"/>
      <c r="GF50" s="19"/>
      <c r="GG50" s="33" t="str" cm="1">
        <f t="array" ref="GG50">_xlfn.IFS($D50="","",AND(GE50=$C50,GF50=$D50),3,($C50-$D50)/MAX(ABS($C50-$D50),1)=(GE50-GF50)/MAX(ABS(GE50-GF50),1),1,TRUE,0)</f>
        <v/>
      </c>
      <c r="GH50" s="18"/>
      <c r="GI50" s="19"/>
      <c r="GJ50" s="33" t="str" cm="1">
        <f t="array" ref="GJ50">_xlfn.IFS($D50="","",AND(GH50=$C50,GI50=$D50),3,($C50-$D50)/MAX(ABS($C50-$D50),1)=(GH50-GI50)/MAX(ABS(GH50-GI50),1),1,TRUE,0)</f>
        <v/>
      </c>
      <c r="GK50" s="18"/>
      <c r="GL50" s="19"/>
      <c r="GM50" s="33" t="str" cm="1">
        <f t="array" ref="GM50">_xlfn.IFS($D50="","",AND(GK50=$C50,GL50=$D50),3,($C50-$D50)/MAX(ABS($C50-$D50),1)=(GK50-GL50)/MAX(ABS(GK50-GL50),1),1,TRUE,0)</f>
        <v/>
      </c>
      <c r="GN50" s="18"/>
      <c r="GO50" s="19"/>
      <c r="GP50" s="33" t="str" cm="1">
        <f t="array" ref="GP50">_xlfn.IFS($D50="","",AND(GN50=$C50,GO50=$D50),3,($C50-$D50)/MAX(ABS($C50-$D50),1)=(GN50-GO50)/MAX(ABS(GN50-GO50),1),1,TRUE,0)</f>
        <v/>
      </c>
      <c r="GQ50" s="18"/>
      <c r="GR50" s="19"/>
      <c r="GS50" s="33" t="str" cm="1">
        <f t="array" ref="GS50">_xlfn.IFS($D50="","",AND(GQ50=$C50,GR50=$D50),3,($C50-$D50)/MAX(ABS($C50-$D50),1)=(GQ50-GR50)/MAX(ABS(GQ50-GR50),1),1,TRUE,0)</f>
        <v/>
      </c>
      <c r="GT50" s="18"/>
      <c r="GU50" s="19"/>
      <c r="GV50" s="33" t="str" cm="1">
        <f t="array" ref="GV50">_xlfn.IFS($D50="","",AND(GT50=$C50,GU50=$D50),3,($C50-$D50)/MAX(ABS($C50-$D50),1)=(GT50-GU50)/MAX(ABS(GT50-GU50),1),1,TRUE,0)</f>
        <v/>
      </c>
      <c r="GW50" s="18"/>
      <c r="GX50" s="19"/>
      <c r="GY50" s="33" t="str" cm="1">
        <f t="array" ref="GY50">_xlfn.IFS($D50="","",AND(GW50=$C50,GX50=$D50),3,($C50-$D50)/MAX(ABS($C50-$D50),1)=(GW50-GX50)/MAX(ABS(GW50-GX50),1),1,TRUE,0)</f>
        <v/>
      </c>
      <c r="GZ50" s="18"/>
      <c r="HA50" s="19"/>
      <c r="HB50" s="33" t="str" cm="1">
        <f t="array" ref="HB50">_xlfn.IFS($D50="","",AND(GZ50=$C50,HA50=$D50),3,($C50-$D50)/MAX(ABS($C50-$D50),1)=(GZ50-HA50)/MAX(ABS(GZ50-HA50),1),1,TRUE,0)</f>
        <v/>
      </c>
      <c r="HC50" s="18"/>
      <c r="HD50" s="19"/>
      <c r="HE50" s="33" t="str" cm="1">
        <f t="array" ref="HE50">_xlfn.IFS($D50="","",AND(HC50=$C50,HD50=$D50),3,($C50-$D50)/MAX(ABS($C50-$D50),1)=(HC50-HD50)/MAX(ABS(HC50-HD50),1),1,TRUE,0)</f>
        <v/>
      </c>
      <c r="HF50" s="18"/>
      <c r="HG50" s="19"/>
      <c r="HH50" s="33" t="str" cm="1">
        <f t="array" ref="HH50">_xlfn.IFS($D50="","",AND(HF50=$C50,HG50=$D50),3,($C50-$D50)/MAX(ABS($C50-$D50),1)=(HF50-HG50)/MAX(ABS(HF50-HG50),1),1,TRUE,0)</f>
        <v/>
      </c>
      <c r="HI50" s="18"/>
      <c r="HJ50" s="19"/>
      <c r="HK50" s="33" t="str" cm="1">
        <f t="array" ref="HK50">_xlfn.IFS($D50="","",AND(HI50=$C50,HJ50=$D50),3,($C50-$D50)/MAX(ABS($C50-$D50),1)=(HI50-HJ50)/MAX(ABS(HI50-HJ50),1),1,TRUE,0)</f>
        <v/>
      </c>
      <c r="HL50" s="18"/>
      <c r="HM50" s="19"/>
      <c r="HN50" s="33" t="str" cm="1">
        <f t="array" ref="HN50">_xlfn.IFS($D50="","",AND(HL50=$C50,HM50=$D50),3,($C50-$D50)/MAX(ABS($C50-$D50),1)=(HL50-HM50)/MAX(ABS(HL50-HM50),1),1,TRUE,0)</f>
        <v/>
      </c>
      <c r="HO50" s="18"/>
      <c r="HP50" s="19"/>
      <c r="HQ50" s="33" t="str" cm="1">
        <f t="array" ref="HQ50">_xlfn.IFS($D50="","",AND(HO50=$C50,HP50=$D50),3,($C50-$D50)/MAX(ABS($C50-$D50),1)=(HO50-HP50)/MAX(ABS(HO50-HP50),1),1,TRUE,0)</f>
        <v/>
      </c>
      <c r="HR50" s="18"/>
      <c r="HS50" s="19"/>
      <c r="HT50" s="33" t="str" cm="1">
        <f t="array" ref="HT50">_xlfn.IFS($D50="","",AND(HR50=$C50,HS50=$D50),3,($C50-$D50)/MAX(ABS($C50-$D50),1)=(HR50-HS50)/MAX(ABS(HR50-HS50),1),1,TRUE,0)</f>
        <v/>
      </c>
      <c r="HU50" s="18"/>
      <c r="HV50" s="19"/>
      <c r="HW50" s="33" t="str" cm="1">
        <f t="array" ref="HW50">_xlfn.IFS($D50="","",AND(HU50=$C50,HV50=$D50),3,($C50-$D50)/MAX(ABS($C50-$D50),1)=(HU50-HV50)/MAX(ABS(HU50-HV50),1),1,TRUE,0)</f>
        <v/>
      </c>
      <c r="HX50" s="18"/>
      <c r="HY50" s="19"/>
      <c r="HZ50" s="33" t="str" cm="1">
        <f t="array" ref="HZ50">_xlfn.IFS($D50="","",AND(HX50=$C50,HY50=$D50),3,($C50-$D50)/MAX(ABS($C50-$D50),1)=(HX50-HY50)/MAX(ABS(HX50-HY50),1),1,TRUE,0)</f>
        <v/>
      </c>
      <c r="IA50" s="18"/>
      <c r="IB50" s="19"/>
      <c r="IC50" s="33" t="str" cm="1">
        <f t="array" ref="IC50">_xlfn.IFS($D50="","",AND(IA50=$C50,IB50=$D50),3,($C50-$D50)/MAX(ABS($C50-$D50),1)=(IA50-IB50)/MAX(ABS(IA50-IB50),1),1,TRUE,0)</f>
        <v/>
      </c>
      <c r="ID50" s="18"/>
      <c r="IE50" s="19"/>
      <c r="IF50" s="33" t="str" cm="1">
        <f t="array" ref="IF50">_xlfn.IFS($D50="","",AND(ID50=$C50,IE50=$D50),3,($C50-$D50)/MAX(ABS($C50-$D50),1)=(ID50-IE50)/MAX(ABS(ID50-IE50),1),1,TRUE,0)</f>
        <v/>
      </c>
      <c r="IG50" s="18"/>
      <c r="IH50" s="19"/>
      <c r="II50" s="33" t="str" cm="1">
        <f t="array" ref="II50">_xlfn.IFS($D50="","",AND(IG50=$C50,IH50=$D50),3,($C50-$D50)/MAX(ABS($C50-$D50),1)=(IG50-IH50)/MAX(ABS(IG50-IH50),1),1,TRUE,0)</f>
        <v/>
      </c>
      <c r="IJ50" s="18"/>
      <c r="IK50" s="19"/>
      <c r="IL50" s="33" t="str" cm="1">
        <f t="array" ref="IL50">_xlfn.IFS($D50="","",AND(IJ50=$C50,IK50=$D50),3,($C50-$D50)/MAX(ABS($C50-$D50),1)=(IJ50-IK50)/MAX(ABS(IJ50-IK50),1),1,TRUE,0)</f>
        <v/>
      </c>
      <c r="IM50" s="18"/>
      <c r="IN50" s="19"/>
      <c r="IO50" s="33" t="str" cm="1">
        <f t="array" ref="IO50">_xlfn.IFS($D50="","",AND(IM50=$C50,IN50=$D50),3,($C50-$D50)/MAX(ABS($C50-$D50),1)=(IM50-IN50)/MAX(ABS(IM50-IN50),1),1,TRUE,0)</f>
        <v/>
      </c>
      <c r="IP50" s="18"/>
      <c r="IQ50" s="19"/>
      <c r="IR50" s="33" t="str" cm="1">
        <f t="array" ref="IR50">_xlfn.IFS($D50="","",AND(IP50=$C50,IQ50=$D50),3,($C50-$D50)/MAX(ABS($C50-$D50),1)=(IP50-IQ50)/MAX(ABS(IP50-IQ50),1),1,TRUE,0)</f>
        <v/>
      </c>
      <c r="IS50" s="18"/>
      <c r="IT50" s="19"/>
      <c r="IU50" s="33" t="str" cm="1">
        <f t="array" ref="IU50">_xlfn.IFS($D50="","",AND(IS50=$C50,IT50=$D50),3,($C50-$D50)/MAX(ABS($C50-$D50),1)=(IS50-IT50)/MAX(ABS(IS50-IT50),1),1,TRUE,0)</f>
        <v/>
      </c>
      <c r="IV50" s="18"/>
      <c r="IW50" s="19"/>
      <c r="IX50" s="33" t="str" cm="1">
        <f t="array" ref="IX50">_xlfn.IFS($D50="","",AND(IV50=$C50,IW50=$D50),3,($C50-$D50)/MAX(ABS($C50-$D50),1)=(IV50-IW50)/MAX(ABS(IV50-IW50),1),1,TRUE,0)</f>
        <v/>
      </c>
      <c r="IY50" s="18"/>
      <c r="IZ50" s="19"/>
      <c r="JA50" s="33" t="str" cm="1">
        <f t="array" ref="JA50">_xlfn.IFS($D50="","",AND(IY50=$C50,IZ50=$D50),3,($C50-$D50)/MAX(ABS($C50-$D50),1)=(IY50-IZ50)/MAX(ABS(IY50-IZ50),1),1,TRUE,0)</f>
        <v/>
      </c>
      <c r="JB50" s="18"/>
      <c r="JC50" s="19"/>
      <c r="JD50" s="33" t="str" cm="1">
        <f t="array" ref="JD50">_xlfn.IFS($D50="","",AND(JB50=$C50,JC50=$D50),3,($C50-$D50)/MAX(ABS($C50-$D50),1)=(JB50-JC50)/MAX(ABS(JB50-JC50),1),1,TRUE,0)</f>
        <v/>
      </c>
    </row>
    <row r="51" spans="1:264" ht="15" thickBot="1" x14ac:dyDescent="0.35">
      <c r="A51" s="22">
        <v>46197</v>
      </c>
      <c r="B51" s="28" t="s">
        <v>16</v>
      </c>
      <c r="C51" s="53" t="str" cm="1">
        <f t="array" ref="C51">_xlfn.LET(
_xlpm.x,_xlfn.XLOOKUP(1,(Scores_Fixtures[Date]=A51)*(Scores_Fixtures[Home.1]=B51),Scores_Fixtures[Score.1],""),
IF(_xlpm.x="","",_xlpm.x)
)</f>
        <v/>
      </c>
      <c r="D51" s="53" t="str" cm="1">
        <f t="array" ref="D51">_xlfn.LET(
_xlpm.x,_xlfn.XLOOKUP(1,(Scores_Fixtures[Date]=A51)*(Scores_Fixtures[Home.1]=B51),Scores_Fixtures[Score.2],""),
IF(_xlpm.x="","",_xlpm.x)
)</f>
        <v/>
      </c>
      <c r="E51" s="12" t="s">
        <v>36</v>
      </c>
      <c r="F51" s="15"/>
      <c r="G51" s="53"/>
      <c r="H51" s="53"/>
      <c r="I51" s="33" t="str" cm="1">
        <f t="array" ref="I51">_xlfn.IFS($D51="","",AND(G51=$C51,H51=$D51),3,($C51-$D51)/MAX(ABS($C51-$D51),1)=(G51-H51)/MAX(ABS(G51-H51),1),1,TRUE,0)</f>
        <v/>
      </c>
      <c r="J51" s="18"/>
      <c r="K51" s="19"/>
      <c r="L51" s="33" t="str" cm="1">
        <f t="array" ref="L51">_xlfn.IFS($D51="","",AND(J51=$C51,K51=$D51),3,($C51-$D51)/MAX(ABS($C51-$D51),1)=(J51-K51)/MAX(ABS(J51-K51),1),1,TRUE,0)</f>
        <v/>
      </c>
      <c r="M51" s="18"/>
      <c r="N51" s="19"/>
      <c r="O51" s="33" t="str" cm="1">
        <f t="array" ref="O51">_xlfn.IFS($D51="","",AND(M51=$C51,N51=$D51),3,($C51-$D51)/MAX(ABS($C51-$D51),1)=(M51-N51)/MAX(ABS(M51-N51),1),1,TRUE,0)</f>
        <v/>
      </c>
      <c r="P51" s="18"/>
      <c r="Q51" s="19"/>
      <c r="R51" s="33" t="str" cm="1">
        <f t="array" ref="R51">_xlfn.IFS($D51="","",AND(P51=$C51,Q51=$D51),3,($C51-$D51)/MAX(ABS($C51-$D51),1)=(P51-Q51)/MAX(ABS(P51-Q51),1),1,TRUE,0)</f>
        <v/>
      </c>
      <c r="S51" s="18"/>
      <c r="T51" s="19"/>
      <c r="U51" s="33" t="str" cm="1">
        <f t="array" ref="U51">_xlfn.IFS($D51="","",AND(S51=$C51,T51=$D51),3,($C51-$D51)/MAX(ABS($C51-$D51),1)=(S51-T51)/MAX(ABS(S51-T51),1),1,TRUE,0)</f>
        <v/>
      </c>
      <c r="V51" s="18"/>
      <c r="W51" s="19"/>
      <c r="X51" s="33" t="str" cm="1">
        <f t="array" ref="X51">_xlfn.IFS($D51="","",AND(V51=$C51,W51=$D51),3,($C51-$D51)/MAX(ABS($C51-$D51),1)=(V51-W51)/MAX(ABS(V51-W51),1),1,TRUE,0)</f>
        <v/>
      </c>
      <c r="Y51" s="18"/>
      <c r="Z51" s="19"/>
      <c r="AA51" s="33" t="str" cm="1">
        <f t="array" ref="AA51">_xlfn.IFS($D51="","",AND(Y51=$C51,Z51=$D51),3,($C51-$D51)/MAX(ABS($C51-$D51),1)=(Y51-Z51)/MAX(ABS(Y51-Z51),1),1,TRUE,0)</f>
        <v/>
      </c>
      <c r="AB51" s="18"/>
      <c r="AC51" s="19"/>
      <c r="AD51" s="33" t="str" cm="1">
        <f t="array" ref="AD51">_xlfn.IFS($D51="","",AND(AB51=$C51,AC51=$D51),3,($C51-$D51)/MAX(ABS($C51-$D51),1)=(AB51-AC51)/MAX(ABS(AB51-AC51),1),1,TRUE,0)</f>
        <v/>
      </c>
      <c r="AE51" s="18"/>
      <c r="AF51" s="19"/>
      <c r="AG51" s="33" t="str" cm="1">
        <f t="array" ref="AG51">_xlfn.IFS($D51="","",AND(AE51=$C51,AF51=$D51),3,($C51-$D51)/MAX(ABS($C51-$D51),1)=(AE51-AF51)/MAX(ABS(AE51-AF51),1),1,TRUE,0)</f>
        <v/>
      </c>
      <c r="AH51" s="18"/>
      <c r="AI51" s="19"/>
      <c r="AJ51" s="33" t="str" cm="1">
        <f t="array" ref="AJ51">_xlfn.IFS($D51="","",AND(AH51=$C51,AI51=$D51),3,($C51-$D51)/MAX(ABS($C51-$D51),1)=(AH51-AI51)/MAX(ABS(AH51-AI51),1),1,TRUE,0)</f>
        <v/>
      </c>
      <c r="AK51" s="18"/>
      <c r="AL51" s="19"/>
      <c r="AM51" s="33" t="str" cm="1">
        <f t="array" ref="AM51">_xlfn.IFS($D51="","",AND(AK51=$C51,AL51=$D51),3,($C51-$D51)/MAX(ABS($C51-$D51),1)=(AK51-AL51)/MAX(ABS(AK51-AL51),1),1,TRUE,0)</f>
        <v/>
      </c>
      <c r="AN51" s="18"/>
      <c r="AO51" s="19"/>
      <c r="AP51" s="33" t="str" cm="1">
        <f t="array" ref="AP51">_xlfn.IFS($D51="","",AND(AN51=$C51,AO51=$D51),3,($C51-$D51)/MAX(ABS($C51-$D51),1)=(AN51-AO51)/MAX(ABS(AN51-AO51),1),1,TRUE,0)</f>
        <v/>
      </c>
      <c r="AQ51" s="18"/>
      <c r="AR51" s="19"/>
      <c r="AS51" s="33" t="str" cm="1">
        <f t="array" ref="AS51">_xlfn.IFS($D51="","",AND(AQ51=$C51,AR51=$D51),3,($C51-$D51)/MAX(ABS($C51-$D51),1)=(AQ51-AR51)/MAX(ABS(AQ51-AR51),1),1,TRUE,0)</f>
        <v/>
      </c>
      <c r="AT51" s="18"/>
      <c r="AU51" s="19"/>
      <c r="AV51" s="33" t="str" cm="1">
        <f t="array" ref="AV51">_xlfn.IFS($D51="","",AND(AT51=$C51,AU51=$D51),3,($C51-$D51)/MAX(ABS($C51-$D51),1)=(AT51-AU51)/MAX(ABS(AT51-AU51),1),1,TRUE,0)</f>
        <v/>
      </c>
      <c r="AW51" s="18"/>
      <c r="AX51" s="19"/>
      <c r="AY51" s="33" t="str" cm="1">
        <f t="array" ref="AY51">_xlfn.IFS($D51="","",AND(AW51=$C51,AX51=$D51),3,($C51-$D51)/MAX(ABS($C51-$D51),1)=(AW51-AX51)/MAX(ABS(AW51-AX51),1),1,TRUE,0)</f>
        <v/>
      </c>
      <c r="AZ51" s="18"/>
      <c r="BA51" s="19"/>
      <c r="BB51" s="33" t="str" cm="1">
        <f t="array" ref="BB51">_xlfn.IFS($D51="","",AND(AZ51=$C51,BA51=$D51),3,($C51-$D51)/MAX(ABS($C51-$D51),1)=(AZ51-BA51)/MAX(ABS(AZ51-BA51),1),1,TRUE,0)</f>
        <v/>
      </c>
      <c r="BC51" s="18"/>
      <c r="BD51" s="19"/>
      <c r="BE51" s="33" t="str" cm="1">
        <f t="array" ref="BE51">_xlfn.IFS($D51="","",AND(BC51=$C51,BD51=$D51),3,($C51-$D51)/MAX(ABS($C51-$D51),1)=(BC51-BD51)/MAX(ABS(BC51-BD51),1),1,TRUE,0)</f>
        <v/>
      </c>
      <c r="BF51" s="18"/>
      <c r="BG51" s="19"/>
      <c r="BH51" s="33" t="str" cm="1">
        <f t="array" ref="BH51">_xlfn.IFS($D51="","",AND(BF51=$C51,BG51=$D51),3,($C51-$D51)/MAX(ABS($C51-$D51),1)=(BF51-BG51)/MAX(ABS(BF51-BG51),1),1,TRUE,0)</f>
        <v/>
      </c>
      <c r="BI51" s="18"/>
      <c r="BJ51" s="19"/>
      <c r="BK51" s="33" t="str" cm="1">
        <f t="array" ref="BK51">_xlfn.IFS($D51="","",AND(BI51=$C51,BJ51=$D51),3,($C51-$D51)/MAX(ABS($C51-$D51),1)=(BI51-BJ51)/MAX(ABS(BI51-BJ51),1),1,TRUE,0)</f>
        <v/>
      </c>
      <c r="BL51" s="18"/>
      <c r="BM51" s="19"/>
      <c r="BN51" s="33" t="str" cm="1">
        <f t="array" ref="BN51">_xlfn.IFS($D51="","",AND(BL51=$C51,BM51=$D51),3,($C51-$D51)/MAX(ABS($C51-$D51),1)=(BL51-BM51)/MAX(ABS(BL51-BM51),1),1,TRUE,0)</f>
        <v/>
      </c>
      <c r="BO51" s="18"/>
      <c r="BP51" s="19"/>
      <c r="BQ51" s="33" t="str" cm="1">
        <f t="array" ref="BQ51">_xlfn.IFS($D51="","",AND(BO51=$C51,BP51=$D51),3,($C51-$D51)/MAX(ABS($C51-$D51),1)=(BO51-BP51)/MAX(ABS(BO51-BP51),1),1,TRUE,0)</f>
        <v/>
      </c>
      <c r="BR51" s="18"/>
      <c r="BS51" s="19"/>
      <c r="BT51" s="33" t="str" cm="1">
        <f t="array" ref="BT51">_xlfn.IFS($D51="","",AND(BR51=$C51,BS51=$D51),3,($C51-$D51)/MAX(ABS($C51-$D51),1)=(BR51-BS51)/MAX(ABS(BR51-BS51),1),1,TRUE,0)</f>
        <v/>
      </c>
      <c r="BU51" s="18"/>
      <c r="BV51" s="19"/>
      <c r="BW51" s="33" t="str" cm="1">
        <f t="array" ref="BW51">_xlfn.IFS($D51="","",AND(BU51=$C51,BV51=$D51),3,($C51-$D51)/MAX(ABS($C51-$D51),1)=(BU51-BV51)/MAX(ABS(BU51-BV51),1),1,TRUE,0)</f>
        <v/>
      </c>
      <c r="BX51" s="18"/>
      <c r="BY51" s="19"/>
      <c r="BZ51" s="33" t="str" cm="1">
        <f t="array" ref="BZ51">_xlfn.IFS($D51="","",AND(BX51=$C51,BY51=$D51),3,($C51-$D51)/MAX(ABS($C51-$D51),1)=(BX51-BY51)/MAX(ABS(BX51-BY51),1),1,TRUE,0)</f>
        <v/>
      </c>
      <c r="CA51" s="18"/>
      <c r="CB51" s="19"/>
      <c r="CC51" s="33" t="str" cm="1">
        <f t="array" ref="CC51">_xlfn.IFS($D51="","",AND(CA51=$C51,CB51=$D51),3,($C51-$D51)/MAX(ABS($C51-$D51),1)=(CA51-CB51)/MAX(ABS(CA51-CB51),1),1,TRUE,0)</f>
        <v/>
      </c>
      <c r="CD51" s="18"/>
      <c r="CE51" s="19"/>
      <c r="CF51" s="33" t="str" cm="1">
        <f t="array" ref="CF51">_xlfn.IFS($D51="","",AND(CD51=$C51,CE51=$D51),3,($C51-$D51)/MAX(ABS($C51-$D51),1)=(CD51-CE51)/MAX(ABS(CD51-CE51),1),1,TRUE,0)</f>
        <v/>
      </c>
      <c r="CG51" s="18"/>
      <c r="CH51" s="19"/>
      <c r="CI51" s="33" t="str" cm="1">
        <f t="array" ref="CI51">_xlfn.IFS($D51="","",AND(CG51=$C51,CH51=$D51),3,($C51-$D51)/MAX(ABS($C51-$D51),1)=(CG51-CH51)/MAX(ABS(CG51-CH51),1),1,TRUE,0)</f>
        <v/>
      </c>
      <c r="CJ51" s="18"/>
      <c r="CK51" s="19"/>
      <c r="CL51" s="33" t="str" cm="1">
        <f t="array" ref="CL51">_xlfn.IFS($D51="","",AND(CJ51=$C51,CK51=$D51),3,($C51-$D51)/MAX(ABS($C51-$D51),1)=(CJ51-CK51)/MAX(ABS(CJ51-CK51),1),1,TRUE,0)</f>
        <v/>
      </c>
      <c r="CM51" s="18"/>
      <c r="CN51" s="19"/>
      <c r="CO51" s="33" t="str" cm="1">
        <f t="array" ref="CO51">_xlfn.IFS($D51="","",AND(CM51=$C51,CN51=$D51),3,($C51-$D51)/MAX(ABS($C51-$D51),1)=(CM51-CN51)/MAX(ABS(CM51-CN51),1),1,TRUE,0)</f>
        <v/>
      </c>
      <c r="CP51" s="18"/>
      <c r="CQ51" s="19"/>
      <c r="CR51" s="33" t="str" cm="1">
        <f t="array" ref="CR51">_xlfn.IFS($D51="","",AND(CP51=$C51,CQ51=$D51),3,($C51-$D51)/MAX(ABS($C51-$D51),1)=(CP51-CQ51)/MAX(ABS(CP51-CQ51),1),1,TRUE,0)</f>
        <v/>
      </c>
      <c r="CS51" s="18"/>
      <c r="CT51" s="19"/>
      <c r="CU51" s="33" t="str" cm="1">
        <f t="array" ref="CU51">_xlfn.IFS($D51="","",AND(CS51=$C51,CT51=$D51),3,($C51-$D51)/MAX(ABS($C51-$D51),1)=(CS51-CT51)/MAX(ABS(CS51-CT51),1),1,TRUE,0)</f>
        <v/>
      </c>
      <c r="CV51" s="18"/>
      <c r="CW51" s="19"/>
      <c r="CX51" s="33" t="str" cm="1">
        <f t="array" ref="CX51">_xlfn.IFS($D51="","",AND(CV51=$C51,CW51=$D51),3,($C51-$D51)/MAX(ABS($C51-$D51),1)=(CV51-CW51)/MAX(ABS(CV51-CW51),1),1,TRUE,0)</f>
        <v/>
      </c>
      <c r="CY51" s="18"/>
      <c r="CZ51" s="19"/>
      <c r="DA51" s="33" t="str" cm="1">
        <f t="array" ref="DA51">_xlfn.IFS($D51="","",AND(CY51=$C51,CZ51=$D51),3,($C51-$D51)/MAX(ABS($C51-$D51),1)=(CY51-CZ51)/MAX(ABS(CY51-CZ51),1),1,TRUE,0)</f>
        <v/>
      </c>
      <c r="DB51" s="37"/>
      <c r="DC51" s="38"/>
      <c r="DD51" s="33" t="str" cm="1">
        <f t="array" ref="DD51">_xlfn.IFS($D51="","",AND(DB51=$C51,DC51=$D51),3,($C51-$D51)/MAX(ABS($C51-$D51),1)=(DB51-DC51)/MAX(ABS(DB51-DC51),1),1,TRUE,0)</f>
        <v/>
      </c>
      <c r="DE51" s="18"/>
      <c r="DF51" s="19"/>
      <c r="DG51" s="33" t="str" cm="1">
        <f t="array" ref="DG51">_xlfn.IFS($D51="","",AND(DE51=$C51,DF51=$D51),3,($C51-$D51)/MAX(ABS($C51-$D51),1)=(DE51-DF51)/MAX(ABS(DE51-DF51),1),1,TRUE,0)</f>
        <v/>
      </c>
      <c r="DH51" s="18"/>
      <c r="DI51" s="19"/>
      <c r="DJ51" s="33" t="str" cm="1">
        <f t="array" ref="DJ51">_xlfn.IFS($D51="","",AND(DH51=$C51,DI51=$D51),3,($C51-$D51)/MAX(ABS($C51-$D51),1)=(DH51-DI51)/MAX(ABS(DH51-DI51),1),1,TRUE,0)</f>
        <v/>
      </c>
      <c r="DK51" s="18"/>
      <c r="DL51" s="19"/>
      <c r="DM51" s="33" t="str" cm="1">
        <f t="array" ref="DM51">_xlfn.IFS($D51="","",AND(DK51=$C51,DL51=$D51),3,($C51-$D51)/MAX(ABS($C51-$D51),1)=(DK51-DL51)/MAX(ABS(DK51-DL51),1),1,TRUE,0)</f>
        <v/>
      </c>
      <c r="DN51" s="18"/>
      <c r="DO51" s="19"/>
      <c r="DP51" s="33" t="str" cm="1">
        <f t="array" ref="DP51">_xlfn.IFS($D51="","",AND(DN51=$C51,DO51=$D51),3,($C51-$D51)/MAX(ABS($C51-$D51),1)=(DN51-DO51)/MAX(ABS(DN51-DO51),1),1,TRUE,0)</f>
        <v/>
      </c>
      <c r="DQ51" s="18"/>
      <c r="DR51" s="19"/>
      <c r="DS51" s="33" t="str" cm="1">
        <f t="array" ref="DS51">_xlfn.IFS($D51="","",AND(DQ51=$C51,DR51=$D51),3,($C51-$D51)/MAX(ABS($C51-$D51),1)=(DQ51-DR51)/MAX(ABS(DQ51-DR51),1),1,TRUE,0)</f>
        <v/>
      </c>
      <c r="DT51" s="18"/>
      <c r="DU51" s="19"/>
      <c r="DV51" s="33" t="str" cm="1">
        <f t="array" ref="DV51">_xlfn.IFS($D51="","",AND(DT51=$C51,DU51=$D51),3,($C51-$D51)/MAX(ABS($C51-$D51),1)=(DT51-DU51)/MAX(ABS(DT51-DU51),1),1,TRUE,0)</f>
        <v/>
      </c>
      <c r="DW51" s="18"/>
      <c r="DX51" s="19"/>
      <c r="DY51" s="33" t="str" cm="1">
        <f t="array" ref="DY51">_xlfn.IFS($D51="","",AND(DW51=$C51,DX51=$D51),3,($C51-$D51)/MAX(ABS($C51-$D51),1)=(DW51-DX51)/MAX(ABS(DW51-DX51),1),1,TRUE,0)</f>
        <v/>
      </c>
      <c r="DZ51" s="18"/>
      <c r="EA51" s="19"/>
      <c r="EB51" s="33" t="str" cm="1">
        <f t="array" ref="EB51">_xlfn.IFS($D51="","",AND(DZ51=$C51,EA51=$D51),3,($C51-$D51)/MAX(ABS($C51-$D51),1)=(DZ51-EA51)/MAX(ABS(DZ51-EA51),1),1,TRUE,0)</f>
        <v/>
      </c>
      <c r="EC51" s="18"/>
      <c r="ED51" s="19"/>
      <c r="EE51" s="33" t="str" cm="1">
        <f t="array" ref="EE51">_xlfn.IFS($D51="","",AND(EC51=$C51,ED51=$D51),3,($C51-$D51)/MAX(ABS($C51-$D51),1)=(EC51-ED51)/MAX(ABS(EC51-ED51),1),1,TRUE,0)</f>
        <v/>
      </c>
      <c r="EF51" s="18"/>
      <c r="EG51" s="19"/>
      <c r="EH51" s="33" t="str" cm="1">
        <f t="array" ref="EH51">_xlfn.IFS($D51="","",AND(EF51=$C51,EG51=$D51),3,($C51-$D51)/MAX(ABS($C51-$D51),1)=(EF51-EG51)/MAX(ABS(EF51-EG51),1),1,TRUE,0)</f>
        <v/>
      </c>
      <c r="EI51" s="50"/>
      <c r="EJ51" s="51"/>
      <c r="EK51" s="33" t="str" cm="1">
        <f t="array" ref="EK51">_xlfn.IFS($D51="","",AND(EI51=$C51,EJ51=$D51),3,($C51-$D51)/MAX(ABS($C51-$D51),1)=(EI51-EJ51)/MAX(ABS(EI51-EJ51),1),1,TRUE,0)</f>
        <v/>
      </c>
      <c r="EL51" s="18"/>
      <c r="EM51" s="19"/>
      <c r="EN51" s="33" t="str" cm="1">
        <f t="array" ref="EN51">_xlfn.IFS($D51="","",AND(EL51=$C51,EM51=$D51),3,($C51-$D51)/MAX(ABS($C51-$D51),1)=(EL51-EM51)/MAX(ABS(EL51-EM51),1),1,TRUE,0)</f>
        <v/>
      </c>
      <c r="EO51" s="18"/>
      <c r="EP51" s="19"/>
      <c r="EQ51" s="33" t="str" cm="1">
        <f t="array" ref="EQ51">_xlfn.IFS($D51="","",AND(EO51=$C51,EP51=$D51),3,($C51-$D51)/MAX(ABS($C51-$D51),1)=(EO51-EP51)/MAX(ABS(EO51-EP51),1),1,TRUE,0)</f>
        <v/>
      </c>
      <c r="ER51" s="18"/>
      <c r="ES51" s="19"/>
      <c r="ET51" s="33" t="str" cm="1">
        <f t="array" ref="ET51">_xlfn.IFS($D51="","",AND(ER51=$C51,ES51=$D51),3,($C51-$D51)/MAX(ABS($C51-$D51),1)=(ER51-ES51)/MAX(ABS(ER51-ES51),1),1,TRUE,0)</f>
        <v/>
      </c>
      <c r="EU51" s="18"/>
      <c r="EV51" s="19"/>
      <c r="EW51" s="33" t="str" cm="1">
        <f t="array" ref="EW51">_xlfn.IFS($D51="","",AND(EU51=$C51,EV51=$D51),3,($C51-$D51)/MAX(ABS($C51-$D51),1)=(EU51-EV51)/MAX(ABS(EU51-EV51),1),1,TRUE,0)</f>
        <v/>
      </c>
      <c r="EX51" s="18"/>
      <c r="EY51" s="19"/>
      <c r="EZ51" s="33" t="str" cm="1">
        <f t="array" ref="EZ51">_xlfn.IFS($D51="","",AND(EX51=$C51,EY51=$D51),3,($C51-$D51)/MAX(ABS($C51-$D51),1)=(EX51-EY51)/MAX(ABS(EX51-EY51),1),1,TRUE,0)</f>
        <v/>
      </c>
      <c r="FA51" s="18"/>
      <c r="FB51" s="19"/>
      <c r="FC51" s="33" t="str" cm="1">
        <f t="array" ref="FC51">_xlfn.IFS($D51="","",AND(FA51=$C51,FB51=$D51),3,($C51-$D51)/MAX(ABS($C51-$D51),1)=(FA51-FB51)/MAX(ABS(FA51-FB51),1),1,TRUE,0)</f>
        <v/>
      </c>
      <c r="FD51" s="18"/>
      <c r="FE51" s="19"/>
      <c r="FF51" s="33" t="str" cm="1">
        <f t="array" ref="FF51">_xlfn.IFS($D51="","",AND(FD51=$C51,FE51=$D51),3,($C51-$D51)/MAX(ABS($C51-$D51),1)=(FD51-FE51)/MAX(ABS(FD51-FE51),1),1,TRUE,0)</f>
        <v/>
      </c>
      <c r="FG51" s="18"/>
      <c r="FH51" s="19"/>
      <c r="FI51" s="33" t="str" cm="1">
        <f t="array" ref="FI51">_xlfn.IFS($D51="","",AND(FG51=$C51,FH51=$D51),3,($C51-$D51)/MAX(ABS($C51-$D51),1)=(FG51-FH51)/MAX(ABS(FG51-FH51),1),1,TRUE,0)</f>
        <v/>
      </c>
      <c r="FJ51" s="18"/>
      <c r="FK51" s="19"/>
      <c r="FL51" s="33" t="str" cm="1">
        <f t="array" ref="FL51">_xlfn.IFS($D51="","",AND(FJ51=$C51,FK51=$D51),3,($C51-$D51)/MAX(ABS($C51-$D51),1)=(FJ51-FK51)/MAX(ABS(FJ51-FK51),1),1,TRUE,0)</f>
        <v/>
      </c>
      <c r="FM51" s="18"/>
      <c r="FN51" s="19"/>
      <c r="FO51" s="33" t="str" cm="1">
        <f t="array" ref="FO51">_xlfn.IFS($D51="","",AND(FM51=$C51,FN51=$D51),3,($C51-$D51)/MAX(ABS($C51-$D51),1)=(FM51-FN51)/MAX(ABS(FM51-FN51),1),1,TRUE,0)</f>
        <v/>
      </c>
      <c r="FP51" s="18"/>
      <c r="FQ51" s="19"/>
      <c r="FR51" s="33" t="str" cm="1">
        <f t="array" ref="FR51">_xlfn.IFS($D51="","",AND(FP51=$C51,FQ51=$D51),3,($C51-$D51)/MAX(ABS($C51-$D51),1)=(FP51-FQ51)/MAX(ABS(FP51-FQ51),1),1,TRUE,0)</f>
        <v/>
      </c>
      <c r="FS51" s="18"/>
      <c r="FT51" s="19"/>
      <c r="FU51" s="33" t="str" cm="1">
        <f t="array" ref="FU51">_xlfn.IFS($D51="","",AND(FS51=$C51,FT51=$D51),3,($C51-$D51)/MAX(ABS($C51-$D51),1)=(FS51-FT51)/MAX(ABS(FS51-FT51),1),1,TRUE,0)</f>
        <v/>
      </c>
      <c r="FV51" s="18"/>
      <c r="FW51" s="19"/>
      <c r="FX51" s="33" t="str" cm="1">
        <f t="array" ref="FX51">_xlfn.IFS($D51="","",AND(FV51=$C51,FW51=$D51),3,($C51-$D51)/MAX(ABS($C51-$D51),1)=(FV51-FW51)/MAX(ABS(FV51-FW51),1),1,TRUE,0)</f>
        <v/>
      </c>
      <c r="FY51" s="18"/>
      <c r="FZ51" s="19"/>
      <c r="GA51" s="33" t="str" cm="1">
        <f t="array" ref="GA51">_xlfn.IFS($D51="","",AND(FY51=$C51,FZ51=$D51),3,($C51-$D51)/MAX(ABS($C51-$D51),1)=(FY51-FZ51)/MAX(ABS(FY51-FZ51),1),1,TRUE,0)</f>
        <v/>
      </c>
      <c r="GB51" s="18"/>
      <c r="GC51" s="19"/>
      <c r="GD51" s="33" t="str" cm="1">
        <f t="array" ref="GD51">_xlfn.IFS($D51="","",AND(GB51=$C51,GC51=$D51),3,($C51-$D51)/MAX(ABS($C51-$D51),1)=(GB51-GC51)/MAX(ABS(GB51-GC51),1),1,TRUE,0)</f>
        <v/>
      </c>
      <c r="GE51" s="52"/>
      <c r="GF51" s="19"/>
      <c r="GG51" s="33" t="str" cm="1">
        <f t="array" ref="GG51">_xlfn.IFS($D51="","",AND(GE51=$C51,GF51=$D51),3,($C51-$D51)/MAX(ABS($C51-$D51),1)=(GE51-GF51)/MAX(ABS(GE51-GF51),1),1,TRUE,0)</f>
        <v/>
      </c>
      <c r="GH51" s="18"/>
      <c r="GI51" s="19"/>
      <c r="GJ51" s="33" t="str" cm="1">
        <f t="array" ref="GJ51">_xlfn.IFS($D51="","",AND(GH51=$C51,GI51=$D51),3,($C51-$D51)/MAX(ABS($C51-$D51),1)=(GH51-GI51)/MAX(ABS(GH51-GI51),1),1,TRUE,0)</f>
        <v/>
      </c>
      <c r="GK51" s="18"/>
      <c r="GL51" s="19"/>
      <c r="GM51" s="33" t="str" cm="1">
        <f t="array" ref="GM51">_xlfn.IFS($D51="","",AND(GK51=$C51,GL51=$D51),3,($C51-$D51)/MAX(ABS($C51-$D51),1)=(GK51-GL51)/MAX(ABS(GK51-GL51),1),1,TRUE,0)</f>
        <v/>
      </c>
      <c r="GN51" s="18"/>
      <c r="GO51" s="19"/>
      <c r="GP51" s="33" t="str" cm="1">
        <f t="array" ref="GP51">_xlfn.IFS($D51="","",AND(GN51=$C51,GO51=$D51),3,($C51-$D51)/MAX(ABS($C51-$D51),1)=(GN51-GO51)/MAX(ABS(GN51-GO51),1),1,TRUE,0)</f>
        <v/>
      </c>
      <c r="GQ51" s="18"/>
      <c r="GR51" s="19"/>
      <c r="GS51" s="33" t="str" cm="1">
        <f t="array" ref="GS51">_xlfn.IFS($D51="","",AND(GQ51=$C51,GR51=$D51),3,($C51-$D51)/MAX(ABS($C51-$D51),1)=(GQ51-GR51)/MAX(ABS(GQ51-GR51),1),1,TRUE,0)</f>
        <v/>
      </c>
      <c r="GT51" s="18"/>
      <c r="GU51" s="19"/>
      <c r="GV51" s="33" t="str" cm="1">
        <f t="array" ref="GV51">_xlfn.IFS($D51="","",AND(GT51=$C51,GU51=$D51),3,($C51-$D51)/MAX(ABS($C51-$D51),1)=(GT51-GU51)/MAX(ABS(GT51-GU51),1),1,TRUE,0)</f>
        <v/>
      </c>
      <c r="GW51" s="18"/>
      <c r="GX51" s="19"/>
      <c r="GY51" s="33" t="str" cm="1">
        <f t="array" ref="GY51">_xlfn.IFS($D51="","",AND(GW51=$C51,GX51=$D51),3,($C51-$D51)/MAX(ABS($C51-$D51),1)=(GW51-GX51)/MAX(ABS(GW51-GX51),1),1,TRUE,0)</f>
        <v/>
      </c>
      <c r="GZ51" s="18"/>
      <c r="HA51" s="19"/>
      <c r="HB51" s="33" t="str" cm="1">
        <f t="array" ref="HB51">_xlfn.IFS($D51="","",AND(GZ51=$C51,HA51=$D51),3,($C51-$D51)/MAX(ABS($C51-$D51),1)=(GZ51-HA51)/MAX(ABS(GZ51-HA51),1),1,TRUE,0)</f>
        <v/>
      </c>
      <c r="HC51" s="18"/>
      <c r="HD51" s="19"/>
      <c r="HE51" s="33" t="str" cm="1">
        <f t="array" ref="HE51">_xlfn.IFS($D51="","",AND(HC51=$C51,HD51=$D51),3,($C51-$D51)/MAX(ABS($C51-$D51),1)=(HC51-HD51)/MAX(ABS(HC51-HD51),1),1,TRUE,0)</f>
        <v/>
      </c>
      <c r="HF51" s="18"/>
      <c r="HG51" s="19"/>
      <c r="HH51" s="33" t="str" cm="1">
        <f t="array" ref="HH51">_xlfn.IFS($D51="","",AND(HF51=$C51,HG51=$D51),3,($C51-$D51)/MAX(ABS($C51-$D51),1)=(HF51-HG51)/MAX(ABS(HF51-HG51),1),1,TRUE,0)</f>
        <v/>
      </c>
      <c r="HI51" s="18"/>
      <c r="HJ51" s="19"/>
      <c r="HK51" s="33" t="str" cm="1">
        <f t="array" ref="HK51">_xlfn.IFS($D51="","",AND(HI51=$C51,HJ51=$D51),3,($C51-$D51)/MAX(ABS($C51-$D51),1)=(HI51-HJ51)/MAX(ABS(HI51-HJ51),1),1,TRUE,0)</f>
        <v/>
      </c>
      <c r="HL51" s="18"/>
      <c r="HM51" s="19"/>
      <c r="HN51" s="33" t="str" cm="1">
        <f t="array" ref="HN51">_xlfn.IFS($D51="","",AND(HL51=$C51,HM51=$D51),3,($C51-$D51)/MAX(ABS($C51-$D51),1)=(HL51-HM51)/MAX(ABS(HL51-HM51),1),1,TRUE,0)</f>
        <v/>
      </c>
      <c r="HO51" s="18"/>
      <c r="HP51" s="19"/>
      <c r="HQ51" s="33" t="str" cm="1">
        <f t="array" ref="HQ51">_xlfn.IFS($D51="","",AND(HO51=$C51,HP51=$D51),3,($C51-$D51)/MAX(ABS($C51-$D51),1)=(HO51-HP51)/MAX(ABS(HO51-HP51),1),1,TRUE,0)</f>
        <v/>
      </c>
      <c r="HR51" s="18"/>
      <c r="HS51" s="19"/>
      <c r="HT51" s="33" t="str" cm="1">
        <f t="array" ref="HT51">_xlfn.IFS($D51="","",AND(HR51=$C51,HS51=$D51),3,($C51-$D51)/MAX(ABS($C51-$D51),1)=(HR51-HS51)/MAX(ABS(HR51-HS51),1),1,TRUE,0)</f>
        <v/>
      </c>
      <c r="HU51" s="18"/>
      <c r="HV51" s="19"/>
      <c r="HW51" s="33" t="str" cm="1">
        <f t="array" ref="HW51">_xlfn.IFS($D51="","",AND(HU51=$C51,HV51=$D51),3,($C51-$D51)/MAX(ABS($C51-$D51),1)=(HU51-HV51)/MAX(ABS(HU51-HV51),1),1,TRUE,0)</f>
        <v/>
      </c>
      <c r="HX51" s="18"/>
      <c r="HY51" s="19"/>
      <c r="HZ51" s="33" t="str" cm="1">
        <f t="array" ref="HZ51">_xlfn.IFS($D51="","",AND(HX51=$C51,HY51=$D51),3,($C51-$D51)/MAX(ABS($C51-$D51),1)=(HX51-HY51)/MAX(ABS(HX51-HY51),1),1,TRUE,0)</f>
        <v/>
      </c>
      <c r="IA51" s="18"/>
      <c r="IB51" s="19"/>
      <c r="IC51" s="33" t="str" cm="1">
        <f t="array" ref="IC51">_xlfn.IFS($D51="","",AND(IA51=$C51,IB51=$D51),3,($C51-$D51)/MAX(ABS($C51-$D51),1)=(IA51-IB51)/MAX(ABS(IA51-IB51),1),1,TRUE,0)</f>
        <v/>
      </c>
      <c r="ID51" s="18"/>
      <c r="IE51" s="19"/>
      <c r="IF51" s="33" t="str" cm="1">
        <f t="array" ref="IF51">_xlfn.IFS($D51="","",AND(ID51=$C51,IE51=$D51),3,($C51-$D51)/MAX(ABS($C51-$D51),1)=(ID51-IE51)/MAX(ABS(ID51-IE51),1),1,TRUE,0)</f>
        <v/>
      </c>
      <c r="IG51" s="18"/>
      <c r="IH51" s="19"/>
      <c r="II51" s="33" t="str" cm="1">
        <f t="array" ref="II51">_xlfn.IFS($D51="","",AND(IG51=$C51,IH51=$D51),3,($C51-$D51)/MAX(ABS($C51-$D51),1)=(IG51-IH51)/MAX(ABS(IG51-IH51),1),1,TRUE,0)</f>
        <v/>
      </c>
      <c r="IJ51" s="18"/>
      <c r="IK51" s="19"/>
      <c r="IL51" s="33" t="str" cm="1">
        <f t="array" ref="IL51">_xlfn.IFS($D51="","",AND(IJ51=$C51,IK51=$D51),3,($C51-$D51)/MAX(ABS($C51-$D51),1)=(IJ51-IK51)/MAX(ABS(IJ51-IK51),1),1,TRUE,0)</f>
        <v/>
      </c>
      <c r="IM51" s="18"/>
      <c r="IN51" s="19"/>
      <c r="IO51" s="33" t="str" cm="1">
        <f t="array" ref="IO51">_xlfn.IFS($D51="","",AND(IM51=$C51,IN51=$D51),3,($C51-$D51)/MAX(ABS($C51-$D51),1)=(IM51-IN51)/MAX(ABS(IM51-IN51),1),1,TRUE,0)</f>
        <v/>
      </c>
      <c r="IP51" s="18"/>
      <c r="IQ51" s="19"/>
      <c r="IR51" s="33" t="str" cm="1">
        <f t="array" ref="IR51">_xlfn.IFS($D51="","",AND(IP51=$C51,IQ51=$D51),3,($C51-$D51)/MAX(ABS($C51-$D51),1)=(IP51-IQ51)/MAX(ABS(IP51-IQ51),1),1,TRUE,0)</f>
        <v/>
      </c>
      <c r="IS51" s="18"/>
      <c r="IT51" s="19"/>
      <c r="IU51" s="33" t="str" cm="1">
        <f t="array" ref="IU51">_xlfn.IFS($D51="","",AND(IS51=$C51,IT51=$D51),3,($C51-$D51)/MAX(ABS($C51-$D51),1)=(IS51-IT51)/MAX(ABS(IS51-IT51),1),1,TRUE,0)</f>
        <v/>
      </c>
      <c r="IV51" s="18"/>
      <c r="IW51" s="19"/>
      <c r="IX51" s="33" t="str" cm="1">
        <f t="array" ref="IX51">_xlfn.IFS($D51="","",AND(IV51=$C51,IW51=$D51),3,($C51-$D51)/MAX(ABS($C51-$D51),1)=(IV51-IW51)/MAX(ABS(IV51-IW51),1),1,TRUE,0)</f>
        <v/>
      </c>
      <c r="IY51" s="18"/>
      <c r="IZ51" s="19"/>
      <c r="JA51" s="33" t="str" cm="1">
        <f t="array" ref="JA51">_xlfn.IFS($D51="","",AND(IY51=$C51,IZ51=$D51),3,($C51-$D51)/MAX(ABS($C51-$D51),1)=(IY51-IZ51)/MAX(ABS(IY51-IZ51),1),1,TRUE,0)</f>
        <v/>
      </c>
      <c r="JB51" s="18"/>
      <c r="JC51" s="19"/>
      <c r="JD51" s="33" t="str" cm="1">
        <f t="array" ref="JD51">_xlfn.IFS($D51="","",AND(JB51=$C51,JC51=$D51),3,($C51-$D51)/MAX(ABS($C51-$D51),1)=(JB51-JC51)/MAX(ABS(JB51-JC51),1),1,TRUE,0)</f>
        <v/>
      </c>
    </row>
    <row r="52" spans="1:264" ht="15" thickBot="1" x14ac:dyDescent="0.35">
      <c r="A52" s="22">
        <v>46197</v>
      </c>
      <c r="B52" s="28" t="s">
        <v>59</v>
      </c>
      <c r="C52" s="53" t="str" cm="1">
        <f t="array" ref="C52">_xlfn.LET(
_xlpm.x,_xlfn.XLOOKUP(1,(Scores_Fixtures[Date]=A52)*(Scores_Fixtures[Home.1]=B52),Scores_Fixtures[Score.1],""),
IF(_xlpm.x="","",_xlpm.x)
)</f>
        <v/>
      </c>
      <c r="D52" s="53" t="str" cm="1">
        <f t="array" ref="D52">_xlfn.LET(
_xlpm.x,_xlfn.XLOOKUP(1,(Scores_Fixtures[Date]=A52)*(Scores_Fixtures[Home.1]=B52),Scores_Fixtures[Score.2],""),
IF(_xlpm.x="","",_xlpm.x)
)</f>
        <v/>
      </c>
      <c r="E52" s="12" t="s">
        <v>38</v>
      </c>
      <c r="F52" s="15"/>
      <c r="G52" s="53"/>
      <c r="H52" s="53"/>
      <c r="I52" s="33" t="str" cm="1">
        <f t="array" ref="I52">_xlfn.IFS($D52="","",AND(G52=$C52,H52=$D52),3,($C52-$D52)/MAX(ABS($C52-$D52),1)=(G52-H52)/MAX(ABS(G52-H52),1),1,TRUE,0)</f>
        <v/>
      </c>
      <c r="J52" s="18"/>
      <c r="K52" s="19"/>
      <c r="L52" s="33" t="str" cm="1">
        <f t="array" ref="L52">_xlfn.IFS($D52="","",AND(J52=$C52,K52=$D52),3,($C52-$D52)/MAX(ABS($C52-$D52),1)=(J52-K52)/MAX(ABS(J52-K52),1),1,TRUE,0)</f>
        <v/>
      </c>
      <c r="M52" s="18"/>
      <c r="N52" s="19"/>
      <c r="O52" s="33" t="str" cm="1">
        <f t="array" ref="O52">_xlfn.IFS($D52="","",AND(M52=$C52,N52=$D52),3,($C52-$D52)/MAX(ABS($C52-$D52),1)=(M52-N52)/MAX(ABS(M52-N52),1),1,TRUE,0)</f>
        <v/>
      </c>
      <c r="P52" s="18"/>
      <c r="Q52" s="19"/>
      <c r="R52" s="33" t="str" cm="1">
        <f t="array" ref="R52">_xlfn.IFS($D52="","",AND(P52=$C52,Q52=$D52),3,($C52-$D52)/MAX(ABS($C52-$D52),1)=(P52-Q52)/MAX(ABS(P52-Q52),1),1,TRUE,0)</f>
        <v/>
      </c>
      <c r="S52" s="18"/>
      <c r="T52" s="19"/>
      <c r="U52" s="33" t="str" cm="1">
        <f t="array" ref="U52">_xlfn.IFS($D52="","",AND(S52=$C52,T52=$D52),3,($C52-$D52)/MAX(ABS($C52-$D52),1)=(S52-T52)/MAX(ABS(S52-T52),1),1,TRUE,0)</f>
        <v/>
      </c>
      <c r="V52" s="18"/>
      <c r="W52" s="19"/>
      <c r="X52" s="33" t="str" cm="1">
        <f t="array" ref="X52">_xlfn.IFS($D52="","",AND(V52=$C52,W52=$D52),3,($C52-$D52)/MAX(ABS($C52-$D52),1)=(V52-W52)/MAX(ABS(V52-W52),1),1,TRUE,0)</f>
        <v/>
      </c>
      <c r="Y52" s="18"/>
      <c r="Z52" s="19"/>
      <c r="AA52" s="33" t="str" cm="1">
        <f t="array" ref="AA52">_xlfn.IFS($D52="","",AND(Y52=$C52,Z52=$D52),3,($C52-$D52)/MAX(ABS($C52-$D52),1)=(Y52-Z52)/MAX(ABS(Y52-Z52),1),1,TRUE,0)</f>
        <v/>
      </c>
      <c r="AB52" s="18"/>
      <c r="AC52" s="19"/>
      <c r="AD52" s="33" t="str" cm="1">
        <f t="array" ref="AD52">_xlfn.IFS($D52="","",AND(AB52=$C52,AC52=$D52),3,($C52-$D52)/MAX(ABS($C52-$D52),1)=(AB52-AC52)/MAX(ABS(AB52-AC52),1),1,TRUE,0)</f>
        <v/>
      </c>
      <c r="AE52" s="18"/>
      <c r="AF52" s="19"/>
      <c r="AG52" s="33" t="str" cm="1">
        <f t="array" ref="AG52">_xlfn.IFS($D52="","",AND(AE52=$C52,AF52=$D52),3,($C52-$D52)/MAX(ABS($C52-$D52),1)=(AE52-AF52)/MAX(ABS(AE52-AF52),1),1,TRUE,0)</f>
        <v/>
      </c>
      <c r="AH52" s="18"/>
      <c r="AI52" s="19"/>
      <c r="AJ52" s="33" t="str" cm="1">
        <f t="array" ref="AJ52">_xlfn.IFS($D52="","",AND(AH52=$C52,AI52=$D52),3,($C52-$D52)/MAX(ABS($C52-$D52),1)=(AH52-AI52)/MAX(ABS(AH52-AI52),1),1,TRUE,0)</f>
        <v/>
      </c>
      <c r="AK52" s="18"/>
      <c r="AL52" s="19"/>
      <c r="AM52" s="33" t="str" cm="1">
        <f t="array" ref="AM52">_xlfn.IFS($D52="","",AND(AK52=$C52,AL52=$D52),3,($C52-$D52)/MAX(ABS($C52-$D52),1)=(AK52-AL52)/MAX(ABS(AK52-AL52),1),1,TRUE,0)</f>
        <v/>
      </c>
      <c r="AN52" s="18"/>
      <c r="AO52" s="19"/>
      <c r="AP52" s="33" t="str" cm="1">
        <f t="array" ref="AP52">_xlfn.IFS($D52="","",AND(AN52=$C52,AO52=$D52),3,($C52-$D52)/MAX(ABS($C52-$D52),1)=(AN52-AO52)/MAX(ABS(AN52-AO52),1),1,TRUE,0)</f>
        <v/>
      </c>
      <c r="AQ52" s="18"/>
      <c r="AR52" s="19"/>
      <c r="AS52" s="33" t="str" cm="1">
        <f t="array" ref="AS52">_xlfn.IFS($D52="","",AND(AQ52=$C52,AR52=$D52),3,($C52-$D52)/MAX(ABS($C52-$D52),1)=(AQ52-AR52)/MAX(ABS(AQ52-AR52),1),1,TRUE,0)</f>
        <v/>
      </c>
      <c r="AT52" s="18"/>
      <c r="AU52" s="19"/>
      <c r="AV52" s="33" t="str" cm="1">
        <f t="array" ref="AV52">_xlfn.IFS($D52="","",AND(AT52=$C52,AU52=$D52),3,($C52-$D52)/MAX(ABS($C52-$D52),1)=(AT52-AU52)/MAX(ABS(AT52-AU52),1),1,TRUE,0)</f>
        <v/>
      </c>
      <c r="AW52" s="18"/>
      <c r="AX52" s="19"/>
      <c r="AY52" s="33" t="str" cm="1">
        <f t="array" ref="AY52">_xlfn.IFS($D52="","",AND(AW52=$C52,AX52=$D52),3,($C52-$D52)/MAX(ABS($C52-$D52),1)=(AW52-AX52)/MAX(ABS(AW52-AX52),1),1,TRUE,0)</f>
        <v/>
      </c>
      <c r="AZ52" s="18"/>
      <c r="BA52" s="19"/>
      <c r="BB52" s="33" t="str" cm="1">
        <f t="array" ref="BB52">_xlfn.IFS($D52="","",AND(AZ52=$C52,BA52=$D52),3,($C52-$D52)/MAX(ABS($C52-$D52),1)=(AZ52-BA52)/MAX(ABS(AZ52-BA52),1),1,TRUE,0)</f>
        <v/>
      </c>
      <c r="BC52" s="18"/>
      <c r="BD52" s="19"/>
      <c r="BE52" s="33" t="str" cm="1">
        <f t="array" ref="BE52">_xlfn.IFS($D52="","",AND(BC52=$C52,BD52=$D52),3,($C52-$D52)/MAX(ABS($C52-$D52),1)=(BC52-BD52)/MAX(ABS(BC52-BD52),1),1,TRUE,0)</f>
        <v/>
      </c>
      <c r="BF52" s="18"/>
      <c r="BG52" s="19"/>
      <c r="BH52" s="33" t="str" cm="1">
        <f t="array" ref="BH52">_xlfn.IFS($D52="","",AND(BF52=$C52,BG52=$D52),3,($C52-$D52)/MAX(ABS($C52-$D52),1)=(BF52-BG52)/MAX(ABS(BF52-BG52),1),1,TRUE,0)</f>
        <v/>
      </c>
      <c r="BI52" s="18"/>
      <c r="BJ52" s="19"/>
      <c r="BK52" s="33" t="str" cm="1">
        <f t="array" ref="BK52">_xlfn.IFS($D52="","",AND(BI52=$C52,BJ52=$D52),3,($C52-$D52)/MAX(ABS($C52-$D52),1)=(BI52-BJ52)/MAX(ABS(BI52-BJ52),1),1,TRUE,0)</f>
        <v/>
      </c>
      <c r="BL52" s="18"/>
      <c r="BM52" s="19"/>
      <c r="BN52" s="33" t="str" cm="1">
        <f t="array" ref="BN52">_xlfn.IFS($D52="","",AND(BL52=$C52,BM52=$D52),3,($C52-$D52)/MAX(ABS($C52-$D52),1)=(BL52-BM52)/MAX(ABS(BL52-BM52),1),1,TRUE,0)</f>
        <v/>
      </c>
      <c r="BO52" s="18"/>
      <c r="BP52" s="19"/>
      <c r="BQ52" s="33" t="str" cm="1">
        <f t="array" ref="BQ52">_xlfn.IFS($D52="","",AND(BO52=$C52,BP52=$D52),3,($C52-$D52)/MAX(ABS($C52-$D52),1)=(BO52-BP52)/MAX(ABS(BO52-BP52),1),1,TRUE,0)</f>
        <v/>
      </c>
      <c r="BR52" s="18"/>
      <c r="BS52" s="19"/>
      <c r="BT52" s="33" t="str" cm="1">
        <f t="array" ref="BT52">_xlfn.IFS($D52="","",AND(BR52=$C52,BS52=$D52),3,($C52-$D52)/MAX(ABS($C52-$D52),1)=(BR52-BS52)/MAX(ABS(BR52-BS52),1),1,TRUE,0)</f>
        <v/>
      </c>
      <c r="BU52" s="18"/>
      <c r="BV52" s="19"/>
      <c r="BW52" s="33" t="str" cm="1">
        <f t="array" ref="BW52">_xlfn.IFS($D52="","",AND(BU52=$C52,BV52=$D52),3,($C52-$D52)/MAX(ABS($C52-$D52),1)=(BU52-BV52)/MAX(ABS(BU52-BV52),1),1,TRUE,0)</f>
        <v/>
      </c>
      <c r="BX52" s="18"/>
      <c r="BY52" s="19"/>
      <c r="BZ52" s="33" t="str" cm="1">
        <f t="array" ref="BZ52">_xlfn.IFS($D52="","",AND(BX52=$C52,BY52=$D52),3,($C52-$D52)/MAX(ABS($C52-$D52),1)=(BX52-BY52)/MAX(ABS(BX52-BY52),1),1,TRUE,0)</f>
        <v/>
      </c>
      <c r="CA52" s="18"/>
      <c r="CB52" s="19"/>
      <c r="CC52" s="33" t="str" cm="1">
        <f t="array" ref="CC52">_xlfn.IFS($D52="","",AND(CA52=$C52,CB52=$D52),3,($C52-$D52)/MAX(ABS($C52-$D52),1)=(CA52-CB52)/MAX(ABS(CA52-CB52),1),1,TRUE,0)</f>
        <v/>
      </c>
      <c r="CD52" s="18"/>
      <c r="CE52" s="19"/>
      <c r="CF52" s="33" t="str" cm="1">
        <f t="array" ref="CF52">_xlfn.IFS($D52="","",AND(CD52=$C52,CE52=$D52),3,($C52-$D52)/MAX(ABS($C52-$D52),1)=(CD52-CE52)/MAX(ABS(CD52-CE52),1),1,TRUE,0)</f>
        <v/>
      </c>
      <c r="CG52" s="18"/>
      <c r="CH52" s="19"/>
      <c r="CI52" s="33" t="str" cm="1">
        <f t="array" ref="CI52">_xlfn.IFS($D52="","",AND(CG52=$C52,CH52=$D52),3,($C52-$D52)/MAX(ABS($C52-$D52),1)=(CG52-CH52)/MAX(ABS(CG52-CH52),1),1,TRUE,0)</f>
        <v/>
      </c>
      <c r="CJ52" s="18"/>
      <c r="CK52" s="19"/>
      <c r="CL52" s="33" t="str" cm="1">
        <f t="array" ref="CL52">_xlfn.IFS($D52="","",AND(CJ52=$C52,CK52=$D52),3,($C52-$D52)/MAX(ABS($C52-$D52),1)=(CJ52-CK52)/MAX(ABS(CJ52-CK52),1),1,TRUE,0)</f>
        <v/>
      </c>
      <c r="CM52" s="18"/>
      <c r="CN52" s="19"/>
      <c r="CO52" s="33" t="str" cm="1">
        <f t="array" ref="CO52">_xlfn.IFS($D52="","",AND(CM52=$C52,CN52=$D52),3,($C52-$D52)/MAX(ABS($C52-$D52),1)=(CM52-CN52)/MAX(ABS(CM52-CN52),1),1,TRUE,0)</f>
        <v/>
      </c>
      <c r="CP52" s="18"/>
      <c r="CQ52" s="19"/>
      <c r="CR52" s="33" t="str" cm="1">
        <f t="array" ref="CR52">_xlfn.IFS($D52="","",AND(CP52=$C52,CQ52=$D52),3,($C52-$D52)/MAX(ABS($C52-$D52),1)=(CP52-CQ52)/MAX(ABS(CP52-CQ52),1),1,TRUE,0)</f>
        <v/>
      </c>
      <c r="CS52" s="18"/>
      <c r="CT52" s="19"/>
      <c r="CU52" s="33" t="str" cm="1">
        <f t="array" ref="CU52">_xlfn.IFS($D52="","",AND(CS52=$C52,CT52=$D52),3,($C52-$D52)/MAX(ABS($C52-$D52),1)=(CS52-CT52)/MAX(ABS(CS52-CT52),1),1,TRUE,0)</f>
        <v/>
      </c>
      <c r="CV52" s="18"/>
      <c r="CW52" s="19"/>
      <c r="CX52" s="33" t="str" cm="1">
        <f t="array" ref="CX52">_xlfn.IFS($D52="","",AND(CV52=$C52,CW52=$D52),3,($C52-$D52)/MAX(ABS($C52-$D52),1)=(CV52-CW52)/MAX(ABS(CV52-CW52),1),1,TRUE,0)</f>
        <v/>
      </c>
      <c r="CY52" s="18"/>
      <c r="CZ52" s="19"/>
      <c r="DA52" s="33" t="str" cm="1">
        <f t="array" ref="DA52">_xlfn.IFS($D52="","",AND(CY52=$C52,CZ52=$D52),3,($C52-$D52)/MAX(ABS($C52-$D52),1)=(CY52-CZ52)/MAX(ABS(CY52-CZ52),1),1,TRUE,0)</f>
        <v/>
      </c>
      <c r="DB52" s="37"/>
      <c r="DC52" s="38"/>
      <c r="DD52" s="33" t="str" cm="1">
        <f t="array" ref="DD52">_xlfn.IFS($D52="","",AND(DB52=$C52,DC52=$D52),3,($C52-$D52)/MAX(ABS($C52-$D52),1)=(DB52-DC52)/MAX(ABS(DB52-DC52),1),1,TRUE,0)</f>
        <v/>
      </c>
      <c r="DE52" s="18"/>
      <c r="DF52" s="19"/>
      <c r="DG52" s="33" t="str" cm="1">
        <f t="array" ref="DG52">_xlfn.IFS($D52="","",AND(DE52=$C52,DF52=$D52),3,($C52-$D52)/MAX(ABS($C52-$D52),1)=(DE52-DF52)/MAX(ABS(DE52-DF52),1),1,TRUE,0)</f>
        <v/>
      </c>
      <c r="DH52" s="18"/>
      <c r="DI52" s="19"/>
      <c r="DJ52" s="33" t="str" cm="1">
        <f t="array" ref="DJ52">_xlfn.IFS($D52="","",AND(DH52=$C52,DI52=$D52),3,($C52-$D52)/MAX(ABS($C52-$D52),1)=(DH52-DI52)/MAX(ABS(DH52-DI52),1),1,TRUE,0)</f>
        <v/>
      </c>
      <c r="DK52" s="18"/>
      <c r="DL52" s="19"/>
      <c r="DM52" s="33" t="str" cm="1">
        <f t="array" ref="DM52">_xlfn.IFS($D52="","",AND(DK52=$C52,DL52=$D52),3,($C52-$D52)/MAX(ABS($C52-$D52),1)=(DK52-DL52)/MAX(ABS(DK52-DL52),1),1,TRUE,0)</f>
        <v/>
      </c>
      <c r="DN52" s="18"/>
      <c r="DO52" s="19"/>
      <c r="DP52" s="33" t="str" cm="1">
        <f t="array" ref="DP52">_xlfn.IFS($D52="","",AND(DN52=$C52,DO52=$D52),3,($C52-$D52)/MAX(ABS($C52-$D52),1)=(DN52-DO52)/MAX(ABS(DN52-DO52),1),1,TRUE,0)</f>
        <v/>
      </c>
      <c r="DQ52" s="18"/>
      <c r="DR52" s="19"/>
      <c r="DS52" s="33" t="str" cm="1">
        <f t="array" ref="DS52">_xlfn.IFS($D52="","",AND(DQ52=$C52,DR52=$D52),3,($C52-$D52)/MAX(ABS($C52-$D52),1)=(DQ52-DR52)/MAX(ABS(DQ52-DR52),1),1,TRUE,0)</f>
        <v/>
      </c>
      <c r="DT52" s="18"/>
      <c r="DU52" s="19"/>
      <c r="DV52" s="33" t="str" cm="1">
        <f t="array" ref="DV52">_xlfn.IFS($D52="","",AND(DT52=$C52,DU52=$D52),3,($C52-$D52)/MAX(ABS($C52-$D52),1)=(DT52-DU52)/MAX(ABS(DT52-DU52),1),1,TRUE,0)</f>
        <v/>
      </c>
      <c r="DW52" s="18"/>
      <c r="DX52" s="19"/>
      <c r="DY52" s="33" t="str" cm="1">
        <f t="array" ref="DY52">_xlfn.IFS($D52="","",AND(DW52=$C52,DX52=$D52),3,($C52-$D52)/MAX(ABS($C52-$D52),1)=(DW52-DX52)/MAX(ABS(DW52-DX52),1),1,TRUE,0)</f>
        <v/>
      </c>
      <c r="DZ52" s="18"/>
      <c r="EA52" s="19"/>
      <c r="EB52" s="33" t="str" cm="1">
        <f t="array" ref="EB52">_xlfn.IFS($D52="","",AND(DZ52=$C52,EA52=$D52),3,($C52-$D52)/MAX(ABS($C52-$D52),1)=(DZ52-EA52)/MAX(ABS(DZ52-EA52),1),1,TRUE,0)</f>
        <v/>
      </c>
      <c r="EC52" s="18"/>
      <c r="ED52" s="19"/>
      <c r="EE52" s="33" t="str" cm="1">
        <f t="array" ref="EE52">_xlfn.IFS($D52="","",AND(EC52=$C52,ED52=$D52),3,($C52-$D52)/MAX(ABS($C52-$D52),1)=(EC52-ED52)/MAX(ABS(EC52-ED52),1),1,TRUE,0)</f>
        <v/>
      </c>
      <c r="EF52" s="18"/>
      <c r="EG52" s="19"/>
      <c r="EH52" s="33" t="str" cm="1">
        <f t="array" ref="EH52">_xlfn.IFS($D52="","",AND(EF52=$C52,EG52=$D52),3,($C52-$D52)/MAX(ABS($C52-$D52),1)=(EF52-EG52)/MAX(ABS(EF52-EG52),1),1,TRUE,0)</f>
        <v/>
      </c>
      <c r="EI52" s="50"/>
      <c r="EJ52" s="51"/>
      <c r="EK52" s="33" t="str" cm="1">
        <f t="array" ref="EK52">_xlfn.IFS($D52="","",AND(EI52=$C52,EJ52=$D52),3,($C52-$D52)/MAX(ABS($C52-$D52),1)=(EI52-EJ52)/MAX(ABS(EI52-EJ52),1),1,TRUE,0)</f>
        <v/>
      </c>
      <c r="EL52" s="18"/>
      <c r="EM52" s="19"/>
      <c r="EN52" s="33" t="str" cm="1">
        <f t="array" ref="EN52">_xlfn.IFS($D52="","",AND(EL52=$C52,EM52=$D52),3,($C52-$D52)/MAX(ABS($C52-$D52),1)=(EL52-EM52)/MAX(ABS(EL52-EM52),1),1,TRUE,0)</f>
        <v/>
      </c>
      <c r="EO52" s="18"/>
      <c r="EP52" s="19"/>
      <c r="EQ52" s="33" t="str" cm="1">
        <f t="array" ref="EQ52">_xlfn.IFS($D52="","",AND(EO52=$C52,EP52=$D52),3,($C52-$D52)/MAX(ABS($C52-$D52),1)=(EO52-EP52)/MAX(ABS(EO52-EP52),1),1,TRUE,0)</f>
        <v/>
      </c>
      <c r="ER52" s="18"/>
      <c r="ES52" s="19"/>
      <c r="ET52" s="33" t="str" cm="1">
        <f t="array" ref="ET52">_xlfn.IFS($D52="","",AND(ER52=$C52,ES52=$D52),3,($C52-$D52)/MAX(ABS($C52-$D52),1)=(ER52-ES52)/MAX(ABS(ER52-ES52),1),1,TRUE,0)</f>
        <v/>
      </c>
      <c r="EU52" s="18"/>
      <c r="EV52" s="19"/>
      <c r="EW52" s="33" t="str" cm="1">
        <f t="array" ref="EW52">_xlfn.IFS($D52="","",AND(EU52=$C52,EV52=$D52),3,($C52-$D52)/MAX(ABS($C52-$D52),1)=(EU52-EV52)/MAX(ABS(EU52-EV52),1),1,TRUE,0)</f>
        <v/>
      </c>
      <c r="EX52" s="18"/>
      <c r="EY52" s="19"/>
      <c r="EZ52" s="33" t="str" cm="1">
        <f t="array" ref="EZ52">_xlfn.IFS($D52="","",AND(EX52=$C52,EY52=$D52),3,($C52-$D52)/MAX(ABS($C52-$D52),1)=(EX52-EY52)/MAX(ABS(EX52-EY52),1),1,TRUE,0)</f>
        <v/>
      </c>
      <c r="FA52" s="18"/>
      <c r="FB52" s="19"/>
      <c r="FC52" s="33" t="str" cm="1">
        <f t="array" ref="FC52">_xlfn.IFS($D52="","",AND(FA52=$C52,FB52=$D52),3,($C52-$D52)/MAX(ABS($C52-$D52),1)=(FA52-FB52)/MAX(ABS(FA52-FB52),1),1,TRUE,0)</f>
        <v/>
      </c>
      <c r="FD52" s="18"/>
      <c r="FE52" s="19"/>
      <c r="FF52" s="33" t="str" cm="1">
        <f t="array" ref="FF52">_xlfn.IFS($D52="","",AND(FD52=$C52,FE52=$D52),3,($C52-$D52)/MAX(ABS($C52-$D52),1)=(FD52-FE52)/MAX(ABS(FD52-FE52),1),1,TRUE,0)</f>
        <v/>
      </c>
      <c r="FG52" s="18"/>
      <c r="FH52" s="19"/>
      <c r="FI52" s="33" t="str" cm="1">
        <f t="array" ref="FI52">_xlfn.IFS($D52="","",AND(FG52=$C52,FH52=$D52),3,($C52-$D52)/MAX(ABS($C52-$D52),1)=(FG52-FH52)/MAX(ABS(FG52-FH52),1),1,TRUE,0)</f>
        <v/>
      </c>
      <c r="FJ52" s="18"/>
      <c r="FK52" s="19"/>
      <c r="FL52" s="33" t="str" cm="1">
        <f t="array" ref="FL52">_xlfn.IFS($D52="","",AND(FJ52=$C52,FK52=$D52),3,($C52-$D52)/MAX(ABS($C52-$D52),1)=(FJ52-FK52)/MAX(ABS(FJ52-FK52),1),1,TRUE,0)</f>
        <v/>
      </c>
      <c r="FM52" s="18"/>
      <c r="FN52" s="19"/>
      <c r="FO52" s="33" t="str" cm="1">
        <f t="array" ref="FO52">_xlfn.IFS($D52="","",AND(FM52=$C52,FN52=$D52),3,($C52-$D52)/MAX(ABS($C52-$D52),1)=(FM52-FN52)/MAX(ABS(FM52-FN52),1),1,TRUE,0)</f>
        <v/>
      </c>
      <c r="FP52" s="18"/>
      <c r="FQ52" s="19"/>
      <c r="FR52" s="33" t="str" cm="1">
        <f t="array" ref="FR52">_xlfn.IFS($D52="","",AND(FP52=$C52,FQ52=$D52),3,($C52-$D52)/MAX(ABS($C52-$D52),1)=(FP52-FQ52)/MAX(ABS(FP52-FQ52),1),1,TRUE,0)</f>
        <v/>
      </c>
      <c r="FS52" s="18"/>
      <c r="FT52" s="19"/>
      <c r="FU52" s="33" t="str" cm="1">
        <f t="array" ref="FU52">_xlfn.IFS($D52="","",AND(FS52=$C52,FT52=$D52),3,($C52-$D52)/MAX(ABS($C52-$D52),1)=(FS52-FT52)/MAX(ABS(FS52-FT52),1),1,TRUE,0)</f>
        <v/>
      </c>
      <c r="FV52" s="18"/>
      <c r="FW52" s="19"/>
      <c r="FX52" s="33" t="str" cm="1">
        <f t="array" ref="FX52">_xlfn.IFS($D52="","",AND(FV52=$C52,FW52=$D52),3,($C52-$D52)/MAX(ABS($C52-$D52),1)=(FV52-FW52)/MAX(ABS(FV52-FW52),1),1,TRUE,0)</f>
        <v/>
      </c>
      <c r="FY52" s="18"/>
      <c r="FZ52" s="19"/>
      <c r="GA52" s="33" t="str" cm="1">
        <f t="array" ref="GA52">_xlfn.IFS($D52="","",AND(FY52=$C52,FZ52=$D52),3,($C52-$D52)/MAX(ABS($C52-$D52),1)=(FY52-FZ52)/MAX(ABS(FY52-FZ52),1),1,TRUE,0)</f>
        <v/>
      </c>
      <c r="GB52" s="18"/>
      <c r="GC52" s="19"/>
      <c r="GD52" s="33" t="str" cm="1">
        <f t="array" ref="GD52">_xlfn.IFS($D52="","",AND(GB52=$C52,GC52=$D52),3,($C52-$D52)/MAX(ABS($C52-$D52),1)=(GB52-GC52)/MAX(ABS(GB52-GC52),1),1,TRUE,0)</f>
        <v/>
      </c>
      <c r="GE52" s="52"/>
      <c r="GF52" s="19"/>
      <c r="GG52" s="33" t="str" cm="1">
        <f t="array" ref="GG52">_xlfn.IFS($D52="","",AND(GE52=$C52,GF52=$D52),3,($C52-$D52)/MAX(ABS($C52-$D52),1)=(GE52-GF52)/MAX(ABS(GE52-GF52),1),1,TRUE,0)</f>
        <v/>
      </c>
      <c r="GH52" s="18"/>
      <c r="GI52" s="19"/>
      <c r="GJ52" s="33" t="str" cm="1">
        <f t="array" ref="GJ52">_xlfn.IFS($D52="","",AND(GH52=$C52,GI52=$D52),3,($C52-$D52)/MAX(ABS($C52-$D52),1)=(GH52-GI52)/MAX(ABS(GH52-GI52),1),1,TRUE,0)</f>
        <v/>
      </c>
      <c r="GK52" s="18"/>
      <c r="GL52" s="19"/>
      <c r="GM52" s="33" t="str" cm="1">
        <f t="array" ref="GM52">_xlfn.IFS($D52="","",AND(GK52=$C52,GL52=$D52),3,($C52-$D52)/MAX(ABS($C52-$D52),1)=(GK52-GL52)/MAX(ABS(GK52-GL52),1),1,TRUE,0)</f>
        <v/>
      </c>
      <c r="GN52" s="18"/>
      <c r="GO52" s="19"/>
      <c r="GP52" s="33" t="str" cm="1">
        <f t="array" ref="GP52">_xlfn.IFS($D52="","",AND(GN52=$C52,GO52=$D52),3,($C52-$D52)/MAX(ABS($C52-$D52),1)=(GN52-GO52)/MAX(ABS(GN52-GO52),1),1,TRUE,0)</f>
        <v/>
      </c>
      <c r="GQ52" s="18"/>
      <c r="GR52" s="19"/>
      <c r="GS52" s="33" t="str" cm="1">
        <f t="array" ref="GS52">_xlfn.IFS($D52="","",AND(GQ52=$C52,GR52=$D52),3,($C52-$D52)/MAX(ABS($C52-$D52),1)=(GQ52-GR52)/MAX(ABS(GQ52-GR52),1),1,TRUE,0)</f>
        <v/>
      </c>
      <c r="GT52" s="18"/>
      <c r="GU52" s="19"/>
      <c r="GV52" s="33" t="str" cm="1">
        <f t="array" ref="GV52">_xlfn.IFS($D52="","",AND(GT52=$C52,GU52=$D52),3,($C52-$D52)/MAX(ABS($C52-$D52),1)=(GT52-GU52)/MAX(ABS(GT52-GU52),1),1,TRUE,0)</f>
        <v/>
      </c>
      <c r="GW52" s="18"/>
      <c r="GX52" s="19"/>
      <c r="GY52" s="33" t="str" cm="1">
        <f t="array" ref="GY52">_xlfn.IFS($D52="","",AND(GW52=$C52,GX52=$D52),3,($C52-$D52)/MAX(ABS($C52-$D52),1)=(GW52-GX52)/MAX(ABS(GW52-GX52),1),1,TRUE,0)</f>
        <v/>
      </c>
      <c r="GZ52" s="18"/>
      <c r="HA52" s="19"/>
      <c r="HB52" s="33" t="str" cm="1">
        <f t="array" ref="HB52">_xlfn.IFS($D52="","",AND(GZ52=$C52,HA52=$D52),3,($C52-$D52)/MAX(ABS($C52-$D52),1)=(GZ52-HA52)/MAX(ABS(GZ52-HA52),1),1,TRUE,0)</f>
        <v/>
      </c>
      <c r="HC52" s="18"/>
      <c r="HD52" s="19"/>
      <c r="HE52" s="33" t="str" cm="1">
        <f t="array" ref="HE52">_xlfn.IFS($D52="","",AND(HC52=$C52,HD52=$D52),3,($C52-$D52)/MAX(ABS($C52-$D52),1)=(HC52-HD52)/MAX(ABS(HC52-HD52),1),1,TRUE,0)</f>
        <v/>
      </c>
      <c r="HF52" s="18"/>
      <c r="HG52" s="19"/>
      <c r="HH52" s="33" t="str" cm="1">
        <f t="array" ref="HH52">_xlfn.IFS($D52="","",AND(HF52=$C52,HG52=$D52),3,($C52-$D52)/MAX(ABS($C52-$D52),1)=(HF52-HG52)/MAX(ABS(HF52-HG52),1),1,TRUE,0)</f>
        <v/>
      </c>
      <c r="HI52" s="18"/>
      <c r="HJ52" s="19"/>
      <c r="HK52" s="33" t="str" cm="1">
        <f t="array" ref="HK52">_xlfn.IFS($D52="","",AND(HI52=$C52,HJ52=$D52),3,($C52-$D52)/MAX(ABS($C52-$D52),1)=(HI52-HJ52)/MAX(ABS(HI52-HJ52),1),1,TRUE,0)</f>
        <v/>
      </c>
      <c r="HL52" s="18"/>
      <c r="HM52" s="19"/>
      <c r="HN52" s="33" t="str" cm="1">
        <f t="array" ref="HN52">_xlfn.IFS($D52="","",AND(HL52=$C52,HM52=$D52),3,($C52-$D52)/MAX(ABS($C52-$D52),1)=(HL52-HM52)/MAX(ABS(HL52-HM52),1),1,TRUE,0)</f>
        <v/>
      </c>
      <c r="HO52" s="18"/>
      <c r="HP52" s="19"/>
      <c r="HQ52" s="33" t="str" cm="1">
        <f t="array" ref="HQ52">_xlfn.IFS($D52="","",AND(HO52=$C52,HP52=$D52),3,($C52-$D52)/MAX(ABS($C52-$D52),1)=(HO52-HP52)/MAX(ABS(HO52-HP52),1),1,TRUE,0)</f>
        <v/>
      </c>
      <c r="HR52" s="18"/>
      <c r="HS52" s="19"/>
      <c r="HT52" s="33" t="str" cm="1">
        <f t="array" ref="HT52">_xlfn.IFS($D52="","",AND(HR52=$C52,HS52=$D52),3,($C52-$D52)/MAX(ABS($C52-$D52),1)=(HR52-HS52)/MAX(ABS(HR52-HS52),1),1,TRUE,0)</f>
        <v/>
      </c>
      <c r="HU52" s="18"/>
      <c r="HV52" s="19"/>
      <c r="HW52" s="33" t="str" cm="1">
        <f t="array" ref="HW52">_xlfn.IFS($D52="","",AND(HU52=$C52,HV52=$D52),3,($C52-$D52)/MAX(ABS($C52-$D52),1)=(HU52-HV52)/MAX(ABS(HU52-HV52),1),1,TRUE,0)</f>
        <v/>
      </c>
      <c r="HX52" s="18"/>
      <c r="HY52" s="19"/>
      <c r="HZ52" s="33" t="str" cm="1">
        <f t="array" ref="HZ52">_xlfn.IFS($D52="","",AND(HX52=$C52,HY52=$D52),3,($C52-$D52)/MAX(ABS($C52-$D52),1)=(HX52-HY52)/MAX(ABS(HX52-HY52),1),1,TRUE,0)</f>
        <v/>
      </c>
      <c r="IA52" s="18"/>
      <c r="IB52" s="19"/>
      <c r="IC52" s="33" t="str" cm="1">
        <f t="array" ref="IC52">_xlfn.IFS($D52="","",AND(IA52=$C52,IB52=$D52),3,($C52-$D52)/MAX(ABS($C52-$D52),1)=(IA52-IB52)/MAX(ABS(IA52-IB52),1),1,TRUE,0)</f>
        <v/>
      </c>
      <c r="ID52" s="18"/>
      <c r="IE52" s="19"/>
      <c r="IF52" s="33" t="str" cm="1">
        <f t="array" ref="IF52">_xlfn.IFS($D52="","",AND(ID52=$C52,IE52=$D52),3,($C52-$D52)/MAX(ABS($C52-$D52),1)=(ID52-IE52)/MAX(ABS(ID52-IE52),1),1,TRUE,0)</f>
        <v/>
      </c>
      <c r="IG52" s="18"/>
      <c r="IH52" s="19"/>
      <c r="II52" s="33" t="str" cm="1">
        <f t="array" ref="II52">_xlfn.IFS($D52="","",AND(IG52=$C52,IH52=$D52),3,($C52-$D52)/MAX(ABS($C52-$D52),1)=(IG52-IH52)/MAX(ABS(IG52-IH52),1),1,TRUE,0)</f>
        <v/>
      </c>
      <c r="IJ52" s="18"/>
      <c r="IK52" s="19"/>
      <c r="IL52" s="33" t="str" cm="1">
        <f t="array" ref="IL52">_xlfn.IFS($D52="","",AND(IJ52=$C52,IK52=$D52),3,($C52-$D52)/MAX(ABS($C52-$D52),1)=(IJ52-IK52)/MAX(ABS(IJ52-IK52),1),1,TRUE,0)</f>
        <v/>
      </c>
      <c r="IM52" s="18"/>
      <c r="IN52" s="19"/>
      <c r="IO52" s="33" t="str" cm="1">
        <f t="array" ref="IO52">_xlfn.IFS($D52="","",AND(IM52=$C52,IN52=$D52),3,($C52-$D52)/MAX(ABS($C52-$D52),1)=(IM52-IN52)/MAX(ABS(IM52-IN52),1),1,TRUE,0)</f>
        <v/>
      </c>
      <c r="IP52" s="18"/>
      <c r="IQ52" s="19"/>
      <c r="IR52" s="33" t="str" cm="1">
        <f t="array" ref="IR52">_xlfn.IFS($D52="","",AND(IP52=$C52,IQ52=$D52),3,($C52-$D52)/MAX(ABS($C52-$D52),1)=(IP52-IQ52)/MAX(ABS(IP52-IQ52),1),1,TRUE,0)</f>
        <v/>
      </c>
      <c r="IS52" s="18"/>
      <c r="IT52" s="19"/>
      <c r="IU52" s="33" t="str" cm="1">
        <f t="array" ref="IU52">_xlfn.IFS($D52="","",AND(IS52=$C52,IT52=$D52),3,($C52-$D52)/MAX(ABS($C52-$D52),1)=(IS52-IT52)/MAX(ABS(IS52-IT52),1),1,TRUE,0)</f>
        <v/>
      </c>
      <c r="IV52" s="18"/>
      <c r="IW52" s="19"/>
      <c r="IX52" s="33" t="str" cm="1">
        <f t="array" ref="IX52">_xlfn.IFS($D52="","",AND(IV52=$C52,IW52=$D52),3,($C52-$D52)/MAX(ABS($C52-$D52),1)=(IV52-IW52)/MAX(ABS(IV52-IW52),1),1,TRUE,0)</f>
        <v/>
      </c>
      <c r="IY52" s="18"/>
      <c r="IZ52" s="19"/>
      <c r="JA52" s="33" t="str" cm="1">
        <f t="array" ref="JA52">_xlfn.IFS($D52="","",AND(IY52=$C52,IZ52=$D52),3,($C52-$D52)/MAX(ABS($C52-$D52),1)=(IY52-IZ52)/MAX(ABS(IY52-IZ52),1),1,TRUE,0)</f>
        <v/>
      </c>
      <c r="JB52" s="18"/>
      <c r="JC52" s="19"/>
      <c r="JD52" s="33" t="str" cm="1">
        <f t="array" ref="JD52">_xlfn.IFS($D52="","",AND(JB52=$C52,JC52=$D52),3,($C52-$D52)/MAX(ABS($C52-$D52),1)=(JB52-JC52)/MAX(ABS(JB52-JC52),1),1,TRUE,0)</f>
        <v/>
      </c>
    </row>
    <row r="53" spans="1:264" ht="15" thickBot="1" x14ac:dyDescent="0.35">
      <c r="A53" s="22">
        <v>46198</v>
      </c>
      <c r="B53" s="28" t="s">
        <v>31</v>
      </c>
      <c r="C53" s="53" t="str" cm="1">
        <f t="array" ref="C53">_xlfn.LET(
_xlpm.x,_xlfn.XLOOKUP(1,(Scores_Fixtures[Date]=A53)*(Scores_Fixtures[Home.1]=B53),Scores_Fixtures[Score.1],""),
IF(_xlpm.x="","",_xlpm.x)
)</f>
        <v/>
      </c>
      <c r="D53" s="53" t="str" cm="1">
        <f t="array" ref="D53">_xlfn.LET(
_xlpm.x,_xlfn.XLOOKUP(1,(Scores_Fixtures[Date]=A53)*(Scores_Fixtures[Home.1]=B53),Scores_Fixtures[Score.2],""),
IF(_xlpm.x="","",_xlpm.x)
)</f>
        <v/>
      </c>
      <c r="E53" s="12" t="s">
        <v>39</v>
      </c>
      <c r="F53" s="15"/>
      <c r="G53" s="53"/>
      <c r="H53" s="53"/>
      <c r="I53" s="33" t="str" cm="1">
        <f t="array" ref="I53">_xlfn.IFS($D53="","",AND(G53=$C53,H53=$D53),3,($C53-$D53)/MAX(ABS($C53-$D53),1)=(G53-H53)/MAX(ABS(G53-H53),1),1,TRUE,0)</f>
        <v/>
      </c>
      <c r="J53" s="18"/>
      <c r="K53" s="19"/>
      <c r="L53" s="33" t="str" cm="1">
        <f t="array" ref="L53">_xlfn.IFS($D53="","",AND(J53=$C53,K53=$D53),3,($C53-$D53)/MAX(ABS($C53-$D53),1)=(J53-K53)/MAX(ABS(J53-K53),1),1,TRUE,0)</f>
        <v/>
      </c>
      <c r="M53" s="18"/>
      <c r="N53" s="19"/>
      <c r="O53" s="33" t="str" cm="1">
        <f t="array" ref="O53">_xlfn.IFS($D53="","",AND(M53=$C53,N53=$D53),3,($C53-$D53)/MAX(ABS($C53-$D53),1)=(M53-N53)/MAX(ABS(M53-N53),1),1,TRUE,0)</f>
        <v/>
      </c>
      <c r="P53" s="18"/>
      <c r="Q53" s="19"/>
      <c r="R53" s="33" t="str" cm="1">
        <f t="array" ref="R53">_xlfn.IFS($D53="","",AND(P53=$C53,Q53=$D53),3,($C53-$D53)/MAX(ABS($C53-$D53),1)=(P53-Q53)/MAX(ABS(P53-Q53),1),1,TRUE,0)</f>
        <v/>
      </c>
      <c r="S53" s="18"/>
      <c r="T53" s="19"/>
      <c r="U53" s="33" t="str" cm="1">
        <f t="array" ref="U53">_xlfn.IFS($D53="","",AND(S53=$C53,T53=$D53),3,($C53-$D53)/MAX(ABS($C53-$D53),1)=(S53-T53)/MAX(ABS(S53-T53),1),1,TRUE,0)</f>
        <v/>
      </c>
      <c r="V53" s="18"/>
      <c r="W53" s="19"/>
      <c r="X53" s="33" t="str" cm="1">
        <f t="array" ref="X53">_xlfn.IFS($D53="","",AND(V53=$C53,W53=$D53),3,($C53-$D53)/MAX(ABS($C53-$D53),1)=(V53-W53)/MAX(ABS(V53-W53),1),1,TRUE,0)</f>
        <v/>
      </c>
      <c r="Y53" s="18"/>
      <c r="Z53" s="19"/>
      <c r="AA53" s="33" t="str" cm="1">
        <f t="array" ref="AA53">_xlfn.IFS($D53="","",AND(Y53=$C53,Z53=$D53),3,($C53-$D53)/MAX(ABS($C53-$D53),1)=(Y53-Z53)/MAX(ABS(Y53-Z53),1),1,TRUE,0)</f>
        <v/>
      </c>
      <c r="AB53" s="18"/>
      <c r="AC53" s="19"/>
      <c r="AD53" s="33" t="str" cm="1">
        <f t="array" ref="AD53">_xlfn.IFS($D53="","",AND(AB53=$C53,AC53=$D53),3,($C53-$D53)/MAX(ABS($C53-$D53),1)=(AB53-AC53)/MAX(ABS(AB53-AC53),1),1,TRUE,0)</f>
        <v/>
      </c>
      <c r="AE53" s="18"/>
      <c r="AF53" s="19"/>
      <c r="AG53" s="33" t="str" cm="1">
        <f t="array" ref="AG53">_xlfn.IFS($D53="","",AND(AE53=$C53,AF53=$D53),3,($C53-$D53)/MAX(ABS($C53-$D53),1)=(AE53-AF53)/MAX(ABS(AE53-AF53),1),1,TRUE,0)</f>
        <v/>
      </c>
      <c r="AH53" s="18"/>
      <c r="AI53" s="19"/>
      <c r="AJ53" s="33" t="str" cm="1">
        <f t="array" ref="AJ53">_xlfn.IFS($D53="","",AND(AH53=$C53,AI53=$D53),3,($C53-$D53)/MAX(ABS($C53-$D53),1)=(AH53-AI53)/MAX(ABS(AH53-AI53),1),1,TRUE,0)</f>
        <v/>
      </c>
      <c r="AK53" s="18"/>
      <c r="AL53" s="19"/>
      <c r="AM53" s="33" t="str" cm="1">
        <f t="array" ref="AM53">_xlfn.IFS($D53="","",AND(AK53=$C53,AL53=$D53),3,($C53-$D53)/MAX(ABS($C53-$D53),1)=(AK53-AL53)/MAX(ABS(AK53-AL53),1),1,TRUE,0)</f>
        <v/>
      </c>
      <c r="AN53" s="18"/>
      <c r="AO53" s="19"/>
      <c r="AP53" s="33" t="str" cm="1">
        <f t="array" ref="AP53">_xlfn.IFS($D53="","",AND(AN53=$C53,AO53=$D53),3,($C53-$D53)/MAX(ABS($C53-$D53),1)=(AN53-AO53)/MAX(ABS(AN53-AO53),1),1,TRUE,0)</f>
        <v/>
      </c>
      <c r="AQ53" s="18"/>
      <c r="AR53" s="19"/>
      <c r="AS53" s="33" t="str" cm="1">
        <f t="array" ref="AS53">_xlfn.IFS($D53="","",AND(AQ53=$C53,AR53=$D53),3,($C53-$D53)/MAX(ABS($C53-$D53),1)=(AQ53-AR53)/MAX(ABS(AQ53-AR53),1),1,TRUE,0)</f>
        <v/>
      </c>
      <c r="AT53" s="18"/>
      <c r="AU53" s="19"/>
      <c r="AV53" s="33" t="str" cm="1">
        <f t="array" ref="AV53">_xlfn.IFS($D53="","",AND(AT53=$C53,AU53=$D53),3,($C53-$D53)/MAX(ABS($C53-$D53),1)=(AT53-AU53)/MAX(ABS(AT53-AU53),1),1,TRUE,0)</f>
        <v/>
      </c>
      <c r="AW53" s="18"/>
      <c r="AX53" s="19"/>
      <c r="AY53" s="33" t="str" cm="1">
        <f t="array" ref="AY53">_xlfn.IFS($D53="","",AND(AW53=$C53,AX53=$D53),3,($C53-$D53)/MAX(ABS($C53-$D53),1)=(AW53-AX53)/MAX(ABS(AW53-AX53),1),1,TRUE,0)</f>
        <v/>
      </c>
      <c r="AZ53" s="18"/>
      <c r="BA53" s="19"/>
      <c r="BB53" s="33" t="str" cm="1">
        <f t="array" ref="BB53">_xlfn.IFS($D53="","",AND(AZ53=$C53,BA53=$D53),3,($C53-$D53)/MAX(ABS($C53-$D53),1)=(AZ53-BA53)/MAX(ABS(AZ53-BA53),1),1,TRUE,0)</f>
        <v/>
      </c>
      <c r="BC53" s="18"/>
      <c r="BD53" s="19"/>
      <c r="BE53" s="33" t="str" cm="1">
        <f t="array" ref="BE53">_xlfn.IFS($D53="","",AND(BC53=$C53,BD53=$D53),3,($C53-$D53)/MAX(ABS($C53-$D53),1)=(BC53-BD53)/MAX(ABS(BC53-BD53),1),1,TRUE,0)</f>
        <v/>
      </c>
      <c r="BF53" s="18"/>
      <c r="BG53" s="19"/>
      <c r="BH53" s="33" t="str" cm="1">
        <f t="array" ref="BH53">_xlfn.IFS($D53="","",AND(BF53=$C53,BG53=$D53),3,($C53-$D53)/MAX(ABS($C53-$D53),1)=(BF53-BG53)/MAX(ABS(BF53-BG53),1),1,TRUE,0)</f>
        <v/>
      </c>
      <c r="BI53" s="18"/>
      <c r="BJ53" s="19"/>
      <c r="BK53" s="33" t="str" cm="1">
        <f t="array" ref="BK53">_xlfn.IFS($D53="","",AND(BI53=$C53,BJ53=$D53),3,($C53-$D53)/MAX(ABS($C53-$D53),1)=(BI53-BJ53)/MAX(ABS(BI53-BJ53),1),1,TRUE,0)</f>
        <v/>
      </c>
      <c r="BL53" s="18"/>
      <c r="BM53" s="19"/>
      <c r="BN53" s="33" t="str" cm="1">
        <f t="array" ref="BN53">_xlfn.IFS($D53="","",AND(BL53=$C53,BM53=$D53),3,($C53-$D53)/MAX(ABS($C53-$D53),1)=(BL53-BM53)/MAX(ABS(BL53-BM53),1),1,TRUE,0)</f>
        <v/>
      </c>
      <c r="BO53" s="18"/>
      <c r="BP53" s="19"/>
      <c r="BQ53" s="33" t="str" cm="1">
        <f t="array" ref="BQ53">_xlfn.IFS($D53="","",AND(BO53=$C53,BP53=$D53),3,($C53-$D53)/MAX(ABS($C53-$D53),1)=(BO53-BP53)/MAX(ABS(BO53-BP53),1),1,TRUE,0)</f>
        <v/>
      </c>
      <c r="BR53" s="18"/>
      <c r="BS53" s="19"/>
      <c r="BT53" s="33" t="str" cm="1">
        <f t="array" ref="BT53">_xlfn.IFS($D53="","",AND(BR53=$C53,BS53=$D53),3,($C53-$D53)/MAX(ABS($C53-$D53),1)=(BR53-BS53)/MAX(ABS(BR53-BS53),1),1,TRUE,0)</f>
        <v/>
      </c>
      <c r="BU53" s="18"/>
      <c r="BV53" s="19"/>
      <c r="BW53" s="33" t="str" cm="1">
        <f t="array" ref="BW53">_xlfn.IFS($D53="","",AND(BU53=$C53,BV53=$D53),3,($C53-$D53)/MAX(ABS($C53-$D53),1)=(BU53-BV53)/MAX(ABS(BU53-BV53),1),1,TRUE,0)</f>
        <v/>
      </c>
      <c r="BX53" s="18"/>
      <c r="BY53" s="19"/>
      <c r="BZ53" s="33" t="str" cm="1">
        <f t="array" ref="BZ53">_xlfn.IFS($D53="","",AND(BX53=$C53,BY53=$D53),3,($C53-$D53)/MAX(ABS($C53-$D53),1)=(BX53-BY53)/MAX(ABS(BX53-BY53),1),1,TRUE,0)</f>
        <v/>
      </c>
      <c r="CA53" s="18"/>
      <c r="CB53" s="19"/>
      <c r="CC53" s="33" t="str" cm="1">
        <f t="array" ref="CC53">_xlfn.IFS($D53="","",AND(CA53=$C53,CB53=$D53),3,($C53-$D53)/MAX(ABS($C53-$D53),1)=(CA53-CB53)/MAX(ABS(CA53-CB53),1),1,TRUE,0)</f>
        <v/>
      </c>
      <c r="CD53" s="18"/>
      <c r="CE53" s="19"/>
      <c r="CF53" s="33" t="str" cm="1">
        <f t="array" ref="CF53">_xlfn.IFS($D53="","",AND(CD53=$C53,CE53=$D53),3,($C53-$D53)/MAX(ABS($C53-$D53),1)=(CD53-CE53)/MAX(ABS(CD53-CE53),1),1,TRUE,0)</f>
        <v/>
      </c>
      <c r="CG53" s="18"/>
      <c r="CH53" s="19"/>
      <c r="CI53" s="33" t="str" cm="1">
        <f t="array" ref="CI53">_xlfn.IFS($D53="","",AND(CG53=$C53,CH53=$D53),3,($C53-$D53)/MAX(ABS($C53-$D53),1)=(CG53-CH53)/MAX(ABS(CG53-CH53),1),1,TRUE,0)</f>
        <v/>
      </c>
      <c r="CJ53" s="18"/>
      <c r="CK53" s="19"/>
      <c r="CL53" s="33" t="str" cm="1">
        <f t="array" ref="CL53">_xlfn.IFS($D53="","",AND(CJ53=$C53,CK53=$D53),3,($C53-$D53)/MAX(ABS($C53-$D53),1)=(CJ53-CK53)/MAX(ABS(CJ53-CK53),1),1,TRUE,0)</f>
        <v/>
      </c>
      <c r="CM53" s="18"/>
      <c r="CN53" s="19"/>
      <c r="CO53" s="33" t="str" cm="1">
        <f t="array" ref="CO53">_xlfn.IFS($D53="","",AND(CM53=$C53,CN53=$D53),3,($C53-$D53)/MAX(ABS($C53-$D53),1)=(CM53-CN53)/MAX(ABS(CM53-CN53),1),1,TRUE,0)</f>
        <v/>
      </c>
      <c r="CP53" s="18"/>
      <c r="CQ53" s="19"/>
      <c r="CR53" s="33" t="str" cm="1">
        <f t="array" ref="CR53">_xlfn.IFS($D53="","",AND(CP53=$C53,CQ53=$D53),3,($C53-$D53)/MAX(ABS($C53-$D53),1)=(CP53-CQ53)/MAX(ABS(CP53-CQ53),1),1,TRUE,0)</f>
        <v/>
      </c>
      <c r="CS53" s="18"/>
      <c r="CT53" s="19"/>
      <c r="CU53" s="33" t="str" cm="1">
        <f t="array" ref="CU53">_xlfn.IFS($D53="","",AND(CS53=$C53,CT53=$D53),3,($C53-$D53)/MAX(ABS($C53-$D53),1)=(CS53-CT53)/MAX(ABS(CS53-CT53),1),1,TRUE,0)</f>
        <v/>
      </c>
      <c r="CV53" s="18"/>
      <c r="CW53" s="19"/>
      <c r="CX53" s="33" t="str" cm="1">
        <f t="array" ref="CX53">_xlfn.IFS($D53="","",AND(CV53=$C53,CW53=$D53),3,($C53-$D53)/MAX(ABS($C53-$D53),1)=(CV53-CW53)/MAX(ABS(CV53-CW53),1),1,TRUE,0)</f>
        <v/>
      </c>
      <c r="CY53" s="18"/>
      <c r="CZ53" s="19"/>
      <c r="DA53" s="33" t="str" cm="1">
        <f t="array" ref="DA53">_xlfn.IFS($D53="","",AND(CY53=$C53,CZ53=$D53),3,($C53-$D53)/MAX(ABS($C53-$D53),1)=(CY53-CZ53)/MAX(ABS(CY53-CZ53),1),1,TRUE,0)</f>
        <v/>
      </c>
      <c r="DB53" s="37"/>
      <c r="DC53" s="38"/>
      <c r="DD53" s="33" t="str" cm="1">
        <f t="array" ref="DD53">_xlfn.IFS($D53="","",AND(DB53=$C53,DC53=$D53),3,($C53-$D53)/MAX(ABS($C53-$D53),1)=(DB53-DC53)/MAX(ABS(DB53-DC53),1),1,TRUE,0)</f>
        <v/>
      </c>
      <c r="DE53" s="18"/>
      <c r="DF53" s="19"/>
      <c r="DG53" s="33" t="str" cm="1">
        <f t="array" ref="DG53">_xlfn.IFS($D53="","",AND(DE53=$C53,DF53=$D53),3,($C53-$D53)/MAX(ABS($C53-$D53),1)=(DE53-DF53)/MAX(ABS(DE53-DF53),1),1,TRUE,0)</f>
        <v/>
      </c>
      <c r="DH53" s="18"/>
      <c r="DI53" s="19"/>
      <c r="DJ53" s="33" t="str" cm="1">
        <f t="array" ref="DJ53">_xlfn.IFS($D53="","",AND(DH53=$C53,DI53=$D53),3,($C53-$D53)/MAX(ABS($C53-$D53),1)=(DH53-DI53)/MAX(ABS(DH53-DI53),1),1,TRUE,0)</f>
        <v/>
      </c>
      <c r="DK53" s="18"/>
      <c r="DL53" s="19"/>
      <c r="DM53" s="33" t="str" cm="1">
        <f t="array" ref="DM53">_xlfn.IFS($D53="","",AND(DK53=$C53,DL53=$D53),3,($C53-$D53)/MAX(ABS($C53-$D53),1)=(DK53-DL53)/MAX(ABS(DK53-DL53),1),1,TRUE,0)</f>
        <v/>
      </c>
      <c r="DN53" s="18"/>
      <c r="DO53" s="19"/>
      <c r="DP53" s="33" t="str" cm="1">
        <f t="array" ref="DP53">_xlfn.IFS($D53="","",AND(DN53=$C53,DO53=$D53),3,($C53-$D53)/MAX(ABS($C53-$D53),1)=(DN53-DO53)/MAX(ABS(DN53-DO53),1),1,TRUE,0)</f>
        <v/>
      </c>
      <c r="DQ53" s="18"/>
      <c r="DR53" s="19"/>
      <c r="DS53" s="33" t="str" cm="1">
        <f t="array" ref="DS53">_xlfn.IFS($D53="","",AND(DQ53=$C53,DR53=$D53),3,($C53-$D53)/MAX(ABS($C53-$D53),1)=(DQ53-DR53)/MAX(ABS(DQ53-DR53),1),1,TRUE,0)</f>
        <v/>
      </c>
      <c r="DT53" s="18"/>
      <c r="DU53" s="19"/>
      <c r="DV53" s="33" t="str" cm="1">
        <f t="array" ref="DV53">_xlfn.IFS($D53="","",AND(DT53=$C53,DU53=$D53),3,($C53-$D53)/MAX(ABS($C53-$D53),1)=(DT53-DU53)/MAX(ABS(DT53-DU53),1),1,TRUE,0)</f>
        <v/>
      </c>
      <c r="DW53" s="18"/>
      <c r="DX53" s="19"/>
      <c r="DY53" s="33" t="str" cm="1">
        <f t="array" ref="DY53">_xlfn.IFS($D53="","",AND(DW53=$C53,DX53=$D53),3,($C53-$D53)/MAX(ABS($C53-$D53),1)=(DW53-DX53)/MAX(ABS(DW53-DX53),1),1,TRUE,0)</f>
        <v/>
      </c>
      <c r="DZ53" s="18"/>
      <c r="EA53" s="19"/>
      <c r="EB53" s="33" t="str" cm="1">
        <f t="array" ref="EB53">_xlfn.IFS($D53="","",AND(DZ53=$C53,EA53=$D53),3,($C53-$D53)/MAX(ABS($C53-$D53),1)=(DZ53-EA53)/MAX(ABS(DZ53-EA53),1),1,TRUE,0)</f>
        <v/>
      </c>
      <c r="EC53" s="18"/>
      <c r="ED53" s="19"/>
      <c r="EE53" s="33" t="str" cm="1">
        <f t="array" ref="EE53">_xlfn.IFS($D53="","",AND(EC53=$C53,ED53=$D53),3,($C53-$D53)/MAX(ABS($C53-$D53),1)=(EC53-ED53)/MAX(ABS(EC53-ED53),1),1,TRUE,0)</f>
        <v/>
      </c>
      <c r="EF53" s="18"/>
      <c r="EG53" s="19"/>
      <c r="EH53" s="33" t="str" cm="1">
        <f t="array" ref="EH53">_xlfn.IFS($D53="","",AND(EF53=$C53,EG53=$D53),3,($C53-$D53)/MAX(ABS($C53-$D53),1)=(EF53-EG53)/MAX(ABS(EF53-EG53),1),1,TRUE,0)</f>
        <v/>
      </c>
      <c r="EI53" s="50"/>
      <c r="EJ53" s="51"/>
      <c r="EK53" s="33" t="str" cm="1">
        <f t="array" ref="EK53">_xlfn.IFS($D53="","",AND(EI53=$C53,EJ53=$D53),3,($C53-$D53)/MAX(ABS($C53-$D53),1)=(EI53-EJ53)/MAX(ABS(EI53-EJ53),1),1,TRUE,0)</f>
        <v/>
      </c>
      <c r="EL53" s="18"/>
      <c r="EM53" s="19"/>
      <c r="EN53" s="33" t="str" cm="1">
        <f t="array" ref="EN53">_xlfn.IFS($D53="","",AND(EL53=$C53,EM53=$D53),3,($C53-$D53)/MAX(ABS($C53-$D53),1)=(EL53-EM53)/MAX(ABS(EL53-EM53),1),1,TRUE,0)</f>
        <v/>
      </c>
      <c r="EO53" s="18"/>
      <c r="EP53" s="19"/>
      <c r="EQ53" s="33" t="str" cm="1">
        <f t="array" ref="EQ53">_xlfn.IFS($D53="","",AND(EO53=$C53,EP53=$D53),3,($C53-$D53)/MAX(ABS($C53-$D53),1)=(EO53-EP53)/MAX(ABS(EO53-EP53),1),1,TRUE,0)</f>
        <v/>
      </c>
      <c r="ER53" s="18"/>
      <c r="ES53" s="19"/>
      <c r="ET53" s="33" t="str" cm="1">
        <f t="array" ref="ET53">_xlfn.IFS($D53="","",AND(ER53=$C53,ES53=$D53),3,($C53-$D53)/MAX(ABS($C53-$D53),1)=(ER53-ES53)/MAX(ABS(ER53-ES53),1),1,TRUE,0)</f>
        <v/>
      </c>
      <c r="EU53" s="18"/>
      <c r="EV53" s="19"/>
      <c r="EW53" s="33" t="str" cm="1">
        <f t="array" ref="EW53">_xlfn.IFS($D53="","",AND(EU53=$C53,EV53=$D53),3,($C53-$D53)/MAX(ABS($C53-$D53),1)=(EU53-EV53)/MAX(ABS(EU53-EV53),1),1,TRUE,0)</f>
        <v/>
      </c>
      <c r="EX53" s="18"/>
      <c r="EY53" s="19"/>
      <c r="EZ53" s="33" t="str" cm="1">
        <f t="array" ref="EZ53">_xlfn.IFS($D53="","",AND(EX53=$C53,EY53=$D53),3,($C53-$D53)/MAX(ABS($C53-$D53),1)=(EX53-EY53)/MAX(ABS(EX53-EY53),1),1,TRUE,0)</f>
        <v/>
      </c>
      <c r="FA53" s="18"/>
      <c r="FB53" s="19"/>
      <c r="FC53" s="33" t="str" cm="1">
        <f t="array" ref="FC53">_xlfn.IFS($D53="","",AND(FA53=$C53,FB53=$D53),3,($C53-$D53)/MAX(ABS($C53-$D53),1)=(FA53-FB53)/MAX(ABS(FA53-FB53),1),1,TRUE,0)</f>
        <v/>
      </c>
      <c r="FD53" s="18"/>
      <c r="FE53" s="19"/>
      <c r="FF53" s="33" t="str" cm="1">
        <f t="array" ref="FF53">_xlfn.IFS($D53="","",AND(FD53=$C53,FE53=$D53),3,($C53-$D53)/MAX(ABS($C53-$D53),1)=(FD53-FE53)/MAX(ABS(FD53-FE53),1),1,TRUE,0)</f>
        <v/>
      </c>
      <c r="FG53" s="18"/>
      <c r="FH53" s="19"/>
      <c r="FI53" s="33" t="str" cm="1">
        <f t="array" ref="FI53">_xlfn.IFS($D53="","",AND(FG53=$C53,FH53=$D53),3,($C53-$D53)/MAX(ABS($C53-$D53),1)=(FG53-FH53)/MAX(ABS(FG53-FH53),1),1,TRUE,0)</f>
        <v/>
      </c>
      <c r="FJ53" s="18"/>
      <c r="FK53" s="19"/>
      <c r="FL53" s="33" t="str" cm="1">
        <f t="array" ref="FL53">_xlfn.IFS($D53="","",AND(FJ53=$C53,FK53=$D53),3,($C53-$D53)/MAX(ABS($C53-$D53),1)=(FJ53-FK53)/MAX(ABS(FJ53-FK53),1),1,TRUE,0)</f>
        <v/>
      </c>
      <c r="FM53" s="18"/>
      <c r="FN53" s="19"/>
      <c r="FO53" s="33" t="str" cm="1">
        <f t="array" ref="FO53">_xlfn.IFS($D53="","",AND(FM53=$C53,FN53=$D53),3,($C53-$D53)/MAX(ABS($C53-$D53),1)=(FM53-FN53)/MAX(ABS(FM53-FN53),1),1,TRUE,0)</f>
        <v/>
      </c>
      <c r="FP53" s="18"/>
      <c r="FQ53" s="19"/>
      <c r="FR53" s="33" t="str" cm="1">
        <f t="array" ref="FR53">_xlfn.IFS($D53="","",AND(FP53=$C53,FQ53=$D53),3,($C53-$D53)/MAX(ABS($C53-$D53),1)=(FP53-FQ53)/MAX(ABS(FP53-FQ53),1),1,TRUE,0)</f>
        <v/>
      </c>
      <c r="FS53" s="18"/>
      <c r="FT53" s="19"/>
      <c r="FU53" s="33" t="str" cm="1">
        <f t="array" ref="FU53">_xlfn.IFS($D53="","",AND(FS53=$C53,FT53=$D53),3,($C53-$D53)/MAX(ABS($C53-$D53),1)=(FS53-FT53)/MAX(ABS(FS53-FT53),1),1,TRUE,0)</f>
        <v/>
      </c>
      <c r="FV53" s="18"/>
      <c r="FW53" s="19"/>
      <c r="FX53" s="33" t="str" cm="1">
        <f t="array" ref="FX53">_xlfn.IFS($D53="","",AND(FV53=$C53,FW53=$D53),3,($C53-$D53)/MAX(ABS($C53-$D53),1)=(FV53-FW53)/MAX(ABS(FV53-FW53),1),1,TRUE,0)</f>
        <v/>
      </c>
      <c r="FY53" s="18"/>
      <c r="FZ53" s="19"/>
      <c r="GA53" s="33" t="str" cm="1">
        <f t="array" ref="GA53">_xlfn.IFS($D53="","",AND(FY53=$C53,FZ53=$D53),3,($C53-$D53)/MAX(ABS($C53-$D53),1)=(FY53-FZ53)/MAX(ABS(FY53-FZ53),1),1,TRUE,0)</f>
        <v/>
      </c>
      <c r="GB53" s="18"/>
      <c r="GC53" s="19"/>
      <c r="GD53" s="33" t="str" cm="1">
        <f t="array" ref="GD53">_xlfn.IFS($D53="","",AND(GB53=$C53,GC53=$D53),3,($C53-$D53)/MAX(ABS($C53-$D53),1)=(GB53-GC53)/MAX(ABS(GB53-GC53),1),1,TRUE,0)</f>
        <v/>
      </c>
      <c r="GE53" s="52"/>
      <c r="GF53" s="19"/>
      <c r="GG53" s="33" t="str" cm="1">
        <f t="array" ref="GG53">_xlfn.IFS($D53="","",AND(GE53=$C53,GF53=$D53),3,($C53-$D53)/MAX(ABS($C53-$D53),1)=(GE53-GF53)/MAX(ABS(GE53-GF53),1),1,TRUE,0)</f>
        <v/>
      </c>
      <c r="GH53" s="18"/>
      <c r="GI53" s="19"/>
      <c r="GJ53" s="33" t="str" cm="1">
        <f t="array" ref="GJ53">_xlfn.IFS($D53="","",AND(GH53=$C53,GI53=$D53),3,($C53-$D53)/MAX(ABS($C53-$D53),1)=(GH53-GI53)/MAX(ABS(GH53-GI53),1),1,TRUE,0)</f>
        <v/>
      </c>
      <c r="GK53" s="18"/>
      <c r="GL53" s="19"/>
      <c r="GM53" s="33" t="str" cm="1">
        <f t="array" ref="GM53">_xlfn.IFS($D53="","",AND(GK53=$C53,GL53=$D53),3,($C53-$D53)/MAX(ABS($C53-$D53),1)=(GK53-GL53)/MAX(ABS(GK53-GL53),1),1,TRUE,0)</f>
        <v/>
      </c>
      <c r="GN53" s="18"/>
      <c r="GO53" s="19"/>
      <c r="GP53" s="33" t="str" cm="1">
        <f t="array" ref="GP53">_xlfn.IFS($D53="","",AND(GN53=$C53,GO53=$D53),3,($C53-$D53)/MAX(ABS($C53-$D53),1)=(GN53-GO53)/MAX(ABS(GN53-GO53),1),1,TRUE,0)</f>
        <v/>
      </c>
      <c r="GQ53" s="18"/>
      <c r="GR53" s="19"/>
      <c r="GS53" s="33" t="str" cm="1">
        <f t="array" ref="GS53">_xlfn.IFS($D53="","",AND(GQ53=$C53,GR53=$D53),3,($C53-$D53)/MAX(ABS($C53-$D53),1)=(GQ53-GR53)/MAX(ABS(GQ53-GR53),1),1,TRUE,0)</f>
        <v/>
      </c>
      <c r="GT53" s="18"/>
      <c r="GU53" s="19"/>
      <c r="GV53" s="33" t="str" cm="1">
        <f t="array" ref="GV53">_xlfn.IFS($D53="","",AND(GT53=$C53,GU53=$D53),3,($C53-$D53)/MAX(ABS($C53-$D53),1)=(GT53-GU53)/MAX(ABS(GT53-GU53),1),1,TRUE,0)</f>
        <v/>
      </c>
      <c r="GW53" s="18"/>
      <c r="GX53" s="19"/>
      <c r="GY53" s="33" t="str" cm="1">
        <f t="array" ref="GY53">_xlfn.IFS($D53="","",AND(GW53=$C53,GX53=$D53),3,($C53-$D53)/MAX(ABS($C53-$D53),1)=(GW53-GX53)/MAX(ABS(GW53-GX53),1),1,TRUE,0)</f>
        <v/>
      </c>
      <c r="GZ53" s="18"/>
      <c r="HA53" s="19"/>
      <c r="HB53" s="33" t="str" cm="1">
        <f t="array" ref="HB53">_xlfn.IFS($D53="","",AND(GZ53=$C53,HA53=$D53),3,($C53-$D53)/MAX(ABS($C53-$D53),1)=(GZ53-HA53)/MAX(ABS(GZ53-HA53),1),1,TRUE,0)</f>
        <v/>
      </c>
      <c r="HC53" s="18"/>
      <c r="HD53" s="19"/>
      <c r="HE53" s="33" t="str" cm="1">
        <f t="array" ref="HE53">_xlfn.IFS($D53="","",AND(HC53=$C53,HD53=$D53),3,($C53-$D53)/MAX(ABS($C53-$D53),1)=(HC53-HD53)/MAX(ABS(HC53-HD53),1),1,TRUE,0)</f>
        <v/>
      </c>
      <c r="HF53" s="18"/>
      <c r="HG53" s="19"/>
      <c r="HH53" s="33" t="str" cm="1">
        <f t="array" ref="HH53">_xlfn.IFS($D53="","",AND(HF53=$C53,HG53=$D53),3,($C53-$D53)/MAX(ABS($C53-$D53),1)=(HF53-HG53)/MAX(ABS(HF53-HG53),1),1,TRUE,0)</f>
        <v/>
      </c>
      <c r="HI53" s="18"/>
      <c r="HJ53" s="19"/>
      <c r="HK53" s="33" t="str" cm="1">
        <f t="array" ref="HK53">_xlfn.IFS($D53="","",AND(HI53=$C53,HJ53=$D53),3,($C53-$D53)/MAX(ABS($C53-$D53),1)=(HI53-HJ53)/MAX(ABS(HI53-HJ53),1),1,TRUE,0)</f>
        <v/>
      </c>
      <c r="HL53" s="18"/>
      <c r="HM53" s="19"/>
      <c r="HN53" s="33" t="str" cm="1">
        <f t="array" ref="HN53">_xlfn.IFS($D53="","",AND(HL53=$C53,HM53=$D53),3,($C53-$D53)/MAX(ABS($C53-$D53),1)=(HL53-HM53)/MAX(ABS(HL53-HM53),1),1,TRUE,0)</f>
        <v/>
      </c>
      <c r="HO53" s="18"/>
      <c r="HP53" s="19"/>
      <c r="HQ53" s="33" t="str" cm="1">
        <f t="array" ref="HQ53">_xlfn.IFS($D53="","",AND(HO53=$C53,HP53=$D53),3,($C53-$D53)/MAX(ABS($C53-$D53),1)=(HO53-HP53)/MAX(ABS(HO53-HP53),1),1,TRUE,0)</f>
        <v/>
      </c>
      <c r="HR53" s="18"/>
      <c r="HS53" s="19"/>
      <c r="HT53" s="33" t="str" cm="1">
        <f t="array" ref="HT53">_xlfn.IFS($D53="","",AND(HR53=$C53,HS53=$D53),3,($C53-$D53)/MAX(ABS($C53-$D53),1)=(HR53-HS53)/MAX(ABS(HR53-HS53),1),1,TRUE,0)</f>
        <v/>
      </c>
      <c r="HU53" s="18"/>
      <c r="HV53" s="19"/>
      <c r="HW53" s="33" t="str" cm="1">
        <f t="array" ref="HW53">_xlfn.IFS($D53="","",AND(HU53=$C53,HV53=$D53),3,($C53-$D53)/MAX(ABS($C53-$D53),1)=(HU53-HV53)/MAX(ABS(HU53-HV53),1),1,TRUE,0)</f>
        <v/>
      </c>
      <c r="HX53" s="18"/>
      <c r="HY53" s="19"/>
      <c r="HZ53" s="33" t="str" cm="1">
        <f t="array" ref="HZ53">_xlfn.IFS($D53="","",AND(HX53=$C53,HY53=$D53),3,($C53-$D53)/MAX(ABS($C53-$D53),1)=(HX53-HY53)/MAX(ABS(HX53-HY53),1),1,TRUE,0)</f>
        <v/>
      </c>
      <c r="IA53" s="18"/>
      <c r="IB53" s="19"/>
      <c r="IC53" s="33" t="str" cm="1">
        <f t="array" ref="IC53">_xlfn.IFS($D53="","",AND(IA53=$C53,IB53=$D53),3,($C53-$D53)/MAX(ABS($C53-$D53),1)=(IA53-IB53)/MAX(ABS(IA53-IB53),1),1,TRUE,0)</f>
        <v/>
      </c>
      <c r="ID53" s="18"/>
      <c r="IE53" s="19"/>
      <c r="IF53" s="33" t="str" cm="1">
        <f t="array" ref="IF53">_xlfn.IFS($D53="","",AND(ID53=$C53,IE53=$D53),3,($C53-$D53)/MAX(ABS($C53-$D53),1)=(ID53-IE53)/MAX(ABS(ID53-IE53),1),1,TRUE,0)</f>
        <v/>
      </c>
      <c r="IG53" s="18"/>
      <c r="IH53" s="19"/>
      <c r="II53" s="33" t="str" cm="1">
        <f t="array" ref="II53">_xlfn.IFS($D53="","",AND(IG53=$C53,IH53=$D53),3,($C53-$D53)/MAX(ABS($C53-$D53),1)=(IG53-IH53)/MAX(ABS(IG53-IH53),1),1,TRUE,0)</f>
        <v/>
      </c>
      <c r="IJ53" s="18"/>
      <c r="IK53" s="19"/>
      <c r="IL53" s="33" t="str" cm="1">
        <f t="array" ref="IL53">_xlfn.IFS($D53="","",AND(IJ53=$C53,IK53=$D53),3,($C53-$D53)/MAX(ABS($C53-$D53),1)=(IJ53-IK53)/MAX(ABS(IJ53-IK53),1),1,TRUE,0)</f>
        <v/>
      </c>
      <c r="IM53" s="18"/>
      <c r="IN53" s="19"/>
      <c r="IO53" s="33" t="str" cm="1">
        <f t="array" ref="IO53">_xlfn.IFS($D53="","",AND(IM53=$C53,IN53=$D53),3,($C53-$D53)/MAX(ABS($C53-$D53),1)=(IM53-IN53)/MAX(ABS(IM53-IN53),1),1,TRUE,0)</f>
        <v/>
      </c>
      <c r="IP53" s="18"/>
      <c r="IQ53" s="19"/>
      <c r="IR53" s="33" t="str" cm="1">
        <f t="array" ref="IR53">_xlfn.IFS($D53="","",AND(IP53=$C53,IQ53=$D53),3,($C53-$D53)/MAX(ABS($C53-$D53),1)=(IP53-IQ53)/MAX(ABS(IP53-IQ53),1),1,TRUE,0)</f>
        <v/>
      </c>
      <c r="IS53" s="18"/>
      <c r="IT53" s="19"/>
      <c r="IU53" s="33" t="str" cm="1">
        <f t="array" ref="IU53">_xlfn.IFS($D53="","",AND(IS53=$C53,IT53=$D53),3,($C53-$D53)/MAX(ABS($C53-$D53),1)=(IS53-IT53)/MAX(ABS(IS53-IT53),1),1,TRUE,0)</f>
        <v/>
      </c>
      <c r="IV53" s="18"/>
      <c r="IW53" s="19"/>
      <c r="IX53" s="33" t="str" cm="1">
        <f t="array" ref="IX53">_xlfn.IFS($D53="","",AND(IV53=$C53,IW53=$D53),3,($C53-$D53)/MAX(ABS($C53-$D53),1)=(IV53-IW53)/MAX(ABS(IV53-IW53),1),1,TRUE,0)</f>
        <v/>
      </c>
      <c r="IY53" s="18"/>
      <c r="IZ53" s="19"/>
      <c r="JA53" s="33" t="str" cm="1">
        <f t="array" ref="JA53">_xlfn.IFS($D53="","",AND(IY53=$C53,IZ53=$D53),3,($C53-$D53)/MAX(ABS($C53-$D53),1)=(IY53-IZ53)/MAX(ABS(IY53-IZ53),1),1,TRUE,0)</f>
        <v/>
      </c>
      <c r="JB53" s="18"/>
      <c r="JC53" s="19"/>
      <c r="JD53" s="33" t="str" cm="1">
        <f t="array" ref="JD53">_xlfn.IFS($D53="","",AND(JB53=$C53,JC53=$D53),3,($C53-$D53)/MAX(ABS($C53-$D53),1)=(JB53-JC53)/MAX(ABS(JB53-JC53),1),1,TRUE,0)</f>
        <v/>
      </c>
    </row>
    <row r="54" spans="1:264" ht="15" thickBot="1" x14ac:dyDescent="0.35">
      <c r="A54" s="22">
        <v>46198</v>
      </c>
      <c r="B54" s="28" t="s">
        <v>60</v>
      </c>
      <c r="C54" s="53" t="str" cm="1">
        <f t="array" ref="C54">_xlfn.LET(
_xlpm.x,_xlfn.XLOOKUP(1,(Scores_Fixtures[Date]=A54)*(Scores_Fixtures[Home.1]=B54),Scores_Fixtures[Score.1],""),
IF(_xlpm.x="","",_xlpm.x)
)</f>
        <v/>
      </c>
      <c r="D54" s="53" t="str" cm="1">
        <f t="array" ref="D54">_xlfn.LET(
_xlpm.x,_xlfn.XLOOKUP(1,(Scores_Fixtures[Date]=A54)*(Scores_Fixtures[Home.1]=B54),Scores_Fixtures[Score.2],""),
IF(_xlpm.x="","",_xlpm.x)
)</f>
        <v/>
      </c>
      <c r="E54" s="12" t="s">
        <v>40</v>
      </c>
      <c r="F54" s="15"/>
      <c r="G54" s="53"/>
      <c r="H54" s="53"/>
      <c r="I54" s="33" t="str" cm="1">
        <f t="array" ref="I54">_xlfn.IFS($D54="","",AND(G54=$C54,H54=$D54),3,($C54-$D54)/MAX(ABS($C54-$D54),1)=(G54-H54)/MAX(ABS(G54-H54),1),1,TRUE,0)</f>
        <v/>
      </c>
      <c r="J54" s="18"/>
      <c r="K54" s="19"/>
      <c r="L54" s="33" t="str" cm="1">
        <f t="array" ref="L54">_xlfn.IFS($D54="","",AND(J54=$C54,K54=$D54),3,($C54-$D54)/MAX(ABS($C54-$D54),1)=(J54-K54)/MAX(ABS(J54-K54),1),1,TRUE,0)</f>
        <v/>
      </c>
      <c r="M54" s="18"/>
      <c r="N54" s="19"/>
      <c r="O54" s="33" t="str" cm="1">
        <f t="array" ref="O54">_xlfn.IFS($D54="","",AND(M54=$C54,N54=$D54),3,($C54-$D54)/MAX(ABS($C54-$D54),1)=(M54-N54)/MAX(ABS(M54-N54),1),1,TRUE,0)</f>
        <v/>
      </c>
      <c r="P54" s="18"/>
      <c r="Q54" s="19"/>
      <c r="R54" s="33" t="str" cm="1">
        <f t="array" ref="R54">_xlfn.IFS($D54="","",AND(P54=$C54,Q54=$D54),3,($C54-$D54)/MAX(ABS($C54-$D54),1)=(P54-Q54)/MAX(ABS(P54-Q54),1),1,TRUE,0)</f>
        <v/>
      </c>
      <c r="S54" s="18"/>
      <c r="T54" s="19"/>
      <c r="U54" s="33" t="str" cm="1">
        <f t="array" ref="U54">_xlfn.IFS($D54="","",AND(S54=$C54,T54=$D54),3,($C54-$D54)/MAX(ABS($C54-$D54),1)=(S54-T54)/MAX(ABS(S54-T54),1),1,TRUE,0)</f>
        <v/>
      </c>
      <c r="V54" s="18"/>
      <c r="W54" s="19"/>
      <c r="X54" s="33" t="str" cm="1">
        <f t="array" ref="X54">_xlfn.IFS($D54="","",AND(V54=$C54,W54=$D54),3,($C54-$D54)/MAX(ABS($C54-$D54),1)=(V54-W54)/MAX(ABS(V54-W54),1),1,TRUE,0)</f>
        <v/>
      </c>
      <c r="Y54" s="18"/>
      <c r="Z54" s="19"/>
      <c r="AA54" s="33" t="str" cm="1">
        <f t="array" ref="AA54">_xlfn.IFS($D54="","",AND(Y54=$C54,Z54=$D54),3,($C54-$D54)/MAX(ABS($C54-$D54),1)=(Y54-Z54)/MAX(ABS(Y54-Z54),1),1,TRUE,0)</f>
        <v/>
      </c>
      <c r="AB54" s="18"/>
      <c r="AC54" s="19"/>
      <c r="AD54" s="33" t="str" cm="1">
        <f t="array" ref="AD54">_xlfn.IFS($D54="","",AND(AB54=$C54,AC54=$D54),3,($C54-$D54)/MAX(ABS($C54-$D54),1)=(AB54-AC54)/MAX(ABS(AB54-AC54),1),1,TRUE,0)</f>
        <v/>
      </c>
      <c r="AE54" s="18"/>
      <c r="AF54" s="19"/>
      <c r="AG54" s="33" t="str" cm="1">
        <f t="array" ref="AG54">_xlfn.IFS($D54="","",AND(AE54=$C54,AF54=$D54),3,($C54-$D54)/MAX(ABS($C54-$D54),1)=(AE54-AF54)/MAX(ABS(AE54-AF54),1),1,TRUE,0)</f>
        <v/>
      </c>
      <c r="AH54" s="18"/>
      <c r="AI54" s="19"/>
      <c r="AJ54" s="33" t="str" cm="1">
        <f t="array" ref="AJ54">_xlfn.IFS($D54="","",AND(AH54=$C54,AI54=$D54),3,($C54-$D54)/MAX(ABS($C54-$D54),1)=(AH54-AI54)/MAX(ABS(AH54-AI54),1),1,TRUE,0)</f>
        <v/>
      </c>
      <c r="AK54" s="18"/>
      <c r="AL54" s="19"/>
      <c r="AM54" s="33" t="str" cm="1">
        <f t="array" ref="AM54">_xlfn.IFS($D54="","",AND(AK54=$C54,AL54=$D54),3,($C54-$D54)/MAX(ABS($C54-$D54),1)=(AK54-AL54)/MAX(ABS(AK54-AL54),1),1,TRUE,0)</f>
        <v/>
      </c>
      <c r="AN54" s="18"/>
      <c r="AO54" s="19"/>
      <c r="AP54" s="33" t="str" cm="1">
        <f t="array" ref="AP54">_xlfn.IFS($D54="","",AND(AN54=$C54,AO54=$D54),3,($C54-$D54)/MAX(ABS($C54-$D54),1)=(AN54-AO54)/MAX(ABS(AN54-AO54),1),1,TRUE,0)</f>
        <v/>
      </c>
      <c r="AQ54" s="18"/>
      <c r="AR54" s="19"/>
      <c r="AS54" s="33" t="str" cm="1">
        <f t="array" ref="AS54">_xlfn.IFS($D54="","",AND(AQ54=$C54,AR54=$D54),3,($C54-$D54)/MAX(ABS($C54-$D54),1)=(AQ54-AR54)/MAX(ABS(AQ54-AR54),1),1,TRUE,0)</f>
        <v/>
      </c>
      <c r="AT54" s="18"/>
      <c r="AU54" s="19"/>
      <c r="AV54" s="33" t="str" cm="1">
        <f t="array" ref="AV54">_xlfn.IFS($D54="","",AND(AT54=$C54,AU54=$D54),3,($C54-$D54)/MAX(ABS($C54-$D54),1)=(AT54-AU54)/MAX(ABS(AT54-AU54),1),1,TRUE,0)</f>
        <v/>
      </c>
      <c r="AW54" s="18"/>
      <c r="AX54" s="19"/>
      <c r="AY54" s="33" t="str" cm="1">
        <f t="array" ref="AY54">_xlfn.IFS($D54="","",AND(AW54=$C54,AX54=$D54),3,($C54-$D54)/MAX(ABS($C54-$D54),1)=(AW54-AX54)/MAX(ABS(AW54-AX54),1),1,TRUE,0)</f>
        <v/>
      </c>
      <c r="AZ54" s="18"/>
      <c r="BA54" s="19"/>
      <c r="BB54" s="33" t="str" cm="1">
        <f t="array" ref="BB54">_xlfn.IFS($D54="","",AND(AZ54=$C54,BA54=$D54),3,($C54-$D54)/MAX(ABS($C54-$D54),1)=(AZ54-BA54)/MAX(ABS(AZ54-BA54),1),1,TRUE,0)</f>
        <v/>
      </c>
      <c r="BC54" s="18"/>
      <c r="BD54" s="19"/>
      <c r="BE54" s="33" t="str" cm="1">
        <f t="array" ref="BE54">_xlfn.IFS($D54="","",AND(BC54=$C54,BD54=$D54),3,($C54-$D54)/MAX(ABS($C54-$D54),1)=(BC54-BD54)/MAX(ABS(BC54-BD54),1),1,TRUE,0)</f>
        <v/>
      </c>
      <c r="BF54" s="18"/>
      <c r="BG54" s="19"/>
      <c r="BH54" s="33" t="str" cm="1">
        <f t="array" ref="BH54">_xlfn.IFS($D54="","",AND(BF54=$C54,BG54=$D54),3,($C54-$D54)/MAX(ABS($C54-$D54),1)=(BF54-BG54)/MAX(ABS(BF54-BG54),1),1,TRUE,0)</f>
        <v/>
      </c>
      <c r="BI54" s="18"/>
      <c r="BJ54" s="19"/>
      <c r="BK54" s="33" t="str" cm="1">
        <f t="array" ref="BK54">_xlfn.IFS($D54="","",AND(BI54=$C54,BJ54=$D54),3,($C54-$D54)/MAX(ABS($C54-$D54),1)=(BI54-BJ54)/MAX(ABS(BI54-BJ54),1),1,TRUE,0)</f>
        <v/>
      </c>
      <c r="BL54" s="18"/>
      <c r="BM54" s="19"/>
      <c r="BN54" s="33" t="str" cm="1">
        <f t="array" ref="BN54">_xlfn.IFS($D54="","",AND(BL54=$C54,BM54=$D54),3,($C54-$D54)/MAX(ABS($C54-$D54),1)=(BL54-BM54)/MAX(ABS(BL54-BM54),1),1,TRUE,0)</f>
        <v/>
      </c>
      <c r="BO54" s="18"/>
      <c r="BP54" s="19"/>
      <c r="BQ54" s="33" t="str" cm="1">
        <f t="array" ref="BQ54">_xlfn.IFS($D54="","",AND(BO54=$C54,BP54=$D54),3,($C54-$D54)/MAX(ABS($C54-$D54),1)=(BO54-BP54)/MAX(ABS(BO54-BP54),1),1,TRUE,0)</f>
        <v/>
      </c>
      <c r="BR54" s="18"/>
      <c r="BS54" s="19"/>
      <c r="BT54" s="33" t="str" cm="1">
        <f t="array" ref="BT54">_xlfn.IFS($D54="","",AND(BR54=$C54,BS54=$D54),3,($C54-$D54)/MAX(ABS($C54-$D54),1)=(BR54-BS54)/MAX(ABS(BR54-BS54),1),1,TRUE,0)</f>
        <v/>
      </c>
      <c r="BU54" s="18"/>
      <c r="BV54" s="19"/>
      <c r="BW54" s="33" t="str" cm="1">
        <f t="array" ref="BW54">_xlfn.IFS($D54="","",AND(BU54=$C54,BV54=$D54),3,($C54-$D54)/MAX(ABS($C54-$D54),1)=(BU54-BV54)/MAX(ABS(BU54-BV54),1),1,TRUE,0)</f>
        <v/>
      </c>
      <c r="BX54" s="18"/>
      <c r="BY54" s="19"/>
      <c r="BZ54" s="33" t="str" cm="1">
        <f t="array" ref="BZ54">_xlfn.IFS($D54="","",AND(BX54=$C54,BY54=$D54),3,($C54-$D54)/MAX(ABS($C54-$D54),1)=(BX54-BY54)/MAX(ABS(BX54-BY54),1),1,TRUE,0)</f>
        <v/>
      </c>
      <c r="CA54" s="18"/>
      <c r="CB54" s="19"/>
      <c r="CC54" s="33" t="str" cm="1">
        <f t="array" ref="CC54">_xlfn.IFS($D54="","",AND(CA54=$C54,CB54=$D54),3,($C54-$D54)/MAX(ABS($C54-$D54),1)=(CA54-CB54)/MAX(ABS(CA54-CB54),1),1,TRUE,0)</f>
        <v/>
      </c>
      <c r="CD54" s="18"/>
      <c r="CE54" s="19"/>
      <c r="CF54" s="33" t="str" cm="1">
        <f t="array" ref="CF54">_xlfn.IFS($D54="","",AND(CD54=$C54,CE54=$D54),3,($C54-$D54)/MAX(ABS($C54-$D54),1)=(CD54-CE54)/MAX(ABS(CD54-CE54),1),1,TRUE,0)</f>
        <v/>
      </c>
      <c r="CG54" s="18"/>
      <c r="CH54" s="19"/>
      <c r="CI54" s="33" t="str" cm="1">
        <f t="array" ref="CI54">_xlfn.IFS($D54="","",AND(CG54=$C54,CH54=$D54),3,($C54-$D54)/MAX(ABS($C54-$D54),1)=(CG54-CH54)/MAX(ABS(CG54-CH54),1),1,TRUE,0)</f>
        <v/>
      </c>
      <c r="CJ54" s="18"/>
      <c r="CK54" s="19"/>
      <c r="CL54" s="33" t="str" cm="1">
        <f t="array" ref="CL54">_xlfn.IFS($D54="","",AND(CJ54=$C54,CK54=$D54),3,($C54-$D54)/MAX(ABS($C54-$D54),1)=(CJ54-CK54)/MAX(ABS(CJ54-CK54),1),1,TRUE,0)</f>
        <v/>
      </c>
      <c r="CM54" s="18"/>
      <c r="CN54" s="19"/>
      <c r="CO54" s="33" t="str" cm="1">
        <f t="array" ref="CO54">_xlfn.IFS($D54="","",AND(CM54=$C54,CN54=$D54),3,($C54-$D54)/MAX(ABS($C54-$D54),1)=(CM54-CN54)/MAX(ABS(CM54-CN54),1),1,TRUE,0)</f>
        <v/>
      </c>
      <c r="CP54" s="18"/>
      <c r="CQ54" s="19"/>
      <c r="CR54" s="33" t="str" cm="1">
        <f t="array" ref="CR54">_xlfn.IFS($D54="","",AND(CP54=$C54,CQ54=$D54),3,($C54-$D54)/MAX(ABS($C54-$D54),1)=(CP54-CQ54)/MAX(ABS(CP54-CQ54),1),1,TRUE,0)</f>
        <v/>
      </c>
      <c r="CS54" s="18"/>
      <c r="CT54" s="19"/>
      <c r="CU54" s="33" t="str" cm="1">
        <f t="array" ref="CU54">_xlfn.IFS($D54="","",AND(CS54=$C54,CT54=$D54),3,($C54-$D54)/MAX(ABS($C54-$D54),1)=(CS54-CT54)/MAX(ABS(CS54-CT54),1),1,TRUE,0)</f>
        <v/>
      </c>
      <c r="CV54" s="18"/>
      <c r="CW54" s="19"/>
      <c r="CX54" s="33" t="str" cm="1">
        <f t="array" ref="CX54">_xlfn.IFS($D54="","",AND(CV54=$C54,CW54=$D54),3,($C54-$D54)/MAX(ABS($C54-$D54),1)=(CV54-CW54)/MAX(ABS(CV54-CW54),1),1,TRUE,0)</f>
        <v/>
      </c>
      <c r="CY54" s="18"/>
      <c r="CZ54" s="19"/>
      <c r="DA54" s="33" t="str" cm="1">
        <f t="array" ref="DA54">_xlfn.IFS($D54="","",AND(CY54=$C54,CZ54=$D54),3,($C54-$D54)/MAX(ABS($C54-$D54),1)=(CY54-CZ54)/MAX(ABS(CY54-CZ54),1),1,TRUE,0)</f>
        <v/>
      </c>
      <c r="DB54" s="37"/>
      <c r="DC54" s="38"/>
      <c r="DD54" s="33" t="str" cm="1">
        <f t="array" ref="DD54">_xlfn.IFS($D54="","",AND(DB54=$C54,DC54=$D54),3,($C54-$D54)/MAX(ABS($C54-$D54),1)=(DB54-DC54)/MAX(ABS(DB54-DC54),1),1,TRUE,0)</f>
        <v/>
      </c>
      <c r="DE54" s="18"/>
      <c r="DF54" s="19"/>
      <c r="DG54" s="33" t="str" cm="1">
        <f t="array" ref="DG54">_xlfn.IFS($D54="","",AND(DE54=$C54,DF54=$D54),3,($C54-$D54)/MAX(ABS($C54-$D54),1)=(DE54-DF54)/MAX(ABS(DE54-DF54),1),1,TRUE,0)</f>
        <v/>
      </c>
      <c r="DH54" s="18"/>
      <c r="DI54" s="19"/>
      <c r="DJ54" s="33" t="str" cm="1">
        <f t="array" ref="DJ54">_xlfn.IFS($D54="","",AND(DH54=$C54,DI54=$D54),3,($C54-$D54)/MAX(ABS($C54-$D54),1)=(DH54-DI54)/MAX(ABS(DH54-DI54),1),1,TRUE,0)</f>
        <v/>
      </c>
      <c r="DK54" s="18"/>
      <c r="DL54" s="19"/>
      <c r="DM54" s="33" t="str" cm="1">
        <f t="array" ref="DM54">_xlfn.IFS($D54="","",AND(DK54=$C54,DL54=$D54),3,($C54-$D54)/MAX(ABS($C54-$D54),1)=(DK54-DL54)/MAX(ABS(DK54-DL54),1),1,TRUE,0)</f>
        <v/>
      </c>
      <c r="DN54" s="18"/>
      <c r="DO54" s="19"/>
      <c r="DP54" s="33" t="str" cm="1">
        <f t="array" ref="DP54">_xlfn.IFS($D54="","",AND(DN54=$C54,DO54=$D54),3,($C54-$D54)/MAX(ABS($C54-$D54),1)=(DN54-DO54)/MAX(ABS(DN54-DO54),1),1,TRUE,0)</f>
        <v/>
      </c>
      <c r="DQ54" s="18"/>
      <c r="DR54" s="19"/>
      <c r="DS54" s="33" t="str" cm="1">
        <f t="array" ref="DS54">_xlfn.IFS($D54="","",AND(DQ54=$C54,DR54=$D54),3,($C54-$D54)/MAX(ABS($C54-$D54),1)=(DQ54-DR54)/MAX(ABS(DQ54-DR54),1),1,TRUE,0)</f>
        <v/>
      </c>
      <c r="DT54" s="18"/>
      <c r="DU54" s="19"/>
      <c r="DV54" s="33" t="str" cm="1">
        <f t="array" ref="DV54">_xlfn.IFS($D54="","",AND(DT54=$C54,DU54=$D54),3,($C54-$D54)/MAX(ABS($C54-$D54),1)=(DT54-DU54)/MAX(ABS(DT54-DU54),1),1,TRUE,0)</f>
        <v/>
      </c>
      <c r="DW54" s="18"/>
      <c r="DX54" s="19"/>
      <c r="DY54" s="33" t="str" cm="1">
        <f t="array" ref="DY54">_xlfn.IFS($D54="","",AND(DW54=$C54,DX54=$D54),3,($C54-$D54)/MAX(ABS($C54-$D54),1)=(DW54-DX54)/MAX(ABS(DW54-DX54),1),1,TRUE,0)</f>
        <v/>
      </c>
      <c r="DZ54" s="18"/>
      <c r="EA54" s="19"/>
      <c r="EB54" s="33" t="str" cm="1">
        <f t="array" ref="EB54">_xlfn.IFS($D54="","",AND(DZ54=$C54,EA54=$D54),3,($C54-$D54)/MAX(ABS($C54-$D54),1)=(DZ54-EA54)/MAX(ABS(DZ54-EA54),1),1,TRUE,0)</f>
        <v/>
      </c>
      <c r="EC54" s="18"/>
      <c r="ED54" s="19"/>
      <c r="EE54" s="33" t="str" cm="1">
        <f t="array" ref="EE54">_xlfn.IFS($D54="","",AND(EC54=$C54,ED54=$D54),3,($C54-$D54)/MAX(ABS($C54-$D54),1)=(EC54-ED54)/MAX(ABS(EC54-ED54),1),1,TRUE,0)</f>
        <v/>
      </c>
      <c r="EF54" s="18"/>
      <c r="EG54" s="19"/>
      <c r="EH54" s="33" t="str" cm="1">
        <f t="array" ref="EH54">_xlfn.IFS($D54="","",AND(EF54=$C54,EG54=$D54),3,($C54-$D54)/MAX(ABS($C54-$D54),1)=(EF54-EG54)/MAX(ABS(EF54-EG54),1),1,TRUE,0)</f>
        <v/>
      </c>
      <c r="EI54" s="50"/>
      <c r="EJ54" s="51"/>
      <c r="EK54" s="33" t="str" cm="1">
        <f t="array" ref="EK54">_xlfn.IFS($D54="","",AND(EI54=$C54,EJ54=$D54),3,($C54-$D54)/MAX(ABS($C54-$D54),1)=(EI54-EJ54)/MAX(ABS(EI54-EJ54),1),1,TRUE,0)</f>
        <v/>
      </c>
      <c r="EL54" s="18"/>
      <c r="EM54" s="19"/>
      <c r="EN54" s="33" t="str" cm="1">
        <f t="array" ref="EN54">_xlfn.IFS($D54="","",AND(EL54=$C54,EM54=$D54),3,($C54-$D54)/MAX(ABS($C54-$D54),1)=(EL54-EM54)/MAX(ABS(EL54-EM54),1),1,TRUE,0)</f>
        <v/>
      </c>
      <c r="EO54" s="18"/>
      <c r="EP54" s="19"/>
      <c r="EQ54" s="33" t="str" cm="1">
        <f t="array" ref="EQ54">_xlfn.IFS($D54="","",AND(EO54=$C54,EP54=$D54),3,($C54-$D54)/MAX(ABS($C54-$D54),1)=(EO54-EP54)/MAX(ABS(EO54-EP54),1),1,TRUE,0)</f>
        <v/>
      </c>
      <c r="ER54" s="18"/>
      <c r="ES54" s="19"/>
      <c r="ET54" s="33" t="str" cm="1">
        <f t="array" ref="ET54">_xlfn.IFS($D54="","",AND(ER54=$C54,ES54=$D54),3,($C54-$D54)/MAX(ABS($C54-$D54),1)=(ER54-ES54)/MAX(ABS(ER54-ES54),1),1,TRUE,0)</f>
        <v/>
      </c>
      <c r="EU54" s="18"/>
      <c r="EV54" s="19"/>
      <c r="EW54" s="33" t="str" cm="1">
        <f t="array" ref="EW54">_xlfn.IFS($D54="","",AND(EU54=$C54,EV54=$D54),3,($C54-$D54)/MAX(ABS($C54-$D54),1)=(EU54-EV54)/MAX(ABS(EU54-EV54),1),1,TRUE,0)</f>
        <v/>
      </c>
      <c r="EX54" s="18"/>
      <c r="EY54" s="19"/>
      <c r="EZ54" s="33" t="str" cm="1">
        <f t="array" ref="EZ54">_xlfn.IFS($D54="","",AND(EX54=$C54,EY54=$D54),3,($C54-$D54)/MAX(ABS($C54-$D54),1)=(EX54-EY54)/MAX(ABS(EX54-EY54),1),1,TRUE,0)</f>
        <v/>
      </c>
      <c r="FA54" s="18"/>
      <c r="FB54" s="19"/>
      <c r="FC54" s="33" t="str" cm="1">
        <f t="array" ref="FC54">_xlfn.IFS($D54="","",AND(FA54=$C54,FB54=$D54),3,($C54-$D54)/MAX(ABS($C54-$D54),1)=(FA54-FB54)/MAX(ABS(FA54-FB54),1),1,TRUE,0)</f>
        <v/>
      </c>
      <c r="FD54" s="18"/>
      <c r="FE54" s="19"/>
      <c r="FF54" s="33" t="str" cm="1">
        <f t="array" ref="FF54">_xlfn.IFS($D54="","",AND(FD54=$C54,FE54=$D54),3,($C54-$D54)/MAX(ABS($C54-$D54),1)=(FD54-FE54)/MAX(ABS(FD54-FE54),1),1,TRUE,0)</f>
        <v/>
      </c>
      <c r="FG54" s="18"/>
      <c r="FH54" s="19"/>
      <c r="FI54" s="33" t="str" cm="1">
        <f t="array" ref="FI54">_xlfn.IFS($D54="","",AND(FG54=$C54,FH54=$D54),3,($C54-$D54)/MAX(ABS($C54-$D54),1)=(FG54-FH54)/MAX(ABS(FG54-FH54),1),1,TRUE,0)</f>
        <v/>
      </c>
      <c r="FJ54" s="18"/>
      <c r="FK54" s="19"/>
      <c r="FL54" s="33" t="str" cm="1">
        <f t="array" ref="FL54">_xlfn.IFS($D54="","",AND(FJ54=$C54,FK54=$D54),3,($C54-$D54)/MAX(ABS($C54-$D54),1)=(FJ54-FK54)/MAX(ABS(FJ54-FK54),1),1,TRUE,0)</f>
        <v/>
      </c>
      <c r="FM54" s="18"/>
      <c r="FN54" s="19"/>
      <c r="FO54" s="33" t="str" cm="1">
        <f t="array" ref="FO54">_xlfn.IFS($D54="","",AND(FM54=$C54,FN54=$D54),3,($C54-$D54)/MAX(ABS($C54-$D54),1)=(FM54-FN54)/MAX(ABS(FM54-FN54),1),1,TRUE,0)</f>
        <v/>
      </c>
      <c r="FP54" s="18"/>
      <c r="FQ54" s="19"/>
      <c r="FR54" s="33" t="str" cm="1">
        <f t="array" ref="FR54">_xlfn.IFS($D54="","",AND(FP54=$C54,FQ54=$D54),3,($C54-$D54)/MAX(ABS($C54-$D54),1)=(FP54-FQ54)/MAX(ABS(FP54-FQ54),1),1,TRUE,0)</f>
        <v/>
      </c>
      <c r="FS54" s="18"/>
      <c r="FT54" s="19"/>
      <c r="FU54" s="33" t="str" cm="1">
        <f t="array" ref="FU54">_xlfn.IFS($D54="","",AND(FS54=$C54,FT54=$D54),3,($C54-$D54)/MAX(ABS($C54-$D54),1)=(FS54-FT54)/MAX(ABS(FS54-FT54),1),1,TRUE,0)</f>
        <v/>
      </c>
      <c r="FV54" s="18"/>
      <c r="FW54" s="19"/>
      <c r="FX54" s="33" t="str" cm="1">
        <f t="array" ref="FX54">_xlfn.IFS($D54="","",AND(FV54=$C54,FW54=$D54),3,($C54-$D54)/MAX(ABS($C54-$D54),1)=(FV54-FW54)/MAX(ABS(FV54-FW54),1),1,TRUE,0)</f>
        <v/>
      </c>
      <c r="FY54" s="18"/>
      <c r="FZ54" s="19"/>
      <c r="GA54" s="33" t="str" cm="1">
        <f t="array" ref="GA54">_xlfn.IFS($D54="","",AND(FY54=$C54,FZ54=$D54),3,($C54-$D54)/MAX(ABS($C54-$D54),1)=(FY54-FZ54)/MAX(ABS(FY54-FZ54),1),1,TRUE,0)</f>
        <v/>
      </c>
      <c r="GB54" s="18"/>
      <c r="GC54" s="19"/>
      <c r="GD54" s="33" t="str" cm="1">
        <f t="array" ref="GD54">_xlfn.IFS($D54="","",AND(GB54=$C54,GC54=$D54),3,($C54-$D54)/MAX(ABS($C54-$D54),1)=(GB54-GC54)/MAX(ABS(GB54-GC54),1),1,TRUE,0)</f>
        <v/>
      </c>
      <c r="GE54" s="52"/>
      <c r="GF54" s="19"/>
      <c r="GG54" s="33" t="str" cm="1">
        <f t="array" ref="GG54">_xlfn.IFS($D54="","",AND(GE54=$C54,GF54=$D54),3,($C54-$D54)/MAX(ABS($C54-$D54),1)=(GE54-GF54)/MAX(ABS(GE54-GF54),1),1,TRUE,0)</f>
        <v/>
      </c>
      <c r="GH54" s="18"/>
      <c r="GI54" s="19"/>
      <c r="GJ54" s="33" t="str" cm="1">
        <f t="array" ref="GJ54">_xlfn.IFS($D54="","",AND(GH54=$C54,GI54=$D54),3,($C54-$D54)/MAX(ABS($C54-$D54),1)=(GH54-GI54)/MAX(ABS(GH54-GI54),1),1,TRUE,0)</f>
        <v/>
      </c>
      <c r="GK54" s="18"/>
      <c r="GL54" s="19"/>
      <c r="GM54" s="33" t="str" cm="1">
        <f t="array" ref="GM54">_xlfn.IFS($D54="","",AND(GK54=$C54,GL54=$D54),3,($C54-$D54)/MAX(ABS($C54-$D54),1)=(GK54-GL54)/MAX(ABS(GK54-GL54),1),1,TRUE,0)</f>
        <v/>
      </c>
      <c r="GN54" s="18"/>
      <c r="GO54" s="19"/>
      <c r="GP54" s="33" t="str" cm="1">
        <f t="array" ref="GP54">_xlfn.IFS($D54="","",AND(GN54=$C54,GO54=$D54),3,($C54-$D54)/MAX(ABS($C54-$D54),1)=(GN54-GO54)/MAX(ABS(GN54-GO54),1),1,TRUE,0)</f>
        <v/>
      </c>
      <c r="GQ54" s="18"/>
      <c r="GR54" s="19"/>
      <c r="GS54" s="33" t="str" cm="1">
        <f t="array" ref="GS54">_xlfn.IFS($D54="","",AND(GQ54=$C54,GR54=$D54),3,($C54-$D54)/MAX(ABS($C54-$D54),1)=(GQ54-GR54)/MAX(ABS(GQ54-GR54),1),1,TRUE,0)</f>
        <v/>
      </c>
      <c r="GT54" s="18"/>
      <c r="GU54" s="19"/>
      <c r="GV54" s="33" t="str" cm="1">
        <f t="array" ref="GV54">_xlfn.IFS($D54="","",AND(GT54=$C54,GU54=$D54),3,($C54-$D54)/MAX(ABS($C54-$D54),1)=(GT54-GU54)/MAX(ABS(GT54-GU54),1),1,TRUE,0)</f>
        <v/>
      </c>
      <c r="GW54" s="18"/>
      <c r="GX54" s="19"/>
      <c r="GY54" s="33" t="str" cm="1">
        <f t="array" ref="GY54">_xlfn.IFS($D54="","",AND(GW54=$C54,GX54=$D54),3,($C54-$D54)/MAX(ABS($C54-$D54),1)=(GW54-GX54)/MAX(ABS(GW54-GX54),1),1,TRUE,0)</f>
        <v/>
      </c>
      <c r="GZ54" s="18"/>
      <c r="HA54" s="19"/>
      <c r="HB54" s="33" t="str" cm="1">
        <f t="array" ref="HB54">_xlfn.IFS($D54="","",AND(GZ54=$C54,HA54=$D54),3,($C54-$D54)/MAX(ABS($C54-$D54),1)=(GZ54-HA54)/MAX(ABS(GZ54-HA54),1),1,TRUE,0)</f>
        <v/>
      </c>
      <c r="HC54" s="18"/>
      <c r="HD54" s="19"/>
      <c r="HE54" s="33" t="str" cm="1">
        <f t="array" ref="HE54">_xlfn.IFS($D54="","",AND(HC54=$C54,HD54=$D54),3,($C54-$D54)/MAX(ABS($C54-$D54),1)=(HC54-HD54)/MAX(ABS(HC54-HD54),1),1,TRUE,0)</f>
        <v/>
      </c>
      <c r="HF54" s="18"/>
      <c r="HG54" s="19"/>
      <c r="HH54" s="33" t="str" cm="1">
        <f t="array" ref="HH54">_xlfn.IFS($D54="","",AND(HF54=$C54,HG54=$D54),3,($C54-$D54)/MAX(ABS($C54-$D54),1)=(HF54-HG54)/MAX(ABS(HF54-HG54),1),1,TRUE,0)</f>
        <v/>
      </c>
      <c r="HI54" s="18"/>
      <c r="HJ54" s="19"/>
      <c r="HK54" s="33" t="str" cm="1">
        <f t="array" ref="HK54">_xlfn.IFS($D54="","",AND(HI54=$C54,HJ54=$D54),3,($C54-$D54)/MAX(ABS($C54-$D54),1)=(HI54-HJ54)/MAX(ABS(HI54-HJ54),1),1,TRUE,0)</f>
        <v/>
      </c>
      <c r="HL54" s="18"/>
      <c r="HM54" s="19"/>
      <c r="HN54" s="33" t="str" cm="1">
        <f t="array" ref="HN54">_xlfn.IFS($D54="","",AND(HL54=$C54,HM54=$D54),3,($C54-$D54)/MAX(ABS($C54-$D54),1)=(HL54-HM54)/MAX(ABS(HL54-HM54),1),1,TRUE,0)</f>
        <v/>
      </c>
      <c r="HO54" s="18"/>
      <c r="HP54" s="19"/>
      <c r="HQ54" s="33" t="str" cm="1">
        <f t="array" ref="HQ54">_xlfn.IFS($D54="","",AND(HO54=$C54,HP54=$D54),3,($C54-$D54)/MAX(ABS($C54-$D54),1)=(HO54-HP54)/MAX(ABS(HO54-HP54),1),1,TRUE,0)</f>
        <v/>
      </c>
      <c r="HR54" s="18"/>
      <c r="HS54" s="19"/>
      <c r="HT54" s="33" t="str" cm="1">
        <f t="array" ref="HT54">_xlfn.IFS($D54="","",AND(HR54=$C54,HS54=$D54),3,($C54-$D54)/MAX(ABS($C54-$D54),1)=(HR54-HS54)/MAX(ABS(HR54-HS54),1),1,TRUE,0)</f>
        <v/>
      </c>
      <c r="HU54" s="18"/>
      <c r="HV54" s="19"/>
      <c r="HW54" s="33" t="str" cm="1">
        <f t="array" ref="HW54">_xlfn.IFS($D54="","",AND(HU54=$C54,HV54=$D54),3,($C54-$D54)/MAX(ABS($C54-$D54),1)=(HU54-HV54)/MAX(ABS(HU54-HV54),1),1,TRUE,0)</f>
        <v/>
      </c>
      <c r="HX54" s="18"/>
      <c r="HY54" s="19"/>
      <c r="HZ54" s="33" t="str" cm="1">
        <f t="array" ref="HZ54">_xlfn.IFS($D54="","",AND(HX54=$C54,HY54=$D54),3,($C54-$D54)/MAX(ABS($C54-$D54),1)=(HX54-HY54)/MAX(ABS(HX54-HY54),1),1,TRUE,0)</f>
        <v/>
      </c>
      <c r="IA54" s="18"/>
      <c r="IB54" s="19"/>
      <c r="IC54" s="33" t="str" cm="1">
        <f t="array" ref="IC54">_xlfn.IFS($D54="","",AND(IA54=$C54,IB54=$D54),3,($C54-$D54)/MAX(ABS($C54-$D54),1)=(IA54-IB54)/MAX(ABS(IA54-IB54),1),1,TRUE,0)</f>
        <v/>
      </c>
      <c r="ID54" s="18"/>
      <c r="IE54" s="19"/>
      <c r="IF54" s="33" t="str" cm="1">
        <f t="array" ref="IF54">_xlfn.IFS($D54="","",AND(ID54=$C54,IE54=$D54),3,($C54-$D54)/MAX(ABS($C54-$D54),1)=(ID54-IE54)/MAX(ABS(ID54-IE54),1),1,TRUE,0)</f>
        <v/>
      </c>
      <c r="IG54" s="18"/>
      <c r="IH54" s="19"/>
      <c r="II54" s="33" t="str" cm="1">
        <f t="array" ref="II54">_xlfn.IFS($D54="","",AND(IG54=$C54,IH54=$D54),3,($C54-$D54)/MAX(ABS($C54-$D54),1)=(IG54-IH54)/MAX(ABS(IG54-IH54),1),1,TRUE,0)</f>
        <v/>
      </c>
      <c r="IJ54" s="18"/>
      <c r="IK54" s="19"/>
      <c r="IL54" s="33" t="str" cm="1">
        <f t="array" ref="IL54">_xlfn.IFS($D54="","",AND(IJ54=$C54,IK54=$D54),3,($C54-$D54)/MAX(ABS($C54-$D54),1)=(IJ54-IK54)/MAX(ABS(IJ54-IK54),1),1,TRUE,0)</f>
        <v/>
      </c>
      <c r="IM54" s="18"/>
      <c r="IN54" s="19"/>
      <c r="IO54" s="33" t="str" cm="1">
        <f t="array" ref="IO54">_xlfn.IFS($D54="","",AND(IM54=$C54,IN54=$D54),3,($C54-$D54)/MAX(ABS($C54-$D54),1)=(IM54-IN54)/MAX(ABS(IM54-IN54),1),1,TRUE,0)</f>
        <v/>
      </c>
      <c r="IP54" s="18"/>
      <c r="IQ54" s="19"/>
      <c r="IR54" s="33" t="str" cm="1">
        <f t="array" ref="IR54">_xlfn.IFS($D54="","",AND(IP54=$C54,IQ54=$D54),3,($C54-$D54)/MAX(ABS($C54-$D54),1)=(IP54-IQ54)/MAX(ABS(IP54-IQ54),1),1,TRUE,0)</f>
        <v/>
      </c>
      <c r="IS54" s="18"/>
      <c r="IT54" s="19"/>
      <c r="IU54" s="33" t="str" cm="1">
        <f t="array" ref="IU54">_xlfn.IFS($D54="","",AND(IS54=$C54,IT54=$D54),3,($C54-$D54)/MAX(ABS($C54-$D54),1)=(IS54-IT54)/MAX(ABS(IS54-IT54),1),1,TRUE,0)</f>
        <v/>
      </c>
      <c r="IV54" s="18"/>
      <c r="IW54" s="19"/>
      <c r="IX54" s="33" t="str" cm="1">
        <f t="array" ref="IX54">_xlfn.IFS($D54="","",AND(IV54=$C54,IW54=$D54),3,($C54-$D54)/MAX(ABS($C54-$D54),1)=(IV54-IW54)/MAX(ABS(IV54-IW54),1),1,TRUE,0)</f>
        <v/>
      </c>
      <c r="IY54" s="18"/>
      <c r="IZ54" s="19"/>
      <c r="JA54" s="33" t="str" cm="1">
        <f t="array" ref="JA54">_xlfn.IFS($D54="","",AND(IY54=$C54,IZ54=$D54),3,($C54-$D54)/MAX(ABS($C54-$D54),1)=(IY54-IZ54)/MAX(ABS(IY54-IZ54),1),1,TRUE,0)</f>
        <v/>
      </c>
      <c r="JB54" s="18"/>
      <c r="JC54" s="19"/>
      <c r="JD54" s="33" t="str" cm="1">
        <f t="array" ref="JD54">_xlfn.IFS($D54="","",AND(JB54=$C54,JC54=$D54),3,($C54-$D54)/MAX(ABS($C54-$D54),1)=(JB54-JC54)/MAX(ABS(JB54-JC54),1),1,TRUE,0)</f>
        <v/>
      </c>
    </row>
    <row r="55" spans="1:264" ht="15" thickBot="1" x14ac:dyDescent="0.35">
      <c r="A55" s="22">
        <v>46198</v>
      </c>
      <c r="B55" s="28" t="s">
        <v>33</v>
      </c>
      <c r="C55" s="53" t="str" cm="1">
        <f t="array" ref="C55">_xlfn.LET(
_xlpm.x,_xlfn.XLOOKUP(1,(Scores_Fixtures[Date]=A55)*(Scores_Fixtures[Home.1]=B55),Scores_Fixtures[Score.1],""),
IF(_xlpm.x="","",_xlpm.x)
)</f>
        <v/>
      </c>
      <c r="D55" s="53" t="str" cm="1">
        <f t="array" ref="D55">_xlfn.LET(
_xlpm.x,_xlfn.XLOOKUP(1,(Scores_Fixtures[Date]=A55)*(Scores_Fixtures[Home.1]=B55),Scores_Fixtures[Score.2],""),
IF(_xlpm.x="","",_xlpm.x)
)</f>
        <v/>
      </c>
      <c r="E55" s="12" t="s">
        <v>34</v>
      </c>
      <c r="F55" s="15"/>
      <c r="G55" s="53"/>
      <c r="H55" s="53"/>
      <c r="I55" s="33" t="str" cm="1">
        <f t="array" ref="I55">_xlfn.IFS($D55="","",AND(G55=$C55,H55=$D55),3,($C55-$D55)/MAX(ABS($C55-$D55),1)=(G55-H55)/MAX(ABS(G55-H55),1),1,TRUE,0)</f>
        <v/>
      </c>
      <c r="J55" s="18"/>
      <c r="K55" s="19"/>
      <c r="L55" s="33" t="str" cm="1">
        <f t="array" ref="L55">_xlfn.IFS($D55="","",AND(J55=$C55,K55=$D55),3,($C55-$D55)/MAX(ABS($C55-$D55),1)=(J55-K55)/MAX(ABS(J55-K55),1),1,TRUE,0)</f>
        <v/>
      </c>
      <c r="M55" s="18"/>
      <c r="N55" s="19"/>
      <c r="O55" s="33" t="str" cm="1">
        <f t="array" ref="O55">_xlfn.IFS($D55="","",AND(M55=$C55,N55=$D55),3,($C55-$D55)/MAX(ABS($C55-$D55),1)=(M55-N55)/MAX(ABS(M55-N55),1),1,TRUE,0)</f>
        <v/>
      </c>
      <c r="P55" s="18"/>
      <c r="Q55" s="19"/>
      <c r="R55" s="33" t="str" cm="1">
        <f t="array" ref="R55">_xlfn.IFS($D55="","",AND(P55=$C55,Q55=$D55),3,($C55-$D55)/MAX(ABS($C55-$D55),1)=(P55-Q55)/MAX(ABS(P55-Q55),1),1,TRUE,0)</f>
        <v/>
      </c>
      <c r="S55" s="18"/>
      <c r="T55" s="19"/>
      <c r="U55" s="33" t="str" cm="1">
        <f t="array" ref="U55">_xlfn.IFS($D55="","",AND(S55=$C55,T55=$D55),3,($C55-$D55)/MAX(ABS($C55-$D55),1)=(S55-T55)/MAX(ABS(S55-T55),1),1,TRUE,0)</f>
        <v/>
      </c>
      <c r="V55" s="18"/>
      <c r="W55" s="19"/>
      <c r="X55" s="33" t="str" cm="1">
        <f t="array" ref="X55">_xlfn.IFS($D55="","",AND(V55=$C55,W55=$D55),3,($C55-$D55)/MAX(ABS($C55-$D55),1)=(V55-W55)/MAX(ABS(V55-W55),1),1,TRUE,0)</f>
        <v/>
      </c>
      <c r="Y55" s="18"/>
      <c r="Z55" s="19"/>
      <c r="AA55" s="33" t="str" cm="1">
        <f t="array" ref="AA55">_xlfn.IFS($D55="","",AND(Y55=$C55,Z55=$D55),3,($C55-$D55)/MAX(ABS($C55-$D55),1)=(Y55-Z55)/MAX(ABS(Y55-Z55),1),1,TRUE,0)</f>
        <v/>
      </c>
      <c r="AB55" s="18"/>
      <c r="AC55" s="19"/>
      <c r="AD55" s="33" t="str" cm="1">
        <f t="array" ref="AD55">_xlfn.IFS($D55="","",AND(AB55=$C55,AC55=$D55),3,($C55-$D55)/MAX(ABS($C55-$D55),1)=(AB55-AC55)/MAX(ABS(AB55-AC55),1),1,TRUE,0)</f>
        <v/>
      </c>
      <c r="AE55" s="18"/>
      <c r="AF55" s="19"/>
      <c r="AG55" s="33" t="str" cm="1">
        <f t="array" ref="AG55">_xlfn.IFS($D55="","",AND(AE55=$C55,AF55=$D55),3,($C55-$D55)/MAX(ABS($C55-$D55),1)=(AE55-AF55)/MAX(ABS(AE55-AF55),1),1,TRUE,0)</f>
        <v/>
      </c>
      <c r="AH55" s="18"/>
      <c r="AI55" s="19"/>
      <c r="AJ55" s="33" t="str" cm="1">
        <f t="array" ref="AJ55">_xlfn.IFS($D55="","",AND(AH55=$C55,AI55=$D55),3,($C55-$D55)/MAX(ABS($C55-$D55),1)=(AH55-AI55)/MAX(ABS(AH55-AI55),1),1,TRUE,0)</f>
        <v/>
      </c>
      <c r="AK55" s="18"/>
      <c r="AL55" s="19"/>
      <c r="AM55" s="33" t="str" cm="1">
        <f t="array" ref="AM55">_xlfn.IFS($D55="","",AND(AK55=$C55,AL55=$D55),3,($C55-$D55)/MAX(ABS($C55-$D55),1)=(AK55-AL55)/MAX(ABS(AK55-AL55),1),1,TRUE,0)</f>
        <v/>
      </c>
      <c r="AN55" s="18"/>
      <c r="AO55" s="19"/>
      <c r="AP55" s="33" t="str" cm="1">
        <f t="array" ref="AP55">_xlfn.IFS($D55="","",AND(AN55=$C55,AO55=$D55),3,($C55-$D55)/MAX(ABS($C55-$D55),1)=(AN55-AO55)/MAX(ABS(AN55-AO55),1),1,TRUE,0)</f>
        <v/>
      </c>
      <c r="AQ55" s="18"/>
      <c r="AR55" s="19"/>
      <c r="AS55" s="33" t="str" cm="1">
        <f t="array" ref="AS55">_xlfn.IFS($D55="","",AND(AQ55=$C55,AR55=$D55),3,($C55-$D55)/MAX(ABS($C55-$D55),1)=(AQ55-AR55)/MAX(ABS(AQ55-AR55),1),1,TRUE,0)</f>
        <v/>
      </c>
      <c r="AT55" s="18"/>
      <c r="AU55" s="19"/>
      <c r="AV55" s="33" t="str" cm="1">
        <f t="array" ref="AV55">_xlfn.IFS($D55="","",AND(AT55=$C55,AU55=$D55),3,($C55-$D55)/MAX(ABS($C55-$D55),1)=(AT55-AU55)/MAX(ABS(AT55-AU55),1),1,TRUE,0)</f>
        <v/>
      </c>
      <c r="AW55" s="18"/>
      <c r="AX55" s="19"/>
      <c r="AY55" s="33" t="str" cm="1">
        <f t="array" ref="AY55">_xlfn.IFS($D55="","",AND(AW55=$C55,AX55=$D55),3,($C55-$D55)/MAX(ABS($C55-$D55),1)=(AW55-AX55)/MAX(ABS(AW55-AX55),1),1,TRUE,0)</f>
        <v/>
      </c>
      <c r="AZ55" s="18"/>
      <c r="BA55" s="19"/>
      <c r="BB55" s="33" t="str" cm="1">
        <f t="array" ref="BB55">_xlfn.IFS($D55="","",AND(AZ55=$C55,BA55=$D55),3,($C55-$D55)/MAX(ABS($C55-$D55),1)=(AZ55-BA55)/MAX(ABS(AZ55-BA55),1),1,TRUE,0)</f>
        <v/>
      </c>
      <c r="BC55" s="18"/>
      <c r="BD55" s="19"/>
      <c r="BE55" s="33" t="str" cm="1">
        <f t="array" ref="BE55">_xlfn.IFS($D55="","",AND(BC55=$C55,BD55=$D55),3,($C55-$D55)/MAX(ABS($C55-$D55),1)=(BC55-BD55)/MAX(ABS(BC55-BD55),1),1,TRUE,0)</f>
        <v/>
      </c>
      <c r="BF55" s="18"/>
      <c r="BG55" s="19"/>
      <c r="BH55" s="33" t="str" cm="1">
        <f t="array" ref="BH55">_xlfn.IFS($D55="","",AND(BF55=$C55,BG55=$D55),3,($C55-$D55)/MAX(ABS($C55-$D55),1)=(BF55-BG55)/MAX(ABS(BF55-BG55),1),1,TRUE,0)</f>
        <v/>
      </c>
      <c r="BI55" s="18"/>
      <c r="BJ55" s="19"/>
      <c r="BK55" s="33" t="str" cm="1">
        <f t="array" ref="BK55">_xlfn.IFS($D55="","",AND(BI55=$C55,BJ55=$D55),3,($C55-$D55)/MAX(ABS($C55-$D55),1)=(BI55-BJ55)/MAX(ABS(BI55-BJ55),1),1,TRUE,0)</f>
        <v/>
      </c>
      <c r="BL55" s="18"/>
      <c r="BM55" s="19"/>
      <c r="BN55" s="33" t="str" cm="1">
        <f t="array" ref="BN55">_xlfn.IFS($D55="","",AND(BL55=$C55,BM55=$D55),3,($C55-$D55)/MAX(ABS($C55-$D55),1)=(BL55-BM55)/MAX(ABS(BL55-BM55),1),1,TRUE,0)</f>
        <v/>
      </c>
      <c r="BO55" s="18"/>
      <c r="BP55" s="19"/>
      <c r="BQ55" s="33" t="str" cm="1">
        <f t="array" ref="BQ55">_xlfn.IFS($D55="","",AND(BO55=$C55,BP55=$D55),3,($C55-$D55)/MAX(ABS($C55-$D55),1)=(BO55-BP55)/MAX(ABS(BO55-BP55),1),1,TRUE,0)</f>
        <v/>
      </c>
      <c r="BR55" s="18"/>
      <c r="BS55" s="19"/>
      <c r="BT55" s="33" t="str" cm="1">
        <f t="array" ref="BT55">_xlfn.IFS($D55="","",AND(BR55=$C55,BS55=$D55),3,($C55-$D55)/MAX(ABS($C55-$D55),1)=(BR55-BS55)/MAX(ABS(BR55-BS55),1),1,TRUE,0)</f>
        <v/>
      </c>
      <c r="BU55" s="18"/>
      <c r="BV55" s="19"/>
      <c r="BW55" s="33" t="str" cm="1">
        <f t="array" ref="BW55">_xlfn.IFS($D55="","",AND(BU55=$C55,BV55=$D55),3,($C55-$D55)/MAX(ABS($C55-$D55),1)=(BU55-BV55)/MAX(ABS(BU55-BV55),1),1,TRUE,0)</f>
        <v/>
      </c>
      <c r="BX55" s="18"/>
      <c r="BY55" s="19"/>
      <c r="BZ55" s="33" t="str" cm="1">
        <f t="array" ref="BZ55">_xlfn.IFS($D55="","",AND(BX55=$C55,BY55=$D55),3,($C55-$D55)/MAX(ABS($C55-$D55),1)=(BX55-BY55)/MAX(ABS(BX55-BY55),1),1,TRUE,0)</f>
        <v/>
      </c>
      <c r="CA55" s="18"/>
      <c r="CB55" s="19"/>
      <c r="CC55" s="33" t="str" cm="1">
        <f t="array" ref="CC55">_xlfn.IFS($D55="","",AND(CA55=$C55,CB55=$D55),3,($C55-$D55)/MAX(ABS($C55-$D55),1)=(CA55-CB55)/MAX(ABS(CA55-CB55),1),1,TRUE,0)</f>
        <v/>
      </c>
      <c r="CD55" s="18"/>
      <c r="CE55" s="19"/>
      <c r="CF55" s="33" t="str" cm="1">
        <f t="array" ref="CF55">_xlfn.IFS($D55="","",AND(CD55=$C55,CE55=$D55),3,($C55-$D55)/MAX(ABS($C55-$D55),1)=(CD55-CE55)/MAX(ABS(CD55-CE55),1),1,TRUE,0)</f>
        <v/>
      </c>
      <c r="CG55" s="18"/>
      <c r="CH55" s="19"/>
      <c r="CI55" s="33" t="str" cm="1">
        <f t="array" ref="CI55">_xlfn.IFS($D55="","",AND(CG55=$C55,CH55=$D55),3,($C55-$D55)/MAX(ABS($C55-$D55),1)=(CG55-CH55)/MAX(ABS(CG55-CH55),1),1,TRUE,0)</f>
        <v/>
      </c>
      <c r="CJ55" s="18"/>
      <c r="CK55" s="19"/>
      <c r="CL55" s="33" t="str" cm="1">
        <f t="array" ref="CL55">_xlfn.IFS($D55="","",AND(CJ55=$C55,CK55=$D55),3,($C55-$D55)/MAX(ABS($C55-$D55),1)=(CJ55-CK55)/MAX(ABS(CJ55-CK55),1),1,TRUE,0)</f>
        <v/>
      </c>
      <c r="CM55" s="18"/>
      <c r="CN55" s="19"/>
      <c r="CO55" s="33" t="str" cm="1">
        <f t="array" ref="CO55">_xlfn.IFS($D55="","",AND(CM55=$C55,CN55=$D55),3,($C55-$D55)/MAX(ABS($C55-$D55),1)=(CM55-CN55)/MAX(ABS(CM55-CN55),1),1,TRUE,0)</f>
        <v/>
      </c>
      <c r="CP55" s="18"/>
      <c r="CQ55" s="19"/>
      <c r="CR55" s="33" t="str" cm="1">
        <f t="array" ref="CR55">_xlfn.IFS($D55="","",AND(CP55=$C55,CQ55=$D55),3,($C55-$D55)/MAX(ABS($C55-$D55),1)=(CP55-CQ55)/MAX(ABS(CP55-CQ55),1),1,TRUE,0)</f>
        <v/>
      </c>
      <c r="CS55" s="18"/>
      <c r="CT55" s="19"/>
      <c r="CU55" s="33" t="str" cm="1">
        <f t="array" ref="CU55">_xlfn.IFS($D55="","",AND(CS55=$C55,CT55=$D55),3,($C55-$D55)/MAX(ABS($C55-$D55),1)=(CS55-CT55)/MAX(ABS(CS55-CT55),1),1,TRUE,0)</f>
        <v/>
      </c>
      <c r="CV55" s="18"/>
      <c r="CW55" s="19"/>
      <c r="CX55" s="33" t="str" cm="1">
        <f t="array" ref="CX55">_xlfn.IFS($D55="","",AND(CV55=$C55,CW55=$D55),3,($C55-$D55)/MAX(ABS($C55-$D55),1)=(CV55-CW55)/MAX(ABS(CV55-CW55),1),1,TRUE,0)</f>
        <v/>
      </c>
      <c r="CY55" s="18"/>
      <c r="CZ55" s="19"/>
      <c r="DA55" s="33" t="str" cm="1">
        <f t="array" ref="DA55">_xlfn.IFS($D55="","",AND(CY55=$C55,CZ55=$D55),3,($C55-$D55)/MAX(ABS($C55-$D55),1)=(CY55-CZ55)/MAX(ABS(CY55-CZ55),1),1,TRUE,0)</f>
        <v/>
      </c>
      <c r="DB55" s="37"/>
      <c r="DC55" s="38"/>
      <c r="DD55" s="33" t="str" cm="1">
        <f t="array" ref="DD55">_xlfn.IFS($D55="","",AND(DB55=$C55,DC55=$D55),3,($C55-$D55)/MAX(ABS($C55-$D55),1)=(DB55-DC55)/MAX(ABS(DB55-DC55),1),1,TRUE,0)</f>
        <v/>
      </c>
      <c r="DE55" s="18"/>
      <c r="DF55" s="19"/>
      <c r="DG55" s="33" t="str" cm="1">
        <f t="array" ref="DG55">_xlfn.IFS($D55="","",AND(DE55=$C55,DF55=$D55),3,($C55-$D55)/MAX(ABS($C55-$D55),1)=(DE55-DF55)/MAX(ABS(DE55-DF55),1),1,TRUE,0)</f>
        <v/>
      </c>
      <c r="DH55" s="18"/>
      <c r="DI55" s="19"/>
      <c r="DJ55" s="33" t="str" cm="1">
        <f t="array" ref="DJ55">_xlfn.IFS($D55="","",AND(DH55=$C55,DI55=$D55),3,($C55-$D55)/MAX(ABS($C55-$D55),1)=(DH55-DI55)/MAX(ABS(DH55-DI55),1),1,TRUE,0)</f>
        <v/>
      </c>
      <c r="DK55" s="18"/>
      <c r="DL55" s="19"/>
      <c r="DM55" s="33" t="str" cm="1">
        <f t="array" ref="DM55">_xlfn.IFS($D55="","",AND(DK55=$C55,DL55=$D55),3,($C55-$D55)/MAX(ABS($C55-$D55),1)=(DK55-DL55)/MAX(ABS(DK55-DL55),1),1,TRUE,0)</f>
        <v/>
      </c>
      <c r="DN55" s="18"/>
      <c r="DO55" s="19"/>
      <c r="DP55" s="33" t="str" cm="1">
        <f t="array" ref="DP55">_xlfn.IFS($D55="","",AND(DN55=$C55,DO55=$D55),3,($C55-$D55)/MAX(ABS($C55-$D55),1)=(DN55-DO55)/MAX(ABS(DN55-DO55),1),1,TRUE,0)</f>
        <v/>
      </c>
      <c r="DQ55" s="18"/>
      <c r="DR55" s="19"/>
      <c r="DS55" s="33" t="str" cm="1">
        <f t="array" ref="DS55">_xlfn.IFS($D55="","",AND(DQ55=$C55,DR55=$D55),3,($C55-$D55)/MAX(ABS($C55-$D55),1)=(DQ55-DR55)/MAX(ABS(DQ55-DR55),1),1,TRUE,0)</f>
        <v/>
      </c>
      <c r="DT55" s="18"/>
      <c r="DU55" s="19"/>
      <c r="DV55" s="33" t="str" cm="1">
        <f t="array" ref="DV55">_xlfn.IFS($D55="","",AND(DT55=$C55,DU55=$D55),3,($C55-$D55)/MAX(ABS($C55-$D55),1)=(DT55-DU55)/MAX(ABS(DT55-DU55),1),1,TRUE,0)</f>
        <v/>
      </c>
      <c r="DW55" s="18"/>
      <c r="DX55" s="19"/>
      <c r="DY55" s="33" t="str" cm="1">
        <f t="array" ref="DY55">_xlfn.IFS($D55="","",AND(DW55=$C55,DX55=$D55),3,($C55-$D55)/MAX(ABS($C55-$D55),1)=(DW55-DX55)/MAX(ABS(DW55-DX55),1),1,TRUE,0)</f>
        <v/>
      </c>
      <c r="DZ55" s="18"/>
      <c r="EA55" s="19"/>
      <c r="EB55" s="33" t="str" cm="1">
        <f t="array" ref="EB55">_xlfn.IFS($D55="","",AND(DZ55=$C55,EA55=$D55),3,($C55-$D55)/MAX(ABS($C55-$D55),1)=(DZ55-EA55)/MAX(ABS(DZ55-EA55),1),1,TRUE,0)</f>
        <v/>
      </c>
      <c r="EC55" s="18"/>
      <c r="ED55" s="19"/>
      <c r="EE55" s="33" t="str" cm="1">
        <f t="array" ref="EE55">_xlfn.IFS($D55="","",AND(EC55=$C55,ED55=$D55),3,($C55-$D55)/MAX(ABS($C55-$D55),1)=(EC55-ED55)/MAX(ABS(EC55-ED55),1),1,TRUE,0)</f>
        <v/>
      </c>
      <c r="EF55" s="18"/>
      <c r="EG55" s="19"/>
      <c r="EH55" s="33" t="str" cm="1">
        <f t="array" ref="EH55">_xlfn.IFS($D55="","",AND(EF55=$C55,EG55=$D55),3,($C55-$D55)/MAX(ABS($C55-$D55),1)=(EF55-EG55)/MAX(ABS(EF55-EG55),1),1,TRUE,0)</f>
        <v/>
      </c>
      <c r="EI55" s="50"/>
      <c r="EJ55" s="51"/>
      <c r="EK55" s="33" t="str" cm="1">
        <f t="array" ref="EK55">_xlfn.IFS($D55="","",AND(EI55=$C55,EJ55=$D55),3,($C55-$D55)/MAX(ABS($C55-$D55),1)=(EI55-EJ55)/MAX(ABS(EI55-EJ55),1),1,TRUE,0)</f>
        <v/>
      </c>
      <c r="EL55" s="18"/>
      <c r="EM55" s="19"/>
      <c r="EN55" s="33" t="str" cm="1">
        <f t="array" ref="EN55">_xlfn.IFS($D55="","",AND(EL55=$C55,EM55=$D55),3,($C55-$D55)/MAX(ABS($C55-$D55),1)=(EL55-EM55)/MAX(ABS(EL55-EM55),1),1,TRUE,0)</f>
        <v/>
      </c>
      <c r="EO55" s="18"/>
      <c r="EP55" s="19"/>
      <c r="EQ55" s="33" t="str" cm="1">
        <f t="array" ref="EQ55">_xlfn.IFS($D55="","",AND(EO55=$C55,EP55=$D55),3,($C55-$D55)/MAX(ABS($C55-$D55),1)=(EO55-EP55)/MAX(ABS(EO55-EP55),1),1,TRUE,0)</f>
        <v/>
      </c>
      <c r="ER55" s="18"/>
      <c r="ES55" s="19"/>
      <c r="ET55" s="33" t="str" cm="1">
        <f t="array" ref="ET55">_xlfn.IFS($D55="","",AND(ER55=$C55,ES55=$D55),3,($C55-$D55)/MAX(ABS($C55-$D55),1)=(ER55-ES55)/MAX(ABS(ER55-ES55),1),1,TRUE,0)</f>
        <v/>
      </c>
      <c r="EU55" s="18"/>
      <c r="EV55" s="19"/>
      <c r="EW55" s="33" t="str" cm="1">
        <f t="array" ref="EW55">_xlfn.IFS($D55="","",AND(EU55=$C55,EV55=$D55),3,($C55-$D55)/MAX(ABS($C55-$D55),1)=(EU55-EV55)/MAX(ABS(EU55-EV55),1),1,TRUE,0)</f>
        <v/>
      </c>
      <c r="EX55" s="18"/>
      <c r="EY55" s="19"/>
      <c r="EZ55" s="33" t="str" cm="1">
        <f t="array" ref="EZ55">_xlfn.IFS($D55="","",AND(EX55=$C55,EY55=$D55),3,($C55-$D55)/MAX(ABS($C55-$D55),1)=(EX55-EY55)/MAX(ABS(EX55-EY55),1),1,TRUE,0)</f>
        <v/>
      </c>
      <c r="FA55" s="18"/>
      <c r="FB55" s="19"/>
      <c r="FC55" s="33" t="str" cm="1">
        <f t="array" ref="FC55">_xlfn.IFS($D55="","",AND(FA55=$C55,FB55=$D55),3,($C55-$D55)/MAX(ABS($C55-$D55),1)=(FA55-FB55)/MAX(ABS(FA55-FB55),1),1,TRUE,0)</f>
        <v/>
      </c>
      <c r="FD55" s="18"/>
      <c r="FE55" s="19"/>
      <c r="FF55" s="33" t="str" cm="1">
        <f t="array" ref="FF55">_xlfn.IFS($D55="","",AND(FD55=$C55,FE55=$D55),3,($C55-$D55)/MAX(ABS($C55-$D55),1)=(FD55-FE55)/MAX(ABS(FD55-FE55),1),1,TRUE,0)</f>
        <v/>
      </c>
      <c r="FG55" s="18"/>
      <c r="FH55" s="19"/>
      <c r="FI55" s="33" t="str" cm="1">
        <f t="array" ref="FI55">_xlfn.IFS($D55="","",AND(FG55=$C55,FH55=$D55),3,($C55-$D55)/MAX(ABS($C55-$D55),1)=(FG55-FH55)/MAX(ABS(FG55-FH55),1),1,TRUE,0)</f>
        <v/>
      </c>
      <c r="FJ55" s="18"/>
      <c r="FK55" s="19"/>
      <c r="FL55" s="33" t="str" cm="1">
        <f t="array" ref="FL55">_xlfn.IFS($D55="","",AND(FJ55=$C55,FK55=$D55),3,($C55-$D55)/MAX(ABS($C55-$D55),1)=(FJ55-FK55)/MAX(ABS(FJ55-FK55),1),1,TRUE,0)</f>
        <v/>
      </c>
      <c r="FM55" s="18"/>
      <c r="FN55" s="19"/>
      <c r="FO55" s="33" t="str" cm="1">
        <f t="array" ref="FO55">_xlfn.IFS($D55="","",AND(FM55=$C55,FN55=$D55),3,($C55-$D55)/MAX(ABS($C55-$D55),1)=(FM55-FN55)/MAX(ABS(FM55-FN55),1),1,TRUE,0)</f>
        <v/>
      </c>
      <c r="FP55" s="18"/>
      <c r="FQ55" s="19"/>
      <c r="FR55" s="33" t="str" cm="1">
        <f t="array" ref="FR55">_xlfn.IFS($D55="","",AND(FP55=$C55,FQ55=$D55),3,($C55-$D55)/MAX(ABS($C55-$D55),1)=(FP55-FQ55)/MAX(ABS(FP55-FQ55),1),1,TRUE,0)</f>
        <v/>
      </c>
      <c r="FS55" s="18"/>
      <c r="FT55" s="19"/>
      <c r="FU55" s="33" t="str" cm="1">
        <f t="array" ref="FU55">_xlfn.IFS($D55="","",AND(FS55=$C55,FT55=$D55),3,($C55-$D55)/MAX(ABS($C55-$D55),1)=(FS55-FT55)/MAX(ABS(FS55-FT55),1),1,TRUE,0)</f>
        <v/>
      </c>
      <c r="FV55" s="18"/>
      <c r="FW55" s="19"/>
      <c r="FX55" s="33" t="str" cm="1">
        <f t="array" ref="FX55">_xlfn.IFS($D55="","",AND(FV55=$C55,FW55=$D55),3,($C55-$D55)/MAX(ABS($C55-$D55),1)=(FV55-FW55)/MAX(ABS(FV55-FW55),1),1,TRUE,0)</f>
        <v/>
      </c>
      <c r="FY55" s="18"/>
      <c r="FZ55" s="19"/>
      <c r="GA55" s="33" t="str" cm="1">
        <f t="array" ref="GA55">_xlfn.IFS($D55="","",AND(FY55=$C55,FZ55=$D55),3,($C55-$D55)/MAX(ABS($C55-$D55),1)=(FY55-FZ55)/MAX(ABS(FY55-FZ55),1),1,TRUE,0)</f>
        <v/>
      </c>
      <c r="GB55" s="18"/>
      <c r="GC55" s="19"/>
      <c r="GD55" s="33" t="str" cm="1">
        <f t="array" ref="GD55">_xlfn.IFS($D55="","",AND(GB55=$C55,GC55=$D55),3,($C55-$D55)/MAX(ABS($C55-$D55),1)=(GB55-GC55)/MAX(ABS(GB55-GC55),1),1,TRUE,0)</f>
        <v/>
      </c>
      <c r="GE55" s="52"/>
      <c r="GF55" s="19"/>
      <c r="GG55" s="33" t="str" cm="1">
        <f t="array" ref="GG55">_xlfn.IFS($D55="","",AND(GE55=$C55,GF55=$D55),3,($C55-$D55)/MAX(ABS($C55-$D55),1)=(GE55-GF55)/MAX(ABS(GE55-GF55),1),1,TRUE,0)</f>
        <v/>
      </c>
      <c r="GH55" s="18"/>
      <c r="GI55" s="19"/>
      <c r="GJ55" s="33" t="str" cm="1">
        <f t="array" ref="GJ55">_xlfn.IFS($D55="","",AND(GH55=$C55,GI55=$D55),3,($C55-$D55)/MAX(ABS($C55-$D55),1)=(GH55-GI55)/MAX(ABS(GH55-GI55),1),1,TRUE,0)</f>
        <v/>
      </c>
      <c r="GK55" s="18"/>
      <c r="GL55" s="19"/>
      <c r="GM55" s="33" t="str" cm="1">
        <f t="array" ref="GM55">_xlfn.IFS($D55="","",AND(GK55=$C55,GL55=$D55),3,($C55-$D55)/MAX(ABS($C55-$D55),1)=(GK55-GL55)/MAX(ABS(GK55-GL55),1),1,TRUE,0)</f>
        <v/>
      </c>
      <c r="GN55" s="18"/>
      <c r="GO55" s="19"/>
      <c r="GP55" s="33" t="str" cm="1">
        <f t="array" ref="GP55">_xlfn.IFS($D55="","",AND(GN55=$C55,GO55=$D55),3,($C55-$D55)/MAX(ABS($C55-$D55),1)=(GN55-GO55)/MAX(ABS(GN55-GO55),1),1,TRUE,0)</f>
        <v/>
      </c>
      <c r="GQ55" s="18"/>
      <c r="GR55" s="19"/>
      <c r="GS55" s="33" t="str" cm="1">
        <f t="array" ref="GS55">_xlfn.IFS($D55="","",AND(GQ55=$C55,GR55=$D55),3,($C55-$D55)/MAX(ABS($C55-$D55),1)=(GQ55-GR55)/MAX(ABS(GQ55-GR55),1),1,TRUE,0)</f>
        <v/>
      </c>
      <c r="GT55" s="18"/>
      <c r="GU55" s="19"/>
      <c r="GV55" s="33" t="str" cm="1">
        <f t="array" ref="GV55">_xlfn.IFS($D55="","",AND(GT55=$C55,GU55=$D55),3,($C55-$D55)/MAX(ABS($C55-$D55),1)=(GT55-GU55)/MAX(ABS(GT55-GU55),1),1,TRUE,0)</f>
        <v/>
      </c>
      <c r="GW55" s="18"/>
      <c r="GX55" s="19"/>
      <c r="GY55" s="33" t="str" cm="1">
        <f t="array" ref="GY55">_xlfn.IFS($D55="","",AND(GW55=$C55,GX55=$D55),3,($C55-$D55)/MAX(ABS($C55-$D55),1)=(GW55-GX55)/MAX(ABS(GW55-GX55),1),1,TRUE,0)</f>
        <v/>
      </c>
      <c r="GZ55" s="18"/>
      <c r="HA55" s="19"/>
      <c r="HB55" s="33" t="str" cm="1">
        <f t="array" ref="HB55">_xlfn.IFS($D55="","",AND(GZ55=$C55,HA55=$D55),3,($C55-$D55)/MAX(ABS($C55-$D55),1)=(GZ55-HA55)/MAX(ABS(GZ55-HA55),1),1,TRUE,0)</f>
        <v/>
      </c>
      <c r="HC55" s="18"/>
      <c r="HD55" s="19"/>
      <c r="HE55" s="33" t="str" cm="1">
        <f t="array" ref="HE55">_xlfn.IFS($D55="","",AND(HC55=$C55,HD55=$D55),3,($C55-$D55)/MAX(ABS($C55-$D55),1)=(HC55-HD55)/MAX(ABS(HC55-HD55),1),1,TRUE,0)</f>
        <v/>
      </c>
      <c r="HF55" s="18"/>
      <c r="HG55" s="19"/>
      <c r="HH55" s="33" t="str" cm="1">
        <f t="array" ref="HH55">_xlfn.IFS($D55="","",AND(HF55=$C55,HG55=$D55),3,($C55-$D55)/MAX(ABS($C55-$D55),1)=(HF55-HG55)/MAX(ABS(HF55-HG55),1),1,TRUE,0)</f>
        <v/>
      </c>
      <c r="HI55" s="18"/>
      <c r="HJ55" s="19"/>
      <c r="HK55" s="33" t="str" cm="1">
        <f t="array" ref="HK55">_xlfn.IFS($D55="","",AND(HI55=$C55,HJ55=$D55),3,($C55-$D55)/MAX(ABS($C55-$D55),1)=(HI55-HJ55)/MAX(ABS(HI55-HJ55),1),1,TRUE,0)</f>
        <v/>
      </c>
      <c r="HL55" s="18"/>
      <c r="HM55" s="19"/>
      <c r="HN55" s="33" t="str" cm="1">
        <f t="array" ref="HN55">_xlfn.IFS($D55="","",AND(HL55=$C55,HM55=$D55),3,($C55-$D55)/MAX(ABS($C55-$D55),1)=(HL55-HM55)/MAX(ABS(HL55-HM55),1),1,TRUE,0)</f>
        <v/>
      </c>
      <c r="HO55" s="18"/>
      <c r="HP55" s="19"/>
      <c r="HQ55" s="33" t="str" cm="1">
        <f t="array" ref="HQ55">_xlfn.IFS($D55="","",AND(HO55=$C55,HP55=$D55),3,($C55-$D55)/MAX(ABS($C55-$D55),1)=(HO55-HP55)/MAX(ABS(HO55-HP55),1),1,TRUE,0)</f>
        <v/>
      </c>
      <c r="HR55" s="18"/>
      <c r="HS55" s="19"/>
      <c r="HT55" s="33" t="str" cm="1">
        <f t="array" ref="HT55">_xlfn.IFS($D55="","",AND(HR55=$C55,HS55=$D55),3,($C55-$D55)/MAX(ABS($C55-$D55),1)=(HR55-HS55)/MAX(ABS(HR55-HS55),1),1,TRUE,0)</f>
        <v/>
      </c>
      <c r="HU55" s="18"/>
      <c r="HV55" s="19"/>
      <c r="HW55" s="33" t="str" cm="1">
        <f t="array" ref="HW55">_xlfn.IFS($D55="","",AND(HU55=$C55,HV55=$D55),3,($C55-$D55)/MAX(ABS($C55-$D55),1)=(HU55-HV55)/MAX(ABS(HU55-HV55),1),1,TRUE,0)</f>
        <v/>
      </c>
      <c r="HX55" s="18"/>
      <c r="HY55" s="19"/>
      <c r="HZ55" s="33" t="str" cm="1">
        <f t="array" ref="HZ55">_xlfn.IFS($D55="","",AND(HX55=$C55,HY55=$D55),3,($C55-$D55)/MAX(ABS($C55-$D55),1)=(HX55-HY55)/MAX(ABS(HX55-HY55),1),1,TRUE,0)</f>
        <v/>
      </c>
      <c r="IA55" s="18"/>
      <c r="IB55" s="19"/>
      <c r="IC55" s="33" t="str" cm="1">
        <f t="array" ref="IC55">_xlfn.IFS($D55="","",AND(IA55=$C55,IB55=$D55),3,($C55-$D55)/MAX(ABS($C55-$D55),1)=(IA55-IB55)/MAX(ABS(IA55-IB55),1),1,TRUE,0)</f>
        <v/>
      </c>
      <c r="ID55" s="18"/>
      <c r="IE55" s="19"/>
      <c r="IF55" s="33" t="str" cm="1">
        <f t="array" ref="IF55">_xlfn.IFS($D55="","",AND(ID55=$C55,IE55=$D55),3,($C55-$D55)/MAX(ABS($C55-$D55),1)=(ID55-IE55)/MAX(ABS(ID55-IE55),1),1,TRUE,0)</f>
        <v/>
      </c>
      <c r="IG55" s="18"/>
      <c r="IH55" s="19"/>
      <c r="II55" s="33" t="str" cm="1">
        <f t="array" ref="II55">_xlfn.IFS($D55="","",AND(IG55=$C55,IH55=$D55),3,($C55-$D55)/MAX(ABS($C55-$D55),1)=(IG55-IH55)/MAX(ABS(IG55-IH55),1),1,TRUE,0)</f>
        <v/>
      </c>
      <c r="IJ55" s="18"/>
      <c r="IK55" s="19"/>
      <c r="IL55" s="33" t="str" cm="1">
        <f t="array" ref="IL55">_xlfn.IFS($D55="","",AND(IJ55=$C55,IK55=$D55),3,($C55-$D55)/MAX(ABS($C55-$D55),1)=(IJ55-IK55)/MAX(ABS(IJ55-IK55),1),1,TRUE,0)</f>
        <v/>
      </c>
      <c r="IM55" s="18"/>
      <c r="IN55" s="19"/>
      <c r="IO55" s="33" t="str" cm="1">
        <f t="array" ref="IO55">_xlfn.IFS($D55="","",AND(IM55=$C55,IN55=$D55),3,($C55-$D55)/MAX(ABS($C55-$D55),1)=(IM55-IN55)/MAX(ABS(IM55-IN55),1),1,TRUE,0)</f>
        <v/>
      </c>
      <c r="IP55" s="18"/>
      <c r="IQ55" s="19"/>
      <c r="IR55" s="33" t="str" cm="1">
        <f t="array" ref="IR55">_xlfn.IFS($D55="","",AND(IP55=$C55,IQ55=$D55),3,($C55-$D55)/MAX(ABS($C55-$D55),1)=(IP55-IQ55)/MAX(ABS(IP55-IQ55),1),1,TRUE,0)</f>
        <v/>
      </c>
      <c r="IS55" s="18"/>
      <c r="IT55" s="19"/>
      <c r="IU55" s="33" t="str" cm="1">
        <f t="array" ref="IU55">_xlfn.IFS($D55="","",AND(IS55=$C55,IT55=$D55),3,($C55-$D55)/MAX(ABS($C55-$D55),1)=(IS55-IT55)/MAX(ABS(IS55-IT55),1),1,TRUE,0)</f>
        <v/>
      </c>
      <c r="IV55" s="18"/>
      <c r="IW55" s="19"/>
      <c r="IX55" s="33" t="str" cm="1">
        <f t="array" ref="IX55">_xlfn.IFS($D55="","",AND(IV55=$C55,IW55=$D55),3,($C55-$D55)/MAX(ABS($C55-$D55),1)=(IV55-IW55)/MAX(ABS(IV55-IW55),1),1,TRUE,0)</f>
        <v/>
      </c>
      <c r="IY55" s="18"/>
      <c r="IZ55" s="19"/>
      <c r="JA55" s="33" t="str" cm="1">
        <f t="array" ref="JA55">_xlfn.IFS($D55="","",AND(IY55=$C55,IZ55=$D55),3,($C55-$D55)/MAX(ABS($C55-$D55),1)=(IY55-IZ55)/MAX(ABS(IY55-IZ55),1),1,TRUE,0)</f>
        <v/>
      </c>
      <c r="JB55" s="18"/>
      <c r="JC55" s="19"/>
      <c r="JD55" s="33" t="str" cm="1">
        <f t="array" ref="JD55">_xlfn.IFS($D55="","",AND(JB55=$C55,JC55=$D55),3,($C55-$D55)/MAX(ABS($C55-$D55),1)=(JB55-JC55)/MAX(ABS(JB55-JC55),1),1,TRUE,0)</f>
        <v/>
      </c>
    </row>
    <row r="56" spans="1:264" ht="15" thickBot="1" x14ac:dyDescent="0.35">
      <c r="A56" s="22">
        <v>46198</v>
      </c>
      <c r="B56" s="28" t="s">
        <v>61</v>
      </c>
      <c r="C56" s="53" t="str" cm="1">
        <f t="array" ref="C56">_xlfn.LET(
_xlpm.x,_xlfn.XLOOKUP(1,(Scores_Fixtures[Date]=A56)*(Scores_Fixtures[Home.1]=B56),Scores_Fixtures[Score.1],""),
IF(_xlpm.x="","",_xlpm.x)
)</f>
        <v/>
      </c>
      <c r="D56" s="53" t="str" cm="1">
        <f t="array" ref="D56">_xlfn.LET(
_xlpm.x,_xlfn.XLOOKUP(1,(Scores_Fixtures[Date]=A56)*(Scores_Fixtures[Home.1]=B56),Scores_Fixtures[Score.2],""),
IF(_xlpm.x="","",_xlpm.x)
)</f>
        <v/>
      </c>
      <c r="E56" s="12" t="s">
        <v>35</v>
      </c>
      <c r="F56" s="15"/>
      <c r="G56" s="53"/>
      <c r="H56" s="53"/>
      <c r="I56" s="33" t="str" cm="1">
        <f t="array" ref="I56">_xlfn.IFS($D56="","",AND(G56=$C56,H56=$D56),3,($C56-$D56)/MAX(ABS($C56-$D56),1)=(G56-H56)/MAX(ABS(G56-H56),1),1,TRUE,0)</f>
        <v/>
      </c>
      <c r="J56" s="18"/>
      <c r="K56" s="19"/>
      <c r="L56" s="33" t="str" cm="1">
        <f t="array" ref="L56">_xlfn.IFS($D56="","",AND(J56=$C56,K56=$D56),3,($C56-$D56)/MAX(ABS($C56-$D56),1)=(J56-K56)/MAX(ABS(J56-K56),1),1,TRUE,0)</f>
        <v/>
      </c>
      <c r="M56" s="18"/>
      <c r="N56" s="19"/>
      <c r="O56" s="33" t="str" cm="1">
        <f t="array" ref="O56">_xlfn.IFS($D56="","",AND(M56=$C56,N56=$D56),3,($C56-$D56)/MAX(ABS($C56-$D56),1)=(M56-N56)/MAX(ABS(M56-N56),1),1,TRUE,0)</f>
        <v/>
      </c>
      <c r="P56" s="18"/>
      <c r="Q56" s="19"/>
      <c r="R56" s="33" t="str" cm="1">
        <f t="array" ref="R56">_xlfn.IFS($D56="","",AND(P56=$C56,Q56=$D56),3,($C56-$D56)/MAX(ABS($C56-$D56),1)=(P56-Q56)/MAX(ABS(P56-Q56),1),1,TRUE,0)</f>
        <v/>
      </c>
      <c r="S56" s="18"/>
      <c r="T56" s="19"/>
      <c r="U56" s="33" t="str" cm="1">
        <f t="array" ref="U56">_xlfn.IFS($D56="","",AND(S56=$C56,T56=$D56),3,($C56-$D56)/MAX(ABS($C56-$D56),1)=(S56-T56)/MAX(ABS(S56-T56),1),1,TRUE,0)</f>
        <v/>
      </c>
      <c r="V56" s="18"/>
      <c r="W56" s="19"/>
      <c r="X56" s="33" t="str" cm="1">
        <f t="array" ref="X56">_xlfn.IFS($D56="","",AND(V56=$C56,W56=$D56),3,($C56-$D56)/MAX(ABS($C56-$D56),1)=(V56-W56)/MAX(ABS(V56-W56),1),1,TRUE,0)</f>
        <v/>
      </c>
      <c r="Y56" s="18"/>
      <c r="Z56" s="19"/>
      <c r="AA56" s="33" t="str" cm="1">
        <f t="array" ref="AA56">_xlfn.IFS($D56="","",AND(Y56=$C56,Z56=$D56),3,($C56-$D56)/MAX(ABS($C56-$D56),1)=(Y56-Z56)/MAX(ABS(Y56-Z56),1),1,TRUE,0)</f>
        <v/>
      </c>
      <c r="AB56" s="18"/>
      <c r="AC56" s="19"/>
      <c r="AD56" s="33" t="str" cm="1">
        <f t="array" ref="AD56">_xlfn.IFS($D56="","",AND(AB56=$C56,AC56=$D56),3,($C56-$D56)/MAX(ABS($C56-$D56),1)=(AB56-AC56)/MAX(ABS(AB56-AC56),1),1,TRUE,0)</f>
        <v/>
      </c>
      <c r="AE56" s="18"/>
      <c r="AF56" s="19"/>
      <c r="AG56" s="33" t="str" cm="1">
        <f t="array" ref="AG56">_xlfn.IFS($D56="","",AND(AE56=$C56,AF56=$D56),3,($C56-$D56)/MAX(ABS($C56-$D56),1)=(AE56-AF56)/MAX(ABS(AE56-AF56),1),1,TRUE,0)</f>
        <v/>
      </c>
      <c r="AH56" s="18"/>
      <c r="AI56" s="19"/>
      <c r="AJ56" s="33" t="str" cm="1">
        <f t="array" ref="AJ56">_xlfn.IFS($D56="","",AND(AH56=$C56,AI56=$D56),3,($C56-$D56)/MAX(ABS($C56-$D56),1)=(AH56-AI56)/MAX(ABS(AH56-AI56),1),1,TRUE,0)</f>
        <v/>
      </c>
      <c r="AK56" s="18"/>
      <c r="AL56" s="19"/>
      <c r="AM56" s="33" t="str" cm="1">
        <f t="array" ref="AM56">_xlfn.IFS($D56="","",AND(AK56=$C56,AL56=$D56),3,($C56-$D56)/MAX(ABS($C56-$D56),1)=(AK56-AL56)/MAX(ABS(AK56-AL56),1),1,TRUE,0)</f>
        <v/>
      </c>
      <c r="AN56" s="18"/>
      <c r="AO56" s="19"/>
      <c r="AP56" s="33" t="str" cm="1">
        <f t="array" ref="AP56">_xlfn.IFS($D56="","",AND(AN56=$C56,AO56=$D56),3,($C56-$D56)/MAX(ABS($C56-$D56),1)=(AN56-AO56)/MAX(ABS(AN56-AO56),1),1,TRUE,0)</f>
        <v/>
      </c>
      <c r="AQ56" s="18"/>
      <c r="AR56" s="19"/>
      <c r="AS56" s="33" t="str" cm="1">
        <f t="array" ref="AS56">_xlfn.IFS($D56="","",AND(AQ56=$C56,AR56=$D56),3,($C56-$D56)/MAX(ABS($C56-$D56),1)=(AQ56-AR56)/MAX(ABS(AQ56-AR56),1),1,TRUE,0)</f>
        <v/>
      </c>
      <c r="AT56" s="18"/>
      <c r="AU56" s="19"/>
      <c r="AV56" s="33" t="str" cm="1">
        <f t="array" ref="AV56">_xlfn.IFS($D56="","",AND(AT56=$C56,AU56=$D56),3,($C56-$D56)/MAX(ABS($C56-$D56),1)=(AT56-AU56)/MAX(ABS(AT56-AU56),1),1,TRUE,0)</f>
        <v/>
      </c>
      <c r="AW56" s="18"/>
      <c r="AX56" s="19"/>
      <c r="AY56" s="33" t="str" cm="1">
        <f t="array" ref="AY56">_xlfn.IFS($D56="","",AND(AW56=$C56,AX56=$D56),3,($C56-$D56)/MAX(ABS($C56-$D56),1)=(AW56-AX56)/MAX(ABS(AW56-AX56),1),1,TRUE,0)</f>
        <v/>
      </c>
      <c r="AZ56" s="18"/>
      <c r="BA56" s="19"/>
      <c r="BB56" s="33" t="str" cm="1">
        <f t="array" ref="BB56">_xlfn.IFS($D56="","",AND(AZ56=$C56,BA56=$D56),3,($C56-$D56)/MAX(ABS($C56-$D56),1)=(AZ56-BA56)/MAX(ABS(AZ56-BA56),1),1,TRUE,0)</f>
        <v/>
      </c>
      <c r="BC56" s="18"/>
      <c r="BD56" s="19"/>
      <c r="BE56" s="33" t="str" cm="1">
        <f t="array" ref="BE56">_xlfn.IFS($D56="","",AND(BC56=$C56,BD56=$D56),3,($C56-$D56)/MAX(ABS($C56-$D56),1)=(BC56-BD56)/MAX(ABS(BC56-BD56),1),1,TRUE,0)</f>
        <v/>
      </c>
      <c r="BF56" s="18"/>
      <c r="BG56" s="19"/>
      <c r="BH56" s="33" t="str" cm="1">
        <f t="array" ref="BH56">_xlfn.IFS($D56="","",AND(BF56=$C56,BG56=$D56),3,($C56-$D56)/MAX(ABS($C56-$D56),1)=(BF56-BG56)/MAX(ABS(BF56-BG56),1),1,TRUE,0)</f>
        <v/>
      </c>
      <c r="BI56" s="18"/>
      <c r="BJ56" s="19"/>
      <c r="BK56" s="33" t="str" cm="1">
        <f t="array" ref="BK56">_xlfn.IFS($D56="","",AND(BI56=$C56,BJ56=$D56),3,($C56-$D56)/MAX(ABS($C56-$D56),1)=(BI56-BJ56)/MAX(ABS(BI56-BJ56),1),1,TRUE,0)</f>
        <v/>
      </c>
      <c r="BL56" s="18"/>
      <c r="BM56" s="19"/>
      <c r="BN56" s="33" t="str" cm="1">
        <f t="array" ref="BN56">_xlfn.IFS($D56="","",AND(BL56=$C56,BM56=$D56),3,($C56-$D56)/MAX(ABS($C56-$D56),1)=(BL56-BM56)/MAX(ABS(BL56-BM56),1),1,TRUE,0)</f>
        <v/>
      </c>
      <c r="BO56" s="18"/>
      <c r="BP56" s="19"/>
      <c r="BQ56" s="33" t="str" cm="1">
        <f t="array" ref="BQ56">_xlfn.IFS($D56="","",AND(BO56=$C56,BP56=$D56),3,($C56-$D56)/MAX(ABS($C56-$D56),1)=(BO56-BP56)/MAX(ABS(BO56-BP56),1),1,TRUE,0)</f>
        <v/>
      </c>
      <c r="BR56" s="18"/>
      <c r="BS56" s="19"/>
      <c r="BT56" s="33" t="str" cm="1">
        <f t="array" ref="BT56">_xlfn.IFS($D56="","",AND(BR56=$C56,BS56=$D56),3,($C56-$D56)/MAX(ABS($C56-$D56),1)=(BR56-BS56)/MAX(ABS(BR56-BS56),1),1,TRUE,0)</f>
        <v/>
      </c>
      <c r="BU56" s="18"/>
      <c r="BV56" s="19"/>
      <c r="BW56" s="33" t="str" cm="1">
        <f t="array" ref="BW56">_xlfn.IFS($D56="","",AND(BU56=$C56,BV56=$D56),3,($C56-$D56)/MAX(ABS($C56-$D56),1)=(BU56-BV56)/MAX(ABS(BU56-BV56),1),1,TRUE,0)</f>
        <v/>
      </c>
      <c r="BX56" s="18"/>
      <c r="BY56" s="19"/>
      <c r="BZ56" s="33" t="str" cm="1">
        <f t="array" ref="BZ56">_xlfn.IFS($D56="","",AND(BX56=$C56,BY56=$D56),3,($C56-$D56)/MAX(ABS($C56-$D56),1)=(BX56-BY56)/MAX(ABS(BX56-BY56),1),1,TRUE,0)</f>
        <v/>
      </c>
      <c r="CA56" s="18"/>
      <c r="CB56" s="19"/>
      <c r="CC56" s="33" t="str" cm="1">
        <f t="array" ref="CC56">_xlfn.IFS($D56="","",AND(CA56=$C56,CB56=$D56),3,($C56-$D56)/MAX(ABS($C56-$D56),1)=(CA56-CB56)/MAX(ABS(CA56-CB56),1),1,TRUE,0)</f>
        <v/>
      </c>
      <c r="CD56" s="18"/>
      <c r="CE56" s="19"/>
      <c r="CF56" s="33" t="str" cm="1">
        <f t="array" ref="CF56">_xlfn.IFS($D56="","",AND(CD56=$C56,CE56=$D56),3,($C56-$D56)/MAX(ABS($C56-$D56),1)=(CD56-CE56)/MAX(ABS(CD56-CE56),1),1,TRUE,0)</f>
        <v/>
      </c>
      <c r="CG56" s="18"/>
      <c r="CH56" s="19"/>
      <c r="CI56" s="33" t="str" cm="1">
        <f t="array" ref="CI56">_xlfn.IFS($D56="","",AND(CG56=$C56,CH56=$D56),3,($C56-$D56)/MAX(ABS($C56-$D56),1)=(CG56-CH56)/MAX(ABS(CG56-CH56),1),1,TRUE,0)</f>
        <v/>
      </c>
      <c r="CJ56" s="18"/>
      <c r="CK56" s="19"/>
      <c r="CL56" s="33" t="str" cm="1">
        <f t="array" ref="CL56">_xlfn.IFS($D56="","",AND(CJ56=$C56,CK56=$D56),3,($C56-$D56)/MAX(ABS($C56-$D56),1)=(CJ56-CK56)/MAX(ABS(CJ56-CK56),1),1,TRUE,0)</f>
        <v/>
      </c>
      <c r="CM56" s="18"/>
      <c r="CN56" s="19"/>
      <c r="CO56" s="33" t="str" cm="1">
        <f t="array" ref="CO56">_xlfn.IFS($D56="","",AND(CM56=$C56,CN56=$D56),3,($C56-$D56)/MAX(ABS($C56-$D56),1)=(CM56-CN56)/MAX(ABS(CM56-CN56),1),1,TRUE,0)</f>
        <v/>
      </c>
      <c r="CP56" s="18"/>
      <c r="CQ56" s="19"/>
      <c r="CR56" s="33" t="str" cm="1">
        <f t="array" ref="CR56">_xlfn.IFS($D56="","",AND(CP56=$C56,CQ56=$D56),3,($C56-$D56)/MAX(ABS($C56-$D56),1)=(CP56-CQ56)/MAX(ABS(CP56-CQ56),1),1,TRUE,0)</f>
        <v/>
      </c>
      <c r="CS56" s="18"/>
      <c r="CT56" s="19"/>
      <c r="CU56" s="33" t="str" cm="1">
        <f t="array" ref="CU56">_xlfn.IFS($D56="","",AND(CS56=$C56,CT56=$D56),3,($C56-$D56)/MAX(ABS($C56-$D56),1)=(CS56-CT56)/MAX(ABS(CS56-CT56),1),1,TRUE,0)</f>
        <v/>
      </c>
      <c r="CV56" s="18"/>
      <c r="CW56" s="19"/>
      <c r="CX56" s="33" t="str" cm="1">
        <f t="array" ref="CX56">_xlfn.IFS($D56="","",AND(CV56=$C56,CW56=$D56),3,($C56-$D56)/MAX(ABS($C56-$D56),1)=(CV56-CW56)/MAX(ABS(CV56-CW56),1),1,TRUE,0)</f>
        <v/>
      </c>
      <c r="CY56" s="18"/>
      <c r="CZ56" s="19"/>
      <c r="DA56" s="33" t="str" cm="1">
        <f t="array" ref="DA56">_xlfn.IFS($D56="","",AND(CY56=$C56,CZ56=$D56),3,($C56-$D56)/MAX(ABS($C56-$D56),1)=(CY56-CZ56)/MAX(ABS(CY56-CZ56),1),1,TRUE,0)</f>
        <v/>
      </c>
      <c r="DB56" s="37"/>
      <c r="DC56" s="38"/>
      <c r="DD56" s="33" t="str" cm="1">
        <f t="array" ref="DD56">_xlfn.IFS($D56="","",AND(DB56=$C56,DC56=$D56),3,($C56-$D56)/MAX(ABS($C56-$D56),1)=(DB56-DC56)/MAX(ABS(DB56-DC56),1),1,TRUE,0)</f>
        <v/>
      </c>
      <c r="DE56" s="18"/>
      <c r="DF56" s="19"/>
      <c r="DG56" s="33" t="str" cm="1">
        <f t="array" ref="DG56">_xlfn.IFS($D56="","",AND(DE56=$C56,DF56=$D56),3,($C56-$D56)/MAX(ABS($C56-$D56),1)=(DE56-DF56)/MAX(ABS(DE56-DF56),1),1,TRUE,0)</f>
        <v/>
      </c>
      <c r="DH56" s="18"/>
      <c r="DI56" s="19"/>
      <c r="DJ56" s="33" t="str" cm="1">
        <f t="array" ref="DJ56">_xlfn.IFS($D56="","",AND(DH56=$C56,DI56=$D56),3,($C56-$D56)/MAX(ABS($C56-$D56),1)=(DH56-DI56)/MAX(ABS(DH56-DI56),1),1,TRUE,0)</f>
        <v/>
      </c>
      <c r="DK56" s="18"/>
      <c r="DL56" s="19"/>
      <c r="DM56" s="33" t="str" cm="1">
        <f t="array" ref="DM56">_xlfn.IFS($D56="","",AND(DK56=$C56,DL56=$D56),3,($C56-$D56)/MAX(ABS($C56-$D56),1)=(DK56-DL56)/MAX(ABS(DK56-DL56),1),1,TRUE,0)</f>
        <v/>
      </c>
      <c r="DN56" s="18"/>
      <c r="DO56" s="19"/>
      <c r="DP56" s="33" t="str" cm="1">
        <f t="array" ref="DP56">_xlfn.IFS($D56="","",AND(DN56=$C56,DO56=$D56),3,($C56-$D56)/MAX(ABS($C56-$D56),1)=(DN56-DO56)/MAX(ABS(DN56-DO56),1),1,TRUE,0)</f>
        <v/>
      </c>
      <c r="DQ56" s="18"/>
      <c r="DR56" s="19"/>
      <c r="DS56" s="33" t="str" cm="1">
        <f t="array" ref="DS56">_xlfn.IFS($D56="","",AND(DQ56=$C56,DR56=$D56),3,($C56-$D56)/MAX(ABS($C56-$D56),1)=(DQ56-DR56)/MAX(ABS(DQ56-DR56),1),1,TRUE,0)</f>
        <v/>
      </c>
      <c r="DT56" s="18"/>
      <c r="DU56" s="19"/>
      <c r="DV56" s="33" t="str" cm="1">
        <f t="array" ref="DV56">_xlfn.IFS($D56="","",AND(DT56=$C56,DU56=$D56),3,($C56-$D56)/MAX(ABS($C56-$D56),1)=(DT56-DU56)/MAX(ABS(DT56-DU56),1),1,TRUE,0)</f>
        <v/>
      </c>
      <c r="DW56" s="18"/>
      <c r="DX56" s="19"/>
      <c r="DY56" s="33" t="str" cm="1">
        <f t="array" ref="DY56">_xlfn.IFS($D56="","",AND(DW56=$C56,DX56=$D56),3,($C56-$D56)/MAX(ABS($C56-$D56),1)=(DW56-DX56)/MAX(ABS(DW56-DX56),1),1,TRUE,0)</f>
        <v/>
      </c>
      <c r="DZ56" s="18"/>
      <c r="EA56" s="19"/>
      <c r="EB56" s="33" t="str" cm="1">
        <f t="array" ref="EB56">_xlfn.IFS($D56="","",AND(DZ56=$C56,EA56=$D56),3,($C56-$D56)/MAX(ABS($C56-$D56),1)=(DZ56-EA56)/MAX(ABS(DZ56-EA56),1),1,TRUE,0)</f>
        <v/>
      </c>
      <c r="EC56" s="18"/>
      <c r="ED56" s="19"/>
      <c r="EE56" s="33" t="str" cm="1">
        <f t="array" ref="EE56">_xlfn.IFS($D56="","",AND(EC56=$C56,ED56=$D56),3,($C56-$D56)/MAX(ABS($C56-$D56),1)=(EC56-ED56)/MAX(ABS(EC56-ED56),1),1,TRUE,0)</f>
        <v/>
      </c>
      <c r="EF56" s="18"/>
      <c r="EG56" s="19"/>
      <c r="EH56" s="33" t="str" cm="1">
        <f t="array" ref="EH56">_xlfn.IFS($D56="","",AND(EF56=$C56,EG56=$D56),3,($C56-$D56)/MAX(ABS($C56-$D56),1)=(EF56-EG56)/MAX(ABS(EF56-EG56),1),1,TRUE,0)</f>
        <v/>
      </c>
      <c r="EI56" s="50"/>
      <c r="EJ56" s="51"/>
      <c r="EK56" s="33" t="str" cm="1">
        <f t="array" ref="EK56">_xlfn.IFS($D56="","",AND(EI56=$C56,EJ56=$D56),3,($C56-$D56)/MAX(ABS($C56-$D56),1)=(EI56-EJ56)/MAX(ABS(EI56-EJ56),1),1,TRUE,0)</f>
        <v/>
      </c>
      <c r="EL56" s="18"/>
      <c r="EM56" s="19"/>
      <c r="EN56" s="33" t="str" cm="1">
        <f t="array" ref="EN56">_xlfn.IFS($D56="","",AND(EL56=$C56,EM56=$D56),3,($C56-$D56)/MAX(ABS($C56-$D56),1)=(EL56-EM56)/MAX(ABS(EL56-EM56),1),1,TRUE,0)</f>
        <v/>
      </c>
      <c r="EO56" s="18"/>
      <c r="EP56" s="19"/>
      <c r="EQ56" s="33" t="str" cm="1">
        <f t="array" ref="EQ56">_xlfn.IFS($D56="","",AND(EO56=$C56,EP56=$D56),3,($C56-$D56)/MAX(ABS($C56-$D56),1)=(EO56-EP56)/MAX(ABS(EO56-EP56),1),1,TRUE,0)</f>
        <v/>
      </c>
      <c r="ER56" s="18"/>
      <c r="ES56" s="19"/>
      <c r="ET56" s="33" t="str" cm="1">
        <f t="array" ref="ET56">_xlfn.IFS($D56="","",AND(ER56=$C56,ES56=$D56),3,($C56-$D56)/MAX(ABS($C56-$D56),1)=(ER56-ES56)/MAX(ABS(ER56-ES56),1),1,TRUE,0)</f>
        <v/>
      </c>
      <c r="EU56" s="18"/>
      <c r="EV56" s="19"/>
      <c r="EW56" s="33" t="str" cm="1">
        <f t="array" ref="EW56">_xlfn.IFS($D56="","",AND(EU56=$C56,EV56=$D56),3,($C56-$D56)/MAX(ABS($C56-$D56),1)=(EU56-EV56)/MAX(ABS(EU56-EV56),1),1,TRUE,0)</f>
        <v/>
      </c>
      <c r="EX56" s="18"/>
      <c r="EY56" s="19"/>
      <c r="EZ56" s="33" t="str" cm="1">
        <f t="array" ref="EZ56">_xlfn.IFS($D56="","",AND(EX56=$C56,EY56=$D56),3,($C56-$D56)/MAX(ABS($C56-$D56),1)=(EX56-EY56)/MAX(ABS(EX56-EY56),1),1,TRUE,0)</f>
        <v/>
      </c>
      <c r="FA56" s="18"/>
      <c r="FB56" s="19"/>
      <c r="FC56" s="33" t="str" cm="1">
        <f t="array" ref="FC56">_xlfn.IFS($D56="","",AND(FA56=$C56,FB56=$D56),3,($C56-$D56)/MAX(ABS($C56-$D56),1)=(FA56-FB56)/MAX(ABS(FA56-FB56),1),1,TRUE,0)</f>
        <v/>
      </c>
      <c r="FD56" s="18"/>
      <c r="FE56" s="19"/>
      <c r="FF56" s="33" t="str" cm="1">
        <f t="array" ref="FF56">_xlfn.IFS($D56="","",AND(FD56=$C56,FE56=$D56),3,($C56-$D56)/MAX(ABS($C56-$D56),1)=(FD56-FE56)/MAX(ABS(FD56-FE56),1),1,TRUE,0)</f>
        <v/>
      </c>
      <c r="FG56" s="18"/>
      <c r="FH56" s="19"/>
      <c r="FI56" s="33" t="str" cm="1">
        <f t="array" ref="FI56">_xlfn.IFS($D56="","",AND(FG56=$C56,FH56=$D56),3,($C56-$D56)/MAX(ABS($C56-$D56),1)=(FG56-FH56)/MAX(ABS(FG56-FH56),1),1,TRUE,0)</f>
        <v/>
      </c>
      <c r="FJ56" s="18"/>
      <c r="FK56" s="19"/>
      <c r="FL56" s="33" t="str" cm="1">
        <f t="array" ref="FL56">_xlfn.IFS($D56="","",AND(FJ56=$C56,FK56=$D56),3,($C56-$D56)/MAX(ABS($C56-$D56),1)=(FJ56-FK56)/MAX(ABS(FJ56-FK56),1),1,TRUE,0)</f>
        <v/>
      </c>
      <c r="FM56" s="18"/>
      <c r="FN56" s="19"/>
      <c r="FO56" s="33" t="str" cm="1">
        <f t="array" ref="FO56">_xlfn.IFS($D56="","",AND(FM56=$C56,FN56=$D56),3,($C56-$D56)/MAX(ABS($C56-$D56),1)=(FM56-FN56)/MAX(ABS(FM56-FN56),1),1,TRUE,0)</f>
        <v/>
      </c>
      <c r="FP56" s="18"/>
      <c r="FQ56" s="19"/>
      <c r="FR56" s="33" t="str" cm="1">
        <f t="array" ref="FR56">_xlfn.IFS($D56="","",AND(FP56=$C56,FQ56=$D56),3,($C56-$D56)/MAX(ABS($C56-$D56),1)=(FP56-FQ56)/MAX(ABS(FP56-FQ56),1),1,TRUE,0)</f>
        <v/>
      </c>
      <c r="FS56" s="18"/>
      <c r="FT56" s="19"/>
      <c r="FU56" s="33" t="str" cm="1">
        <f t="array" ref="FU56">_xlfn.IFS($D56="","",AND(FS56=$C56,FT56=$D56),3,($C56-$D56)/MAX(ABS($C56-$D56),1)=(FS56-FT56)/MAX(ABS(FS56-FT56),1),1,TRUE,0)</f>
        <v/>
      </c>
      <c r="FV56" s="18"/>
      <c r="FW56" s="19"/>
      <c r="FX56" s="33" t="str" cm="1">
        <f t="array" ref="FX56">_xlfn.IFS($D56="","",AND(FV56=$C56,FW56=$D56),3,($C56-$D56)/MAX(ABS($C56-$D56),1)=(FV56-FW56)/MAX(ABS(FV56-FW56),1),1,TRUE,0)</f>
        <v/>
      </c>
      <c r="FY56" s="18"/>
      <c r="FZ56" s="19"/>
      <c r="GA56" s="33" t="str" cm="1">
        <f t="array" ref="GA56">_xlfn.IFS($D56="","",AND(FY56=$C56,FZ56=$D56),3,($C56-$D56)/MAX(ABS($C56-$D56),1)=(FY56-FZ56)/MAX(ABS(FY56-FZ56),1),1,TRUE,0)</f>
        <v/>
      </c>
      <c r="GB56" s="18"/>
      <c r="GC56" s="19"/>
      <c r="GD56" s="33" t="str" cm="1">
        <f t="array" ref="GD56">_xlfn.IFS($D56="","",AND(GB56=$C56,GC56=$D56),3,($C56-$D56)/MAX(ABS($C56-$D56),1)=(GB56-GC56)/MAX(ABS(GB56-GC56),1),1,TRUE,0)</f>
        <v/>
      </c>
      <c r="GE56" s="52"/>
      <c r="GF56" s="19"/>
      <c r="GG56" s="33" t="str" cm="1">
        <f t="array" ref="GG56">_xlfn.IFS($D56="","",AND(GE56=$C56,GF56=$D56),3,($C56-$D56)/MAX(ABS($C56-$D56),1)=(GE56-GF56)/MAX(ABS(GE56-GF56),1),1,TRUE,0)</f>
        <v/>
      </c>
      <c r="GH56" s="18"/>
      <c r="GI56" s="19"/>
      <c r="GJ56" s="33" t="str" cm="1">
        <f t="array" ref="GJ56">_xlfn.IFS($D56="","",AND(GH56=$C56,GI56=$D56),3,($C56-$D56)/MAX(ABS($C56-$D56),1)=(GH56-GI56)/MAX(ABS(GH56-GI56),1),1,TRUE,0)</f>
        <v/>
      </c>
      <c r="GK56" s="18"/>
      <c r="GL56" s="19"/>
      <c r="GM56" s="33" t="str" cm="1">
        <f t="array" ref="GM56">_xlfn.IFS($D56="","",AND(GK56=$C56,GL56=$D56),3,($C56-$D56)/MAX(ABS($C56-$D56),1)=(GK56-GL56)/MAX(ABS(GK56-GL56),1),1,TRUE,0)</f>
        <v/>
      </c>
      <c r="GN56" s="18"/>
      <c r="GO56" s="19"/>
      <c r="GP56" s="33" t="str" cm="1">
        <f t="array" ref="GP56">_xlfn.IFS($D56="","",AND(GN56=$C56,GO56=$D56),3,($C56-$D56)/MAX(ABS($C56-$D56),1)=(GN56-GO56)/MAX(ABS(GN56-GO56),1),1,TRUE,0)</f>
        <v/>
      </c>
      <c r="GQ56" s="18"/>
      <c r="GR56" s="19"/>
      <c r="GS56" s="33" t="str" cm="1">
        <f t="array" ref="GS56">_xlfn.IFS($D56="","",AND(GQ56=$C56,GR56=$D56),3,($C56-$D56)/MAX(ABS($C56-$D56),1)=(GQ56-GR56)/MAX(ABS(GQ56-GR56),1),1,TRUE,0)</f>
        <v/>
      </c>
      <c r="GT56" s="18"/>
      <c r="GU56" s="19"/>
      <c r="GV56" s="33" t="str" cm="1">
        <f t="array" ref="GV56">_xlfn.IFS($D56="","",AND(GT56=$C56,GU56=$D56),3,($C56-$D56)/MAX(ABS($C56-$D56),1)=(GT56-GU56)/MAX(ABS(GT56-GU56),1),1,TRUE,0)</f>
        <v/>
      </c>
      <c r="GW56" s="18"/>
      <c r="GX56" s="19"/>
      <c r="GY56" s="33" t="str" cm="1">
        <f t="array" ref="GY56">_xlfn.IFS($D56="","",AND(GW56=$C56,GX56=$D56),3,($C56-$D56)/MAX(ABS($C56-$D56),1)=(GW56-GX56)/MAX(ABS(GW56-GX56),1),1,TRUE,0)</f>
        <v/>
      </c>
      <c r="GZ56" s="18"/>
      <c r="HA56" s="19"/>
      <c r="HB56" s="33" t="str" cm="1">
        <f t="array" ref="HB56">_xlfn.IFS($D56="","",AND(GZ56=$C56,HA56=$D56),3,($C56-$D56)/MAX(ABS($C56-$D56),1)=(GZ56-HA56)/MAX(ABS(GZ56-HA56),1),1,TRUE,0)</f>
        <v/>
      </c>
      <c r="HC56" s="18"/>
      <c r="HD56" s="19"/>
      <c r="HE56" s="33" t="str" cm="1">
        <f t="array" ref="HE56">_xlfn.IFS($D56="","",AND(HC56=$C56,HD56=$D56),3,($C56-$D56)/MAX(ABS($C56-$D56),1)=(HC56-HD56)/MAX(ABS(HC56-HD56),1),1,TRUE,0)</f>
        <v/>
      </c>
      <c r="HF56" s="18"/>
      <c r="HG56" s="19"/>
      <c r="HH56" s="33" t="str" cm="1">
        <f t="array" ref="HH56">_xlfn.IFS($D56="","",AND(HF56=$C56,HG56=$D56),3,($C56-$D56)/MAX(ABS($C56-$D56),1)=(HF56-HG56)/MAX(ABS(HF56-HG56),1),1,TRUE,0)</f>
        <v/>
      </c>
      <c r="HI56" s="18"/>
      <c r="HJ56" s="19"/>
      <c r="HK56" s="33" t="str" cm="1">
        <f t="array" ref="HK56">_xlfn.IFS($D56="","",AND(HI56=$C56,HJ56=$D56),3,($C56-$D56)/MAX(ABS($C56-$D56),1)=(HI56-HJ56)/MAX(ABS(HI56-HJ56),1),1,TRUE,0)</f>
        <v/>
      </c>
      <c r="HL56" s="18"/>
      <c r="HM56" s="19"/>
      <c r="HN56" s="33" t="str" cm="1">
        <f t="array" ref="HN56">_xlfn.IFS($D56="","",AND(HL56=$C56,HM56=$D56),3,($C56-$D56)/MAX(ABS($C56-$D56),1)=(HL56-HM56)/MAX(ABS(HL56-HM56),1),1,TRUE,0)</f>
        <v/>
      </c>
      <c r="HO56" s="18"/>
      <c r="HP56" s="19"/>
      <c r="HQ56" s="33" t="str" cm="1">
        <f t="array" ref="HQ56">_xlfn.IFS($D56="","",AND(HO56=$C56,HP56=$D56),3,($C56-$D56)/MAX(ABS($C56-$D56),1)=(HO56-HP56)/MAX(ABS(HO56-HP56),1),1,TRUE,0)</f>
        <v/>
      </c>
      <c r="HR56" s="18"/>
      <c r="HS56" s="19"/>
      <c r="HT56" s="33" t="str" cm="1">
        <f t="array" ref="HT56">_xlfn.IFS($D56="","",AND(HR56=$C56,HS56=$D56),3,($C56-$D56)/MAX(ABS($C56-$D56),1)=(HR56-HS56)/MAX(ABS(HR56-HS56),1),1,TRUE,0)</f>
        <v/>
      </c>
      <c r="HU56" s="18"/>
      <c r="HV56" s="19"/>
      <c r="HW56" s="33" t="str" cm="1">
        <f t="array" ref="HW56">_xlfn.IFS($D56="","",AND(HU56=$C56,HV56=$D56),3,($C56-$D56)/MAX(ABS($C56-$D56),1)=(HU56-HV56)/MAX(ABS(HU56-HV56),1),1,TRUE,0)</f>
        <v/>
      </c>
      <c r="HX56" s="18"/>
      <c r="HY56" s="19"/>
      <c r="HZ56" s="33" t="str" cm="1">
        <f t="array" ref="HZ56">_xlfn.IFS($D56="","",AND(HX56=$C56,HY56=$D56),3,($C56-$D56)/MAX(ABS($C56-$D56),1)=(HX56-HY56)/MAX(ABS(HX56-HY56),1),1,TRUE,0)</f>
        <v/>
      </c>
      <c r="IA56" s="18"/>
      <c r="IB56" s="19"/>
      <c r="IC56" s="33" t="str" cm="1">
        <f t="array" ref="IC56">_xlfn.IFS($D56="","",AND(IA56=$C56,IB56=$D56),3,($C56-$D56)/MAX(ABS($C56-$D56),1)=(IA56-IB56)/MAX(ABS(IA56-IB56),1),1,TRUE,0)</f>
        <v/>
      </c>
      <c r="ID56" s="18"/>
      <c r="IE56" s="19"/>
      <c r="IF56" s="33" t="str" cm="1">
        <f t="array" ref="IF56">_xlfn.IFS($D56="","",AND(ID56=$C56,IE56=$D56),3,($C56-$D56)/MAX(ABS($C56-$D56),1)=(ID56-IE56)/MAX(ABS(ID56-IE56),1),1,TRUE,0)</f>
        <v/>
      </c>
      <c r="IG56" s="18"/>
      <c r="IH56" s="19"/>
      <c r="II56" s="33" t="str" cm="1">
        <f t="array" ref="II56">_xlfn.IFS($D56="","",AND(IG56=$C56,IH56=$D56),3,($C56-$D56)/MAX(ABS($C56-$D56),1)=(IG56-IH56)/MAX(ABS(IG56-IH56),1),1,TRUE,0)</f>
        <v/>
      </c>
      <c r="IJ56" s="18"/>
      <c r="IK56" s="19"/>
      <c r="IL56" s="33" t="str" cm="1">
        <f t="array" ref="IL56">_xlfn.IFS($D56="","",AND(IJ56=$C56,IK56=$D56),3,($C56-$D56)/MAX(ABS($C56-$D56),1)=(IJ56-IK56)/MAX(ABS(IJ56-IK56),1),1,TRUE,0)</f>
        <v/>
      </c>
      <c r="IM56" s="18"/>
      <c r="IN56" s="19"/>
      <c r="IO56" s="33" t="str" cm="1">
        <f t="array" ref="IO56">_xlfn.IFS($D56="","",AND(IM56=$C56,IN56=$D56),3,($C56-$D56)/MAX(ABS($C56-$D56),1)=(IM56-IN56)/MAX(ABS(IM56-IN56),1),1,TRUE,0)</f>
        <v/>
      </c>
      <c r="IP56" s="18"/>
      <c r="IQ56" s="19"/>
      <c r="IR56" s="33" t="str" cm="1">
        <f t="array" ref="IR56">_xlfn.IFS($D56="","",AND(IP56=$C56,IQ56=$D56),3,($C56-$D56)/MAX(ABS($C56-$D56),1)=(IP56-IQ56)/MAX(ABS(IP56-IQ56),1),1,TRUE,0)</f>
        <v/>
      </c>
      <c r="IS56" s="18"/>
      <c r="IT56" s="19"/>
      <c r="IU56" s="33" t="str" cm="1">
        <f t="array" ref="IU56">_xlfn.IFS($D56="","",AND(IS56=$C56,IT56=$D56),3,($C56-$D56)/MAX(ABS($C56-$D56),1)=(IS56-IT56)/MAX(ABS(IS56-IT56),1),1,TRUE,0)</f>
        <v/>
      </c>
      <c r="IV56" s="18"/>
      <c r="IW56" s="19"/>
      <c r="IX56" s="33" t="str" cm="1">
        <f t="array" ref="IX56">_xlfn.IFS($D56="","",AND(IV56=$C56,IW56=$D56),3,($C56-$D56)/MAX(ABS($C56-$D56),1)=(IV56-IW56)/MAX(ABS(IV56-IW56),1),1,TRUE,0)</f>
        <v/>
      </c>
      <c r="IY56" s="18"/>
      <c r="IZ56" s="19"/>
      <c r="JA56" s="33" t="str" cm="1">
        <f t="array" ref="JA56">_xlfn.IFS($D56="","",AND(IY56=$C56,IZ56=$D56),3,($C56-$D56)/MAX(ABS($C56-$D56),1)=(IY56-IZ56)/MAX(ABS(IY56-IZ56),1),1,TRUE,0)</f>
        <v/>
      </c>
      <c r="JB56" s="18"/>
      <c r="JC56" s="19"/>
      <c r="JD56" s="33" t="str" cm="1">
        <f t="array" ref="JD56">_xlfn.IFS($D56="","",AND(JB56=$C56,JC56=$D56),3,($C56-$D56)/MAX(ABS($C56-$D56),1)=(JB56-JC56)/MAX(ABS(JB56-JC56),1),1,TRUE,0)</f>
        <v/>
      </c>
    </row>
    <row r="57" spans="1:264" ht="15" thickBot="1" x14ac:dyDescent="0.35">
      <c r="A57" s="22">
        <v>46198</v>
      </c>
      <c r="B57" s="28" t="s">
        <v>62</v>
      </c>
      <c r="C57" s="53" t="str" cm="1">
        <f t="array" ref="C57">_xlfn.LET(
_xlpm.x,_xlfn.XLOOKUP(1,(Scores_Fixtures[Date]=A57)*(Scores_Fixtures[Home.1]=B57),Scores_Fixtures[Score.1],""),
IF(_xlpm.x="","",_xlpm.x)
)</f>
        <v/>
      </c>
      <c r="D57" s="53" t="str" cm="1">
        <f t="array" ref="D57">_xlfn.LET(
_xlpm.x,_xlfn.XLOOKUP(1,(Scores_Fixtures[Date]=A57)*(Scores_Fixtures[Home.1]=B57),Scores_Fixtures[Score.2],""),
IF(_xlpm.x="","",_xlpm.x)
)</f>
        <v/>
      </c>
      <c r="E57" s="12" t="s">
        <v>42</v>
      </c>
      <c r="F57" s="15"/>
      <c r="G57" s="53"/>
      <c r="H57" s="53"/>
      <c r="I57" s="33" t="str" cm="1">
        <f t="array" ref="I57">_xlfn.IFS($D57="","",AND(G57=$C57,H57=$D57),3,($C57-$D57)/MAX(ABS($C57-$D57),1)=(G57-H57)/MAX(ABS(G57-H57),1),1,TRUE,0)</f>
        <v/>
      </c>
      <c r="J57" s="18"/>
      <c r="K57" s="19"/>
      <c r="L57" s="33" t="str" cm="1">
        <f t="array" ref="L57">_xlfn.IFS($D57="","",AND(J57=$C57,K57=$D57),3,($C57-$D57)/MAX(ABS($C57-$D57),1)=(J57-K57)/MAX(ABS(J57-K57),1),1,TRUE,0)</f>
        <v/>
      </c>
      <c r="M57" s="18"/>
      <c r="N57" s="19"/>
      <c r="O57" s="33" t="str" cm="1">
        <f t="array" ref="O57">_xlfn.IFS($D57="","",AND(M57=$C57,N57=$D57),3,($C57-$D57)/MAX(ABS($C57-$D57),1)=(M57-N57)/MAX(ABS(M57-N57),1),1,TRUE,0)</f>
        <v/>
      </c>
      <c r="P57" s="18"/>
      <c r="Q57" s="19"/>
      <c r="R57" s="33" t="str" cm="1">
        <f t="array" ref="R57">_xlfn.IFS($D57="","",AND(P57=$C57,Q57=$D57),3,($C57-$D57)/MAX(ABS($C57-$D57),1)=(P57-Q57)/MAX(ABS(P57-Q57),1),1,TRUE,0)</f>
        <v/>
      </c>
      <c r="S57" s="18"/>
      <c r="T57" s="19"/>
      <c r="U57" s="33" t="str" cm="1">
        <f t="array" ref="U57">_xlfn.IFS($D57="","",AND(S57=$C57,T57=$D57),3,($C57-$D57)/MAX(ABS($C57-$D57),1)=(S57-T57)/MAX(ABS(S57-T57),1),1,TRUE,0)</f>
        <v/>
      </c>
      <c r="V57" s="18"/>
      <c r="W57" s="19"/>
      <c r="X57" s="33" t="str" cm="1">
        <f t="array" ref="X57">_xlfn.IFS($D57="","",AND(V57=$C57,W57=$D57),3,($C57-$D57)/MAX(ABS($C57-$D57),1)=(V57-W57)/MAX(ABS(V57-W57),1),1,TRUE,0)</f>
        <v/>
      </c>
      <c r="Y57" s="18"/>
      <c r="Z57" s="19"/>
      <c r="AA57" s="33" t="str" cm="1">
        <f t="array" ref="AA57">_xlfn.IFS($D57="","",AND(Y57=$C57,Z57=$D57),3,($C57-$D57)/MAX(ABS($C57-$D57),1)=(Y57-Z57)/MAX(ABS(Y57-Z57),1),1,TRUE,0)</f>
        <v/>
      </c>
      <c r="AB57" s="18"/>
      <c r="AC57" s="19"/>
      <c r="AD57" s="33" t="str" cm="1">
        <f t="array" ref="AD57">_xlfn.IFS($D57="","",AND(AB57=$C57,AC57=$D57),3,($C57-$D57)/MAX(ABS($C57-$D57),1)=(AB57-AC57)/MAX(ABS(AB57-AC57),1),1,TRUE,0)</f>
        <v/>
      </c>
      <c r="AE57" s="18"/>
      <c r="AF57" s="19"/>
      <c r="AG57" s="33" t="str" cm="1">
        <f t="array" ref="AG57">_xlfn.IFS($D57="","",AND(AE57=$C57,AF57=$D57),3,($C57-$D57)/MAX(ABS($C57-$D57),1)=(AE57-AF57)/MAX(ABS(AE57-AF57),1),1,TRUE,0)</f>
        <v/>
      </c>
      <c r="AH57" s="18"/>
      <c r="AI57" s="19"/>
      <c r="AJ57" s="33" t="str" cm="1">
        <f t="array" ref="AJ57">_xlfn.IFS($D57="","",AND(AH57=$C57,AI57=$D57),3,($C57-$D57)/MAX(ABS($C57-$D57),1)=(AH57-AI57)/MAX(ABS(AH57-AI57),1),1,TRUE,0)</f>
        <v/>
      </c>
      <c r="AK57" s="18"/>
      <c r="AL57" s="19"/>
      <c r="AM57" s="33" t="str" cm="1">
        <f t="array" ref="AM57">_xlfn.IFS($D57="","",AND(AK57=$C57,AL57=$D57),3,($C57-$D57)/MAX(ABS($C57-$D57),1)=(AK57-AL57)/MAX(ABS(AK57-AL57),1),1,TRUE,0)</f>
        <v/>
      </c>
      <c r="AN57" s="18"/>
      <c r="AO57" s="19"/>
      <c r="AP57" s="33" t="str" cm="1">
        <f t="array" ref="AP57">_xlfn.IFS($D57="","",AND(AN57=$C57,AO57=$D57),3,($C57-$D57)/MAX(ABS($C57-$D57),1)=(AN57-AO57)/MAX(ABS(AN57-AO57),1),1,TRUE,0)</f>
        <v/>
      </c>
      <c r="AQ57" s="18"/>
      <c r="AR57" s="19"/>
      <c r="AS57" s="33" t="str" cm="1">
        <f t="array" ref="AS57">_xlfn.IFS($D57="","",AND(AQ57=$C57,AR57=$D57),3,($C57-$D57)/MAX(ABS($C57-$D57),1)=(AQ57-AR57)/MAX(ABS(AQ57-AR57),1),1,TRUE,0)</f>
        <v/>
      </c>
      <c r="AT57" s="18"/>
      <c r="AU57" s="19"/>
      <c r="AV57" s="33" t="str" cm="1">
        <f t="array" ref="AV57">_xlfn.IFS($D57="","",AND(AT57=$C57,AU57=$D57),3,($C57-$D57)/MAX(ABS($C57-$D57),1)=(AT57-AU57)/MAX(ABS(AT57-AU57),1),1,TRUE,0)</f>
        <v/>
      </c>
      <c r="AW57" s="18"/>
      <c r="AX57" s="19"/>
      <c r="AY57" s="33" t="str" cm="1">
        <f t="array" ref="AY57">_xlfn.IFS($D57="","",AND(AW57=$C57,AX57=$D57),3,($C57-$D57)/MAX(ABS($C57-$D57),1)=(AW57-AX57)/MAX(ABS(AW57-AX57),1),1,TRUE,0)</f>
        <v/>
      </c>
      <c r="AZ57" s="18"/>
      <c r="BA57" s="19"/>
      <c r="BB57" s="33" t="str" cm="1">
        <f t="array" ref="BB57">_xlfn.IFS($D57="","",AND(AZ57=$C57,BA57=$D57),3,($C57-$D57)/MAX(ABS($C57-$D57),1)=(AZ57-BA57)/MAX(ABS(AZ57-BA57),1),1,TRUE,0)</f>
        <v/>
      </c>
      <c r="BC57" s="18"/>
      <c r="BD57" s="19"/>
      <c r="BE57" s="33" t="str" cm="1">
        <f t="array" ref="BE57">_xlfn.IFS($D57="","",AND(BC57=$C57,BD57=$D57),3,($C57-$D57)/MAX(ABS($C57-$D57),1)=(BC57-BD57)/MAX(ABS(BC57-BD57),1),1,TRUE,0)</f>
        <v/>
      </c>
      <c r="BF57" s="18"/>
      <c r="BG57" s="19"/>
      <c r="BH57" s="33" t="str" cm="1">
        <f t="array" ref="BH57">_xlfn.IFS($D57="","",AND(BF57=$C57,BG57=$D57),3,($C57-$D57)/MAX(ABS($C57-$D57),1)=(BF57-BG57)/MAX(ABS(BF57-BG57),1),1,TRUE,0)</f>
        <v/>
      </c>
      <c r="BI57" s="18"/>
      <c r="BJ57" s="19"/>
      <c r="BK57" s="33" t="str" cm="1">
        <f t="array" ref="BK57">_xlfn.IFS($D57="","",AND(BI57=$C57,BJ57=$D57),3,($C57-$D57)/MAX(ABS($C57-$D57),1)=(BI57-BJ57)/MAX(ABS(BI57-BJ57),1),1,TRUE,0)</f>
        <v/>
      </c>
      <c r="BL57" s="18"/>
      <c r="BM57" s="19"/>
      <c r="BN57" s="33" t="str" cm="1">
        <f t="array" ref="BN57">_xlfn.IFS($D57="","",AND(BL57=$C57,BM57=$D57),3,($C57-$D57)/MAX(ABS($C57-$D57),1)=(BL57-BM57)/MAX(ABS(BL57-BM57),1),1,TRUE,0)</f>
        <v/>
      </c>
      <c r="BO57" s="18"/>
      <c r="BP57" s="19"/>
      <c r="BQ57" s="33" t="str" cm="1">
        <f t="array" ref="BQ57">_xlfn.IFS($D57="","",AND(BO57=$C57,BP57=$D57),3,($C57-$D57)/MAX(ABS($C57-$D57),1)=(BO57-BP57)/MAX(ABS(BO57-BP57),1),1,TRUE,0)</f>
        <v/>
      </c>
      <c r="BR57" s="18"/>
      <c r="BS57" s="19"/>
      <c r="BT57" s="33" t="str" cm="1">
        <f t="array" ref="BT57">_xlfn.IFS($D57="","",AND(BR57=$C57,BS57=$D57),3,($C57-$D57)/MAX(ABS($C57-$D57),1)=(BR57-BS57)/MAX(ABS(BR57-BS57),1),1,TRUE,0)</f>
        <v/>
      </c>
      <c r="BU57" s="18"/>
      <c r="BV57" s="19"/>
      <c r="BW57" s="33" t="str" cm="1">
        <f t="array" ref="BW57">_xlfn.IFS($D57="","",AND(BU57=$C57,BV57=$D57),3,($C57-$D57)/MAX(ABS($C57-$D57),1)=(BU57-BV57)/MAX(ABS(BU57-BV57),1),1,TRUE,0)</f>
        <v/>
      </c>
      <c r="BX57" s="18"/>
      <c r="BY57" s="19"/>
      <c r="BZ57" s="33" t="str" cm="1">
        <f t="array" ref="BZ57">_xlfn.IFS($D57="","",AND(BX57=$C57,BY57=$D57),3,($C57-$D57)/MAX(ABS($C57-$D57),1)=(BX57-BY57)/MAX(ABS(BX57-BY57),1),1,TRUE,0)</f>
        <v/>
      </c>
      <c r="CA57" s="18"/>
      <c r="CB57" s="19"/>
      <c r="CC57" s="33" t="str" cm="1">
        <f t="array" ref="CC57">_xlfn.IFS($D57="","",AND(CA57=$C57,CB57=$D57),3,($C57-$D57)/MAX(ABS($C57-$D57),1)=(CA57-CB57)/MAX(ABS(CA57-CB57),1),1,TRUE,0)</f>
        <v/>
      </c>
      <c r="CD57" s="18"/>
      <c r="CE57" s="19"/>
      <c r="CF57" s="33" t="str" cm="1">
        <f t="array" ref="CF57">_xlfn.IFS($D57="","",AND(CD57=$C57,CE57=$D57),3,($C57-$D57)/MAX(ABS($C57-$D57),1)=(CD57-CE57)/MAX(ABS(CD57-CE57),1),1,TRUE,0)</f>
        <v/>
      </c>
      <c r="CG57" s="18"/>
      <c r="CH57" s="19"/>
      <c r="CI57" s="33" t="str" cm="1">
        <f t="array" ref="CI57">_xlfn.IFS($D57="","",AND(CG57=$C57,CH57=$D57),3,($C57-$D57)/MAX(ABS($C57-$D57),1)=(CG57-CH57)/MAX(ABS(CG57-CH57),1),1,TRUE,0)</f>
        <v/>
      </c>
      <c r="CJ57" s="18"/>
      <c r="CK57" s="19"/>
      <c r="CL57" s="33" t="str" cm="1">
        <f t="array" ref="CL57">_xlfn.IFS($D57="","",AND(CJ57=$C57,CK57=$D57),3,($C57-$D57)/MAX(ABS($C57-$D57),1)=(CJ57-CK57)/MAX(ABS(CJ57-CK57),1),1,TRUE,0)</f>
        <v/>
      </c>
      <c r="CM57" s="18"/>
      <c r="CN57" s="19"/>
      <c r="CO57" s="33" t="str" cm="1">
        <f t="array" ref="CO57">_xlfn.IFS($D57="","",AND(CM57=$C57,CN57=$D57),3,($C57-$D57)/MAX(ABS($C57-$D57),1)=(CM57-CN57)/MAX(ABS(CM57-CN57),1),1,TRUE,0)</f>
        <v/>
      </c>
      <c r="CP57" s="18"/>
      <c r="CQ57" s="19"/>
      <c r="CR57" s="33" t="str" cm="1">
        <f t="array" ref="CR57">_xlfn.IFS($D57="","",AND(CP57=$C57,CQ57=$D57),3,($C57-$D57)/MAX(ABS($C57-$D57),1)=(CP57-CQ57)/MAX(ABS(CP57-CQ57),1),1,TRUE,0)</f>
        <v/>
      </c>
      <c r="CS57" s="18"/>
      <c r="CT57" s="19"/>
      <c r="CU57" s="33" t="str" cm="1">
        <f t="array" ref="CU57">_xlfn.IFS($D57="","",AND(CS57=$C57,CT57=$D57),3,($C57-$D57)/MAX(ABS($C57-$D57),1)=(CS57-CT57)/MAX(ABS(CS57-CT57),1),1,TRUE,0)</f>
        <v/>
      </c>
      <c r="CV57" s="18"/>
      <c r="CW57" s="19"/>
      <c r="CX57" s="33" t="str" cm="1">
        <f t="array" ref="CX57">_xlfn.IFS($D57="","",AND(CV57=$C57,CW57=$D57),3,($C57-$D57)/MAX(ABS($C57-$D57),1)=(CV57-CW57)/MAX(ABS(CV57-CW57),1),1,TRUE,0)</f>
        <v/>
      </c>
      <c r="CY57" s="18"/>
      <c r="CZ57" s="19"/>
      <c r="DA57" s="33" t="str" cm="1">
        <f t="array" ref="DA57">_xlfn.IFS($D57="","",AND(CY57=$C57,CZ57=$D57),3,($C57-$D57)/MAX(ABS($C57-$D57),1)=(CY57-CZ57)/MAX(ABS(CY57-CZ57),1),1,TRUE,0)</f>
        <v/>
      </c>
      <c r="DB57" s="37"/>
      <c r="DC57" s="38"/>
      <c r="DD57" s="33" t="str" cm="1">
        <f t="array" ref="DD57">_xlfn.IFS($D57="","",AND(DB57=$C57,DC57=$D57),3,($C57-$D57)/MAX(ABS($C57-$D57),1)=(DB57-DC57)/MAX(ABS(DB57-DC57),1),1,TRUE,0)</f>
        <v/>
      </c>
      <c r="DE57" s="18"/>
      <c r="DF57" s="19"/>
      <c r="DG57" s="33" t="str" cm="1">
        <f t="array" ref="DG57">_xlfn.IFS($D57="","",AND(DE57=$C57,DF57=$D57),3,($C57-$D57)/MAX(ABS($C57-$D57),1)=(DE57-DF57)/MAX(ABS(DE57-DF57),1),1,TRUE,0)</f>
        <v/>
      </c>
      <c r="DH57" s="18"/>
      <c r="DI57" s="19"/>
      <c r="DJ57" s="33" t="str" cm="1">
        <f t="array" ref="DJ57">_xlfn.IFS($D57="","",AND(DH57=$C57,DI57=$D57),3,($C57-$D57)/MAX(ABS($C57-$D57),1)=(DH57-DI57)/MAX(ABS(DH57-DI57),1),1,TRUE,0)</f>
        <v/>
      </c>
      <c r="DK57" s="18"/>
      <c r="DL57" s="19"/>
      <c r="DM57" s="33" t="str" cm="1">
        <f t="array" ref="DM57">_xlfn.IFS($D57="","",AND(DK57=$C57,DL57=$D57),3,($C57-$D57)/MAX(ABS($C57-$D57),1)=(DK57-DL57)/MAX(ABS(DK57-DL57),1),1,TRUE,0)</f>
        <v/>
      </c>
      <c r="DN57" s="18"/>
      <c r="DO57" s="19"/>
      <c r="DP57" s="33" t="str" cm="1">
        <f t="array" ref="DP57">_xlfn.IFS($D57="","",AND(DN57=$C57,DO57=$D57),3,($C57-$D57)/MAX(ABS($C57-$D57),1)=(DN57-DO57)/MAX(ABS(DN57-DO57),1),1,TRUE,0)</f>
        <v/>
      </c>
      <c r="DQ57" s="18"/>
      <c r="DR57" s="19"/>
      <c r="DS57" s="33" t="str" cm="1">
        <f t="array" ref="DS57">_xlfn.IFS($D57="","",AND(DQ57=$C57,DR57=$D57),3,($C57-$D57)/MAX(ABS($C57-$D57),1)=(DQ57-DR57)/MAX(ABS(DQ57-DR57),1),1,TRUE,0)</f>
        <v/>
      </c>
      <c r="DT57" s="18"/>
      <c r="DU57" s="19"/>
      <c r="DV57" s="33" t="str" cm="1">
        <f t="array" ref="DV57">_xlfn.IFS($D57="","",AND(DT57=$C57,DU57=$D57),3,($C57-$D57)/MAX(ABS($C57-$D57),1)=(DT57-DU57)/MAX(ABS(DT57-DU57),1),1,TRUE,0)</f>
        <v/>
      </c>
      <c r="DW57" s="18"/>
      <c r="DX57" s="19"/>
      <c r="DY57" s="33" t="str" cm="1">
        <f t="array" ref="DY57">_xlfn.IFS($D57="","",AND(DW57=$C57,DX57=$D57),3,($C57-$D57)/MAX(ABS($C57-$D57),1)=(DW57-DX57)/MAX(ABS(DW57-DX57),1),1,TRUE,0)</f>
        <v/>
      </c>
      <c r="DZ57" s="18"/>
      <c r="EA57" s="19"/>
      <c r="EB57" s="33" t="str" cm="1">
        <f t="array" ref="EB57">_xlfn.IFS($D57="","",AND(DZ57=$C57,EA57=$D57),3,($C57-$D57)/MAX(ABS($C57-$D57),1)=(DZ57-EA57)/MAX(ABS(DZ57-EA57),1),1,TRUE,0)</f>
        <v/>
      </c>
      <c r="EC57" s="18"/>
      <c r="ED57" s="19"/>
      <c r="EE57" s="33" t="str" cm="1">
        <f t="array" ref="EE57">_xlfn.IFS($D57="","",AND(EC57=$C57,ED57=$D57),3,($C57-$D57)/MAX(ABS($C57-$D57),1)=(EC57-ED57)/MAX(ABS(EC57-ED57),1),1,TRUE,0)</f>
        <v/>
      </c>
      <c r="EF57" s="18"/>
      <c r="EG57" s="19"/>
      <c r="EH57" s="33" t="str" cm="1">
        <f t="array" ref="EH57">_xlfn.IFS($D57="","",AND(EF57=$C57,EG57=$D57),3,($C57-$D57)/MAX(ABS($C57-$D57),1)=(EF57-EG57)/MAX(ABS(EF57-EG57),1),1,TRUE,0)</f>
        <v/>
      </c>
      <c r="EI57" s="50"/>
      <c r="EJ57" s="51"/>
      <c r="EK57" s="33" t="str" cm="1">
        <f t="array" ref="EK57">_xlfn.IFS($D57="","",AND(EI57=$C57,EJ57=$D57),3,($C57-$D57)/MAX(ABS($C57-$D57),1)=(EI57-EJ57)/MAX(ABS(EI57-EJ57),1),1,TRUE,0)</f>
        <v/>
      </c>
      <c r="EL57" s="18"/>
      <c r="EM57" s="19"/>
      <c r="EN57" s="33" t="str" cm="1">
        <f t="array" ref="EN57">_xlfn.IFS($D57="","",AND(EL57=$C57,EM57=$D57),3,($C57-$D57)/MAX(ABS($C57-$D57),1)=(EL57-EM57)/MAX(ABS(EL57-EM57),1),1,TRUE,0)</f>
        <v/>
      </c>
      <c r="EO57" s="18"/>
      <c r="EP57" s="19"/>
      <c r="EQ57" s="33" t="str" cm="1">
        <f t="array" ref="EQ57">_xlfn.IFS($D57="","",AND(EO57=$C57,EP57=$D57),3,($C57-$D57)/MAX(ABS($C57-$D57),1)=(EO57-EP57)/MAX(ABS(EO57-EP57),1),1,TRUE,0)</f>
        <v/>
      </c>
      <c r="ER57" s="18"/>
      <c r="ES57" s="19"/>
      <c r="ET57" s="33" t="str" cm="1">
        <f t="array" ref="ET57">_xlfn.IFS($D57="","",AND(ER57=$C57,ES57=$D57),3,($C57-$D57)/MAX(ABS($C57-$D57),1)=(ER57-ES57)/MAX(ABS(ER57-ES57),1),1,TRUE,0)</f>
        <v/>
      </c>
      <c r="EU57" s="18"/>
      <c r="EV57" s="19"/>
      <c r="EW57" s="33" t="str" cm="1">
        <f t="array" ref="EW57">_xlfn.IFS($D57="","",AND(EU57=$C57,EV57=$D57),3,($C57-$D57)/MAX(ABS($C57-$D57),1)=(EU57-EV57)/MAX(ABS(EU57-EV57),1),1,TRUE,0)</f>
        <v/>
      </c>
      <c r="EX57" s="18"/>
      <c r="EY57" s="19"/>
      <c r="EZ57" s="33" t="str" cm="1">
        <f t="array" ref="EZ57">_xlfn.IFS($D57="","",AND(EX57=$C57,EY57=$D57),3,($C57-$D57)/MAX(ABS($C57-$D57),1)=(EX57-EY57)/MAX(ABS(EX57-EY57),1),1,TRUE,0)</f>
        <v/>
      </c>
      <c r="FA57" s="18"/>
      <c r="FB57" s="19"/>
      <c r="FC57" s="33" t="str" cm="1">
        <f t="array" ref="FC57">_xlfn.IFS($D57="","",AND(FA57=$C57,FB57=$D57),3,($C57-$D57)/MAX(ABS($C57-$D57),1)=(FA57-FB57)/MAX(ABS(FA57-FB57),1),1,TRUE,0)</f>
        <v/>
      </c>
      <c r="FD57" s="18"/>
      <c r="FE57" s="19"/>
      <c r="FF57" s="33" t="str" cm="1">
        <f t="array" ref="FF57">_xlfn.IFS($D57="","",AND(FD57=$C57,FE57=$D57),3,($C57-$D57)/MAX(ABS($C57-$D57),1)=(FD57-FE57)/MAX(ABS(FD57-FE57),1),1,TRUE,0)</f>
        <v/>
      </c>
      <c r="FG57" s="18"/>
      <c r="FH57" s="19"/>
      <c r="FI57" s="33" t="str" cm="1">
        <f t="array" ref="FI57">_xlfn.IFS($D57="","",AND(FG57=$C57,FH57=$D57),3,($C57-$D57)/MAX(ABS($C57-$D57),1)=(FG57-FH57)/MAX(ABS(FG57-FH57),1),1,TRUE,0)</f>
        <v/>
      </c>
      <c r="FJ57" s="18"/>
      <c r="FK57" s="19"/>
      <c r="FL57" s="33" t="str" cm="1">
        <f t="array" ref="FL57">_xlfn.IFS($D57="","",AND(FJ57=$C57,FK57=$D57),3,($C57-$D57)/MAX(ABS($C57-$D57),1)=(FJ57-FK57)/MAX(ABS(FJ57-FK57),1),1,TRUE,0)</f>
        <v/>
      </c>
      <c r="FM57" s="18"/>
      <c r="FN57" s="19"/>
      <c r="FO57" s="33" t="str" cm="1">
        <f t="array" ref="FO57">_xlfn.IFS($D57="","",AND(FM57=$C57,FN57=$D57),3,($C57-$D57)/MAX(ABS($C57-$D57),1)=(FM57-FN57)/MAX(ABS(FM57-FN57),1),1,TRUE,0)</f>
        <v/>
      </c>
      <c r="FP57" s="18"/>
      <c r="FQ57" s="19"/>
      <c r="FR57" s="33" t="str" cm="1">
        <f t="array" ref="FR57">_xlfn.IFS($D57="","",AND(FP57=$C57,FQ57=$D57),3,($C57-$D57)/MAX(ABS($C57-$D57),1)=(FP57-FQ57)/MAX(ABS(FP57-FQ57),1),1,TRUE,0)</f>
        <v/>
      </c>
      <c r="FS57" s="18"/>
      <c r="FT57" s="19"/>
      <c r="FU57" s="33" t="str" cm="1">
        <f t="array" ref="FU57">_xlfn.IFS($D57="","",AND(FS57=$C57,FT57=$D57),3,($C57-$D57)/MAX(ABS($C57-$D57),1)=(FS57-FT57)/MAX(ABS(FS57-FT57),1),1,TRUE,0)</f>
        <v/>
      </c>
      <c r="FV57" s="18"/>
      <c r="FW57" s="19"/>
      <c r="FX57" s="33" t="str" cm="1">
        <f t="array" ref="FX57">_xlfn.IFS($D57="","",AND(FV57=$C57,FW57=$D57),3,($C57-$D57)/MAX(ABS($C57-$D57),1)=(FV57-FW57)/MAX(ABS(FV57-FW57),1),1,TRUE,0)</f>
        <v/>
      </c>
      <c r="FY57" s="18"/>
      <c r="FZ57" s="19"/>
      <c r="GA57" s="33" t="str" cm="1">
        <f t="array" ref="GA57">_xlfn.IFS($D57="","",AND(FY57=$C57,FZ57=$D57),3,($C57-$D57)/MAX(ABS($C57-$D57),1)=(FY57-FZ57)/MAX(ABS(FY57-FZ57),1),1,TRUE,0)</f>
        <v/>
      </c>
      <c r="GB57" s="18"/>
      <c r="GC57" s="19"/>
      <c r="GD57" s="33" t="str" cm="1">
        <f t="array" ref="GD57">_xlfn.IFS($D57="","",AND(GB57=$C57,GC57=$D57),3,($C57-$D57)/MAX(ABS($C57-$D57),1)=(GB57-GC57)/MAX(ABS(GB57-GC57),1),1,TRUE,0)</f>
        <v/>
      </c>
      <c r="GE57" s="52"/>
      <c r="GF57" s="19"/>
      <c r="GG57" s="33" t="str" cm="1">
        <f t="array" ref="GG57">_xlfn.IFS($D57="","",AND(GE57=$C57,GF57=$D57),3,($C57-$D57)/MAX(ABS($C57-$D57),1)=(GE57-GF57)/MAX(ABS(GE57-GF57),1),1,TRUE,0)</f>
        <v/>
      </c>
      <c r="GH57" s="18"/>
      <c r="GI57" s="19"/>
      <c r="GJ57" s="33" t="str" cm="1">
        <f t="array" ref="GJ57">_xlfn.IFS($D57="","",AND(GH57=$C57,GI57=$D57),3,($C57-$D57)/MAX(ABS($C57-$D57),1)=(GH57-GI57)/MAX(ABS(GH57-GI57),1),1,TRUE,0)</f>
        <v/>
      </c>
      <c r="GK57" s="18"/>
      <c r="GL57" s="19"/>
      <c r="GM57" s="33" t="str" cm="1">
        <f t="array" ref="GM57">_xlfn.IFS($D57="","",AND(GK57=$C57,GL57=$D57),3,($C57-$D57)/MAX(ABS($C57-$D57),1)=(GK57-GL57)/MAX(ABS(GK57-GL57),1),1,TRUE,0)</f>
        <v/>
      </c>
      <c r="GN57" s="18"/>
      <c r="GO57" s="19"/>
      <c r="GP57" s="33" t="str" cm="1">
        <f t="array" ref="GP57">_xlfn.IFS($D57="","",AND(GN57=$C57,GO57=$D57),3,($C57-$D57)/MAX(ABS($C57-$D57),1)=(GN57-GO57)/MAX(ABS(GN57-GO57),1),1,TRUE,0)</f>
        <v/>
      </c>
      <c r="GQ57" s="18"/>
      <c r="GR57" s="19"/>
      <c r="GS57" s="33" t="str" cm="1">
        <f t="array" ref="GS57">_xlfn.IFS($D57="","",AND(GQ57=$C57,GR57=$D57),3,($C57-$D57)/MAX(ABS($C57-$D57),1)=(GQ57-GR57)/MAX(ABS(GQ57-GR57),1),1,TRUE,0)</f>
        <v/>
      </c>
      <c r="GT57" s="18"/>
      <c r="GU57" s="19"/>
      <c r="GV57" s="33" t="str" cm="1">
        <f t="array" ref="GV57">_xlfn.IFS($D57="","",AND(GT57=$C57,GU57=$D57),3,($C57-$D57)/MAX(ABS($C57-$D57),1)=(GT57-GU57)/MAX(ABS(GT57-GU57),1),1,TRUE,0)</f>
        <v/>
      </c>
      <c r="GW57" s="18"/>
      <c r="GX57" s="19"/>
      <c r="GY57" s="33" t="str" cm="1">
        <f t="array" ref="GY57">_xlfn.IFS($D57="","",AND(GW57=$C57,GX57=$D57),3,($C57-$D57)/MAX(ABS($C57-$D57),1)=(GW57-GX57)/MAX(ABS(GW57-GX57),1),1,TRUE,0)</f>
        <v/>
      </c>
      <c r="GZ57" s="18"/>
      <c r="HA57" s="19"/>
      <c r="HB57" s="33" t="str" cm="1">
        <f t="array" ref="HB57">_xlfn.IFS($D57="","",AND(GZ57=$C57,HA57=$D57),3,($C57-$D57)/MAX(ABS($C57-$D57),1)=(GZ57-HA57)/MAX(ABS(GZ57-HA57),1),1,TRUE,0)</f>
        <v/>
      </c>
      <c r="HC57" s="18"/>
      <c r="HD57" s="19"/>
      <c r="HE57" s="33" t="str" cm="1">
        <f t="array" ref="HE57">_xlfn.IFS($D57="","",AND(HC57=$C57,HD57=$D57),3,($C57-$D57)/MAX(ABS($C57-$D57),1)=(HC57-HD57)/MAX(ABS(HC57-HD57),1),1,TRUE,0)</f>
        <v/>
      </c>
      <c r="HF57" s="18"/>
      <c r="HG57" s="19"/>
      <c r="HH57" s="33" t="str" cm="1">
        <f t="array" ref="HH57">_xlfn.IFS($D57="","",AND(HF57=$C57,HG57=$D57),3,($C57-$D57)/MAX(ABS($C57-$D57),1)=(HF57-HG57)/MAX(ABS(HF57-HG57),1),1,TRUE,0)</f>
        <v/>
      </c>
      <c r="HI57" s="18"/>
      <c r="HJ57" s="19"/>
      <c r="HK57" s="33" t="str" cm="1">
        <f t="array" ref="HK57">_xlfn.IFS($D57="","",AND(HI57=$C57,HJ57=$D57),3,($C57-$D57)/MAX(ABS($C57-$D57),1)=(HI57-HJ57)/MAX(ABS(HI57-HJ57),1),1,TRUE,0)</f>
        <v/>
      </c>
      <c r="HL57" s="18"/>
      <c r="HM57" s="19"/>
      <c r="HN57" s="33" t="str" cm="1">
        <f t="array" ref="HN57">_xlfn.IFS($D57="","",AND(HL57=$C57,HM57=$D57),3,($C57-$D57)/MAX(ABS($C57-$D57),1)=(HL57-HM57)/MAX(ABS(HL57-HM57),1),1,TRUE,0)</f>
        <v/>
      </c>
      <c r="HO57" s="18"/>
      <c r="HP57" s="19"/>
      <c r="HQ57" s="33" t="str" cm="1">
        <f t="array" ref="HQ57">_xlfn.IFS($D57="","",AND(HO57=$C57,HP57=$D57),3,($C57-$D57)/MAX(ABS($C57-$D57),1)=(HO57-HP57)/MAX(ABS(HO57-HP57),1),1,TRUE,0)</f>
        <v/>
      </c>
      <c r="HR57" s="18"/>
      <c r="HS57" s="19"/>
      <c r="HT57" s="33" t="str" cm="1">
        <f t="array" ref="HT57">_xlfn.IFS($D57="","",AND(HR57=$C57,HS57=$D57),3,($C57-$D57)/MAX(ABS($C57-$D57),1)=(HR57-HS57)/MAX(ABS(HR57-HS57),1),1,TRUE,0)</f>
        <v/>
      </c>
      <c r="HU57" s="18"/>
      <c r="HV57" s="19"/>
      <c r="HW57" s="33" t="str" cm="1">
        <f t="array" ref="HW57">_xlfn.IFS($D57="","",AND(HU57=$C57,HV57=$D57),3,($C57-$D57)/MAX(ABS($C57-$D57),1)=(HU57-HV57)/MAX(ABS(HU57-HV57),1),1,TRUE,0)</f>
        <v/>
      </c>
      <c r="HX57" s="18"/>
      <c r="HY57" s="19"/>
      <c r="HZ57" s="33" t="str" cm="1">
        <f t="array" ref="HZ57">_xlfn.IFS($D57="","",AND(HX57=$C57,HY57=$D57),3,($C57-$D57)/MAX(ABS($C57-$D57),1)=(HX57-HY57)/MAX(ABS(HX57-HY57),1),1,TRUE,0)</f>
        <v/>
      </c>
      <c r="IA57" s="18"/>
      <c r="IB57" s="19"/>
      <c r="IC57" s="33" t="str" cm="1">
        <f t="array" ref="IC57">_xlfn.IFS($D57="","",AND(IA57=$C57,IB57=$D57),3,($C57-$D57)/MAX(ABS($C57-$D57),1)=(IA57-IB57)/MAX(ABS(IA57-IB57),1),1,TRUE,0)</f>
        <v/>
      </c>
      <c r="ID57" s="18"/>
      <c r="IE57" s="19"/>
      <c r="IF57" s="33" t="str" cm="1">
        <f t="array" ref="IF57">_xlfn.IFS($D57="","",AND(ID57=$C57,IE57=$D57),3,($C57-$D57)/MAX(ABS($C57-$D57),1)=(ID57-IE57)/MAX(ABS(ID57-IE57),1),1,TRUE,0)</f>
        <v/>
      </c>
      <c r="IG57" s="18"/>
      <c r="IH57" s="19"/>
      <c r="II57" s="33" t="str" cm="1">
        <f t="array" ref="II57">_xlfn.IFS($D57="","",AND(IG57=$C57,IH57=$D57),3,($C57-$D57)/MAX(ABS($C57-$D57),1)=(IG57-IH57)/MAX(ABS(IG57-IH57),1),1,TRUE,0)</f>
        <v/>
      </c>
      <c r="IJ57" s="18"/>
      <c r="IK57" s="19"/>
      <c r="IL57" s="33" t="str" cm="1">
        <f t="array" ref="IL57">_xlfn.IFS($D57="","",AND(IJ57=$C57,IK57=$D57),3,($C57-$D57)/MAX(ABS($C57-$D57),1)=(IJ57-IK57)/MAX(ABS(IJ57-IK57),1),1,TRUE,0)</f>
        <v/>
      </c>
      <c r="IM57" s="18"/>
      <c r="IN57" s="19"/>
      <c r="IO57" s="33" t="str" cm="1">
        <f t="array" ref="IO57">_xlfn.IFS($D57="","",AND(IM57=$C57,IN57=$D57),3,($C57-$D57)/MAX(ABS($C57-$D57),1)=(IM57-IN57)/MAX(ABS(IM57-IN57),1),1,TRUE,0)</f>
        <v/>
      </c>
      <c r="IP57" s="18"/>
      <c r="IQ57" s="19"/>
      <c r="IR57" s="33" t="str" cm="1">
        <f t="array" ref="IR57">_xlfn.IFS($D57="","",AND(IP57=$C57,IQ57=$D57),3,($C57-$D57)/MAX(ABS($C57-$D57),1)=(IP57-IQ57)/MAX(ABS(IP57-IQ57),1),1,TRUE,0)</f>
        <v/>
      </c>
      <c r="IS57" s="18"/>
      <c r="IT57" s="19"/>
      <c r="IU57" s="33" t="str" cm="1">
        <f t="array" ref="IU57">_xlfn.IFS($D57="","",AND(IS57=$C57,IT57=$D57),3,($C57-$D57)/MAX(ABS($C57-$D57),1)=(IS57-IT57)/MAX(ABS(IS57-IT57),1),1,TRUE,0)</f>
        <v/>
      </c>
      <c r="IV57" s="18"/>
      <c r="IW57" s="19"/>
      <c r="IX57" s="33" t="str" cm="1">
        <f t="array" ref="IX57">_xlfn.IFS($D57="","",AND(IV57=$C57,IW57=$D57),3,($C57-$D57)/MAX(ABS($C57-$D57),1)=(IV57-IW57)/MAX(ABS(IV57-IW57),1),1,TRUE,0)</f>
        <v/>
      </c>
      <c r="IY57" s="18"/>
      <c r="IZ57" s="19"/>
      <c r="JA57" s="33" t="str" cm="1">
        <f t="array" ref="JA57">_xlfn.IFS($D57="","",AND(IY57=$C57,IZ57=$D57),3,($C57-$D57)/MAX(ABS($C57-$D57),1)=(IY57-IZ57)/MAX(ABS(IY57-IZ57),1),1,TRUE,0)</f>
        <v/>
      </c>
      <c r="JB57" s="18"/>
      <c r="JC57" s="19"/>
      <c r="JD57" s="33" t="str" cm="1">
        <f t="array" ref="JD57">_xlfn.IFS($D57="","",AND(JB57=$C57,JC57=$D57),3,($C57-$D57)/MAX(ABS($C57-$D57),1)=(JB57-JC57)/MAX(ABS(JB57-JC57),1),1,TRUE,0)</f>
        <v/>
      </c>
    </row>
    <row r="58" spans="1:264" ht="15" thickBot="1" x14ac:dyDescent="0.35">
      <c r="A58" s="22">
        <v>46198</v>
      </c>
      <c r="B58" s="28" t="s">
        <v>51</v>
      </c>
      <c r="C58" s="53" t="str" cm="1">
        <f t="array" ref="C58">_xlfn.LET(
_xlpm.x,_xlfn.XLOOKUP(1,(Scores_Fixtures[Date]=A58)*(Scores_Fixtures[Home.1]=B58),Scores_Fixtures[Score.1],""),
IF(_xlpm.x="","",_xlpm.x)
)</f>
        <v/>
      </c>
      <c r="D58" s="53" t="str" cm="1">
        <f t="array" ref="D58">_xlfn.LET(
_xlpm.x,_xlfn.XLOOKUP(1,(Scores_Fixtures[Date]=A58)*(Scores_Fixtures[Home.1]=B58),Scores_Fixtures[Score.2],""),
IF(_xlpm.x="","",_xlpm.x)
)</f>
        <v/>
      </c>
      <c r="E58" s="12" t="s">
        <v>13</v>
      </c>
      <c r="F58" s="15"/>
      <c r="G58" s="53"/>
      <c r="H58" s="53"/>
      <c r="I58" s="33" t="str" cm="1">
        <f t="array" ref="I58">_xlfn.IFS($D58="","",AND(G58=$C58,H58=$D58),3,($C58-$D58)/MAX(ABS($C58-$D58),1)=(G58-H58)/MAX(ABS(G58-H58),1),1,TRUE,0)</f>
        <v/>
      </c>
      <c r="J58" s="18"/>
      <c r="K58" s="19"/>
      <c r="L58" s="33" t="str" cm="1">
        <f t="array" ref="L58">_xlfn.IFS($D58="","",AND(J58=$C58,K58=$D58),3,($C58-$D58)/MAX(ABS($C58-$D58),1)=(J58-K58)/MAX(ABS(J58-K58),1),1,TRUE,0)</f>
        <v/>
      </c>
      <c r="M58" s="18"/>
      <c r="N58" s="19"/>
      <c r="O58" s="33" t="str" cm="1">
        <f t="array" ref="O58">_xlfn.IFS($D58="","",AND(M58=$C58,N58=$D58),3,($C58-$D58)/MAX(ABS($C58-$D58),1)=(M58-N58)/MAX(ABS(M58-N58),1),1,TRUE,0)</f>
        <v/>
      </c>
      <c r="P58" s="18"/>
      <c r="Q58" s="19"/>
      <c r="R58" s="33" t="str" cm="1">
        <f t="array" ref="R58">_xlfn.IFS($D58="","",AND(P58=$C58,Q58=$D58),3,($C58-$D58)/MAX(ABS($C58-$D58),1)=(P58-Q58)/MAX(ABS(P58-Q58),1),1,TRUE,0)</f>
        <v/>
      </c>
      <c r="S58" s="18"/>
      <c r="T58" s="19"/>
      <c r="U58" s="33" t="str" cm="1">
        <f t="array" ref="U58">_xlfn.IFS($D58="","",AND(S58=$C58,T58=$D58),3,($C58-$D58)/MAX(ABS($C58-$D58),1)=(S58-T58)/MAX(ABS(S58-T58),1),1,TRUE,0)</f>
        <v/>
      </c>
      <c r="V58" s="18"/>
      <c r="W58" s="19"/>
      <c r="X58" s="33" t="str" cm="1">
        <f t="array" ref="X58">_xlfn.IFS($D58="","",AND(V58=$C58,W58=$D58),3,($C58-$D58)/MAX(ABS($C58-$D58),1)=(V58-W58)/MAX(ABS(V58-W58),1),1,TRUE,0)</f>
        <v/>
      </c>
      <c r="Y58" s="18"/>
      <c r="Z58" s="19"/>
      <c r="AA58" s="33" t="str" cm="1">
        <f t="array" ref="AA58">_xlfn.IFS($D58="","",AND(Y58=$C58,Z58=$D58),3,($C58-$D58)/MAX(ABS($C58-$D58),1)=(Y58-Z58)/MAX(ABS(Y58-Z58),1),1,TRUE,0)</f>
        <v/>
      </c>
      <c r="AB58" s="18"/>
      <c r="AC58" s="19"/>
      <c r="AD58" s="33" t="str" cm="1">
        <f t="array" ref="AD58">_xlfn.IFS($D58="","",AND(AB58=$C58,AC58=$D58),3,($C58-$D58)/MAX(ABS($C58-$D58),1)=(AB58-AC58)/MAX(ABS(AB58-AC58),1),1,TRUE,0)</f>
        <v/>
      </c>
      <c r="AE58" s="18"/>
      <c r="AF58" s="19"/>
      <c r="AG58" s="33" t="str" cm="1">
        <f t="array" ref="AG58">_xlfn.IFS($D58="","",AND(AE58=$C58,AF58=$D58),3,($C58-$D58)/MAX(ABS($C58-$D58),1)=(AE58-AF58)/MAX(ABS(AE58-AF58),1),1,TRUE,0)</f>
        <v/>
      </c>
      <c r="AH58" s="18"/>
      <c r="AI58" s="19"/>
      <c r="AJ58" s="33" t="str" cm="1">
        <f t="array" ref="AJ58">_xlfn.IFS($D58="","",AND(AH58=$C58,AI58=$D58),3,($C58-$D58)/MAX(ABS($C58-$D58),1)=(AH58-AI58)/MAX(ABS(AH58-AI58),1),1,TRUE,0)</f>
        <v/>
      </c>
      <c r="AK58" s="18"/>
      <c r="AL58" s="19"/>
      <c r="AM58" s="33" t="str" cm="1">
        <f t="array" ref="AM58">_xlfn.IFS($D58="","",AND(AK58=$C58,AL58=$D58),3,($C58-$D58)/MAX(ABS($C58-$D58),1)=(AK58-AL58)/MAX(ABS(AK58-AL58),1),1,TRUE,0)</f>
        <v/>
      </c>
      <c r="AN58" s="18"/>
      <c r="AO58" s="19"/>
      <c r="AP58" s="33" t="str" cm="1">
        <f t="array" ref="AP58">_xlfn.IFS($D58="","",AND(AN58=$C58,AO58=$D58),3,($C58-$D58)/MAX(ABS($C58-$D58),1)=(AN58-AO58)/MAX(ABS(AN58-AO58),1),1,TRUE,0)</f>
        <v/>
      </c>
      <c r="AQ58" s="18"/>
      <c r="AR58" s="19"/>
      <c r="AS58" s="33" t="str" cm="1">
        <f t="array" ref="AS58">_xlfn.IFS($D58="","",AND(AQ58=$C58,AR58=$D58),3,($C58-$D58)/MAX(ABS($C58-$D58),1)=(AQ58-AR58)/MAX(ABS(AQ58-AR58),1),1,TRUE,0)</f>
        <v/>
      </c>
      <c r="AT58" s="18"/>
      <c r="AU58" s="19"/>
      <c r="AV58" s="33" t="str" cm="1">
        <f t="array" ref="AV58">_xlfn.IFS($D58="","",AND(AT58=$C58,AU58=$D58),3,($C58-$D58)/MAX(ABS($C58-$D58),1)=(AT58-AU58)/MAX(ABS(AT58-AU58),1),1,TRUE,0)</f>
        <v/>
      </c>
      <c r="AW58" s="18"/>
      <c r="AX58" s="19"/>
      <c r="AY58" s="33" t="str" cm="1">
        <f t="array" ref="AY58">_xlfn.IFS($D58="","",AND(AW58=$C58,AX58=$D58),3,($C58-$D58)/MAX(ABS($C58-$D58),1)=(AW58-AX58)/MAX(ABS(AW58-AX58),1),1,TRUE,0)</f>
        <v/>
      </c>
      <c r="AZ58" s="18"/>
      <c r="BA58" s="19"/>
      <c r="BB58" s="33" t="str" cm="1">
        <f t="array" ref="BB58">_xlfn.IFS($D58="","",AND(AZ58=$C58,BA58=$D58),3,($C58-$D58)/MAX(ABS($C58-$D58),1)=(AZ58-BA58)/MAX(ABS(AZ58-BA58),1),1,TRUE,0)</f>
        <v/>
      </c>
      <c r="BC58" s="18"/>
      <c r="BD58" s="19"/>
      <c r="BE58" s="33" t="str" cm="1">
        <f t="array" ref="BE58">_xlfn.IFS($D58="","",AND(BC58=$C58,BD58=$D58),3,($C58-$D58)/MAX(ABS($C58-$D58),1)=(BC58-BD58)/MAX(ABS(BC58-BD58),1),1,TRUE,0)</f>
        <v/>
      </c>
      <c r="BF58" s="18"/>
      <c r="BG58" s="19"/>
      <c r="BH58" s="33" t="str" cm="1">
        <f t="array" ref="BH58">_xlfn.IFS($D58="","",AND(BF58=$C58,BG58=$D58),3,($C58-$D58)/MAX(ABS($C58-$D58),1)=(BF58-BG58)/MAX(ABS(BF58-BG58),1),1,TRUE,0)</f>
        <v/>
      </c>
      <c r="BI58" s="18"/>
      <c r="BJ58" s="19"/>
      <c r="BK58" s="33" t="str" cm="1">
        <f t="array" ref="BK58">_xlfn.IFS($D58="","",AND(BI58=$C58,BJ58=$D58),3,($C58-$D58)/MAX(ABS($C58-$D58),1)=(BI58-BJ58)/MAX(ABS(BI58-BJ58),1),1,TRUE,0)</f>
        <v/>
      </c>
      <c r="BL58" s="18"/>
      <c r="BM58" s="19"/>
      <c r="BN58" s="33" t="str" cm="1">
        <f t="array" ref="BN58">_xlfn.IFS($D58="","",AND(BL58=$C58,BM58=$D58),3,($C58-$D58)/MAX(ABS($C58-$D58),1)=(BL58-BM58)/MAX(ABS(BL58-BM58),1),1,TRUE,0)</f>
        <v/>
      </c>
      <c r="BO58" s="18"/>
      <c r="BP58" s="19"/>
      <c r="BQ58" s="33" t="str" cm="1">
        <f t="array" ref="BQ58">_xlfn.IFS($D58="","",AND(BO58=$C58,BP58=$D58),3,($C58-$D58)/MAX(ABS($C58-$D58),1)=(BO58-BP58)/MAX(ABS(BO58-BP58),1),1,TRUE,0)</f>
        <v/>
      </c>
      <c r="BR58" s="18"/>
      <c r="BS58" s="19"/>
      <c r="BT58" s="33" t="str" cm="1">
        <f t="array" ref="BT58">_xlfn.IFS($D58="","",AND(BR58=$C58,BS58=$D58),3,($C58-$D58)/MAX(ABS($C58-$D58),1)=(BR58-BS58)/MAX(ABS(BR58-BS58),1),1,TRUE,0)</f>
        <v/>
      </c>
      <c r="BU58" s="18"/>
      <c r="BV58" s="19"/>
      <c r="BW58" s="33" t="str" cm="1">
        <f t="array" ref="BW58">_xlfn.IFS($D58="","",AND(BU58=$C58,BV58=$D58),3,($C58-$D58)/MAX(ABS($C58-$D58),1)=(BU58-BV58)/MAX(ABS(BU58-BV58),1),1,TRUE,0)</f>
        <v/>
      </c>
      <c r="BX58" s="18"/>
      <c r="BY58" s="19"/>
      <c r="BZ58" s="33" t="str" cm="1">
        <f t="array" ref="BZ58">_xlfn.IFS($D58="","",AND(BX58=$C58,BY58=$D58),3,($C58-$D58)/MAX(ABS($C58-$D58),1)=(BX58-BY58)/MAX(ABS(BX58-BY58),1),1,TRUE,0)</f>
        <v/>
      </c>
      <c r="CA58" s="18"/>
      <c r="CB58" s="19"/>
      <c r="CC58" s="33" t="str" cm="1">
        <f t="array" ref="CC58">_xlfn.IFS($D58="","",AND(CA58=$C58,CB58=$D58),3,($C58-$D58)/MAX(ABS($C58-$D58),1)=(CA58-CB58)/MAX(ABS(CA58-CB58),1),1,TRUE,0)</f>
        <v/>
      </c>
      <c r="CD58" s="18"/>
      <c r="CE58" s="19"/>
      <c r="CF58" s="33" t="str" cm="1">
        <f t="array" ref="CF58">_xlfn.IFS($D58="","",AND(CD58=$C58,CE58=$D58),3,($C58-$D58)/MAX(ABS($C58-$D58),1)=(CD58-CE58)/MAX(ABS(CD58-CE58),1),1,TRUE,0)</f>
        <v/>
      </c>
      <c r="CG58" s="18"/>
      <c r="CH58" s="19"/>
      <c r="CI58" s="33" t="str" cm="1">
        <f t="array" ref="CI58">_xlfn.IFS($D58="","",AND(CG58=$C58,CH58=$D58),3,($C58-$D58)/MAX(ABS($C58-$D58),1)=(CG58-CH58)/MAX(ABS(CG58-CH58),1),1,TRUE,0)</f>
        <v/>
      </c>
      <c r="CJ58" s="18"/>
      <c r="CK58" s="19"/>
      <c r="CL58" s="33" t="str" cm="1">
        <f t="array" ref="CL58">_xlfn.IFS($D58="","",AND(CJ58=$C58,CK58=$D58),3,($C58-$D58)/MAX(ABS($C58-$D58),1)=(CJ58-CK58)/MAX(ABS(CJ58-CK58),1),1,TRUE,0)</f>
        <v/>
      </c>
      <c r="CM58" s="18"/>
      <c r="CN58" s="19"/>
      <c r="CO58" s="33" t="str" cm="1">
        <f t="array" ref="CO58">_xlfn.IFS($D58="","",AND(CM58=$C58,CN58=$D58),3,($C58-$D58)/MAX(ABS($C58-$D58),1)=(CM58-CN58)/MAX(ABS(CM58-CN58),1),1,TRUE,0)</f>
        <v/>
      </c>
      <c r="CP58" s="18"/>
      <c r="CQ58" s="19"/>
      <c r="CR58" s="33" t="str" cm="1">
        <f t="array" ref="CR58">_xlfn.IFS($D58="","",AND(CP58=$C58,CQ58=$D58),3,($C58-$D58)/MAX(ABS($C58-$D58),1)=(CP58-CQ58)/MAX(ABS(CP58-CQ58),1),1,TRUE,0)</f>
        <v/>
      </c>
      <c r="CS58" s="18"/>
      <c r="CT58" s="19"/>
      <c r="CU58" s="33" t="str" cm="1">
        <f t="array" ref="CU58">_xlfn.IFS($D58="","",AND(CS58=$C58,CT58=$D58),3,($C58-$D58)/MAX(ABS($C58-$D58),1)=(CS58-CT58)/MAX(ABS(CS58-CT58),1),1,TRUE,0)</f>
        <v/>
      </c>
      <c r="CV58" s="18"/>
      <c r="CW58" s="19"/>
      <c r="CX58" s="33" t="str" cm="1">
        <f t="array" ref="CX58">_xlfn.IFS($D58="","",AND(CV58=$C58,CW58=$D58),3,($C58-$D58)/MAX(ABS($C58-$D58),1)=(CV58-CW58)/MAX(ABS(CV58-CW58),1),1,TRUE,0)</f>
        <v/>
      </c>
      <c r="CY58" s="18"/>
      <c r="CZ58" s="19"/>
      <c r="DA58" s="33" t="str" cm="1">
        <f t="array" ref="DA58">_xlfn.IFS($D58="","",AND(CY58=$C58,CZ58=$D58),3,($C58-$D58)/MAX(ABS($C58-$D58),1)=(CY58-CZ58)/MAX(ABS(CY58-CZ58),1),1,TRUE,0)</f>
        <v/>
      </c>
      <c r="DB58" s="37"/>
      <c r="DC58" s="38"/>
      <c r="DD58" s="33" t="str" cm="1">
        <f t="array" ref="DD58">_xlfn.IFS($D58="","",AND(DB58=$C58,DC58=$D58),3,($C58-$D58)/MAX(ABS($C58-$D58),1)=(DB58-DC58)/MAX(ABS(DB58-DC58),1),1,TRUE,0)</f>
        <v/>
      </c>
      <c r="DE58" s="18"/>
      <c r="DF58" s="19"/>
      <c r="DG58" s="33" t="str" cm="1">
        <f t="array" ref="DG58">_xlfn.IFS($D58="","",AND(DE58=$C58,DF58=$D58),3,($C58-$D58)/MAX(ABS($C58-$D58),1)=(DE58-DF58)/MAX(ABS(DE58-DF58),1),1,TRUE,0)</f>
        <v/>
      </c>
      <c r="DH58" s="18"/>
      <c r="DI58" s="19"/>
      <c r="DJ58" s="33" t="str" cm="1">
        <f t="array" ref="DJ58">_xlfn.IFS($D58="","",AND(DH58=$C58,DI58=$D58),3,($C58-$D58)/MAX(ABS($C58-$D58),1)=(DH58-DI58)/MAX(ABS(DH58-DI58),1),1,TRUE,0)</f>
        <v/>
      </c>
      <c r="DK58" s="18"/>
      <c r="DL58" s="19"/>
      <c r="DM58" s="33" t="str" cm="1">
        <f t="array" ref="DM58">_xlfn.IFS($D58="","",AND(DK58=$C58,DL58=$D58),3,($C58-$D58)/MAX(ABS($C58-$D58),1)=(DK58-DL58)/MAX(ABS(DK58-DL58),1),1,TRUE,0)</f>
        <v/>
      </c>
      <c r="DN58" s="18"/>
      <c r="DO58" s="19"/>
      <c r="DP58" s="33" t="str" cm="1">
        <f t="array" ref="DP58">_xlfn.IFS($D58="","",AND(DN58=$C58,DO58=$D58),3,($C58-$D58)/MAX(ABS($C58-$D58),1)=(DN58-DO58)/MAX(ABS(DN58-DO58),1),1,TRUE,0)</f>
        <v/>
      </c>
      <c r="DQ58" s="18"/>
      <c r="DR58" s="19"/>
      <c r="DS58" s="33" t="str" cm="1">
        <f t="array" ref="DS58">_xlfn.IFS($D58="","",AND(DQ58=$C58,DR58=$D58),3,($C58-$D58)/MAX(ABS($C58-$D58),1)=(DQ58-DR58)/MAX(ABS(DQ58-DR58),1),1,TRUE,0)</f>
        <v/>
      </c>
      <c r="DT58" s="18"/>
      <c r="DU58" s="19"/>
      <c r="DV58" s="33" t="str" cm="1">
        <f t="array" ref="DV58">_xlfn.IFS($D58="","",AND(DT58=$C58,DU58=$D58),3,($C58-$D58)/MAX(ABS($C58-$D58),1)=(DT58-DU58)/MAX(ABS(DT58-DU58),1),1,TRUE,0)</f>
        <v/>
      </c>
      <c r="DW58" s="18"/>
      <c r="DX58" s="19"/>
      <c r="DY58" s="33" t="str" cm="1">
        <f t="array" ref="DY58">_xlfn.IFS($D58="","",AND(DW58=$C58,DX58=$D58),3,($C58-$D58)/MAX(ABS($C58-$D58),1)=(DW58-DX58)/MAX(ABS(DW58-DX58),1),1,TRUE,0)</f>
        <v/>
      </c>
      <c r="DZ58" s="18"/>
      <c r="EA58" s="19"/>
      <c r="EB58" s="33" t="str" cm="1">
        <f t="array" ref="EB58">_xlfn.IFS($D58="","",AND(DZ58=$C58,EA58=$D58),3,($C58-$D58)/MAX(ABS($C58-$D58),1)=(DZ58-EA58)/MAX(ABS(DZ58-EA58),1),1,TRUE,0)</f>
        <v/>
      </c>
      <c r="EC58" s="18"/>
      <c r="ED58" s="19"/>
      <c r="EE58" s="33" t="str" cm="1">
        <f t="array" ref="EE58">_xlfn.IFS($D58="","",AND(EC58=$C58,ED58=$D58),3,($C58-$D58)/MAX(ABS($C58-$D58),1)=(EC58-ED58)/MAX(ABS(EC58-ED58),1),1,TRUE,0)</f>
        <v/>
      </c>
      <c r="EF58" s="18"/>
      <c r="EG58" s="19"/>
      <c r="EH58" s="33" t="str" cm="1">
        <f t="array" ref="EH58">_xlfn.IFS($D58="","",AND(EF58=$C58,EG58=$D58),3,($C58-$D58)/MAX(ABS($C58-$D58),1)=(EF58-EG58)/MAX(ABS(EF58-EG58),1),1,TRUE,0)</f>
        <v/>
      </c>
      <c r="EI58" s="50"/>
      <c r="EJ58" s="51"/>
      <c r="EK58" s="33" t="str" cm="1">
        <f t="array" ref="EK58">_xlfn.IFS($D58="","",AND(EI58=$C58,EJ58=$D58),3,($C58-$D58)/MAX(ABS($C58-$D58),1)=(EI58-EJ58)/MAX(ABS(EI58-EJ58),1),1,TRUE,0)</f>
        <v/>
      </c>
      <c r="EL58" s="18"/>
      <c r="EM58" s="19"/>
      <c r="EN58" s="33" t="str" cm="1">
        <f t="array" ref="EN58">_xlfn.IFS($D58="","",AND(EL58=$C58,EM58=$D58),3,($C58-$D58)/MAX(ABS($C58-$D58),1)=(EL58-EM58)/MAX(ABS(EL58-EM58),1),1,TRUE,0)</f>
        <v/>
      </c>
      <c r="EO58" s="18"/>
      <c r="EP58" s="19"/>
      <c r="EQ58" s="33" t="str" cm="1">
        <f t="array" ref="EQ58">_xlfn.IFS($D58="","",AND(EO58=$C58,EP58=$D58),3,($C58-$D58)/MAX(ABS($C58-$D58),1)=(EO58-EP58)/MAX(ABS(EO58-EP58),1),1,TRUE,0)</f>
        <v/>
      </c>
      <c r="ER58" s="18"/>
      <c r="ES58" s="19"/>
      <c r="ET58" s="33" t="str" cm="1">
        <f t="array" ref="ET58">_xlfn.IFS($D58="","",AND(ER58=$C58,ES58=$D58),3,($C58-$D58)/MAX(ABS($C58-$D58),1)=(ER58-ES58)/MAX(ABS(ER58-ES58),1),1,TRUE,0)</f>
        <v/>
      </c>
      <c r="EU58" s="18"/>
      <c r="EV58" s="19"/>
      <c r="EW58" s="33" t="str" cm="1">
        <f t="array" ref="EW58">_xlfn.IFS($D58="","",AND(EU58=$C58,EV58=$D58),3,($C58-$D58)/MAX(ABS($C58-$D58),1)=(EU58-EV58)/MAX(ABS(EU58-EV58),1),1,TRUE,0)</f>
        <v/>
      </c>
      <c r="EX58" s="18"/>
      <c r="EY58" s="19"/>
      <c r="EZ58" s="33" t="str" cm="1">
        <f t="array" ref="EZ58">_xlfn.IFS($D58="","",AND(EX58=$C58,EY58=$D58),3,($C58-$D58)/MAX(ABS($C58-$D58),1)=(EX58-EY58)/MAX(ABS(EX58-EY58),1),1,TRUE,0)</f>
        <v/>
      </c>
      <c r="FA58" s="18"/>
      <c r="FB58" s="19"/>
      <c r="FC58" s="33" t="str" cm="1">
        <f t="array" ref="FC58">_xlfn.IFS($D58="","",AND(FA58=$C58,FB58=$D58),3,($C58-$D58)/MAX(ABS($C58-$D58),1)=(FA58-FB58)/MAX(ABS(FA58-FB58),1),1,TRUE,0)</f>
        <v/>
      </c>
      <c r="FD58" s="18"/>
      <c r="FE58" s="19"/>
      <c r="FF58" s="33" t="str" cm="1">
        <f t="array" ref="FF58">_xlfn.IFS($D58="","",AND(FD58=$C58,FE58=$D58),3,($C58-$D58)/MAX(ABS($C58-$D58),1)=(FD58-FE58)/MAX(ABS(FD58-FE58),1),1,TRUE,0)</f>
        <v/>
      </c>
      <c r="FG58" s="18"/>
      <c r="FH58" s="19"/>
      <c r="FI58" s="33" t="str" cm="1">
        <f t="array" ref="FI58">_xlfn.IFS($D58="","",AND(FG58=$C58,FH58=$D58),3,($C58-$D58)/MAX(ABS($C58-$D58),1)=(FG58-FH58)/MAX(ABS(FG58-FH58),1),1,TRUE,0)</f>
        <v/>
      </c>
      <c r="FJ58" s="18"/>
      <c r="FK58" s="19"/>
      <c r="FL58" s="33" t="str" cm="1">
        <f t="array" ref="FL58">_xlfn.IFS($D58="","",AND(FJ58=$C58,FK58=$D58),3,($C58-$D58)/MAX(ABS($C58-$D58),1)=(FJ58-FK58)/MAX(ABS(FJ58-FK58),1),1,TRUE,0)</f>
        <v/>
      </c>
      <c r="FM58" s="18"/>
      <c r="FN58" s="19"/>
      <c r="FO58" s="33" t="str" cm="1">
        <f t="array" ref="FO58">_xlfn.IFS($D58="","",AND(FM58=$C58,FN58=$D58),3,($C58-$D58)/MAX(ABS($C58-$D58),1)=(FM58-FN58)/MAX(ABS(FM58-FN58),1),1,TRUE,0)</f>
        <v/>
      </c>
      <c r="FP58" s="18"/>
      <c r="FQ58" s="19"/>
      <c r="FR58" s="33" t="str" cm="1">
        <f t="array" ref="FR58">_xlfn.IFS($D58="","",AND(FP58=$C58,FQ58=$D58),3,($C58-$D58)/MAX(ABS($C58-$D58),1)=(FP58-FQ58)/MAX(ABS(FP58-FQ58),1),1,TRUE,0)</f>
        <v/>
      </c>
      <c r="FS58" s="18"/>
      <c r="FT58" s="19"/>
      <c r="FU58" s="33" t="str" cm="1">
        <f t="array" ref="FU58">_xlfn.IFS($D58="","",AND(FS58=$C58,FT58=$D58),3,($C58-$D58)/MAX(ABS($C58-$D58),1)=(FS58-FT58)/MAX(ABS(FS58-FT58),1),1,TRUE,0)</f>
        <v/>
      </c>
      <c r="FV58" s="18"/>
      <c r="FW58" s="19"/>
      <c r="FX58" s="33" t="str" cm="1">
        <f t="array" ref="FX58">_xlfn.IFS($D58="","",AND(FV58=$C58,FW58=$D58),3,($C58-$D58)/MAX(ABS($C58-$D58),1)=(FV58-FW58)/MAX(ABS(FV58-FW58),1),1,TRUE,0)</f>
        <v/>
      </c>
      <c r="FY58" s="18"/>
      <c r="FZ58" s="19"/>
      <c r="GA58" s="33" t="str" cm="1">
        <f t="array" ref="GA58">_xlfn.IFS($D58="","",AND(FY58=$C58,FZ58=$D58),3,($C58-$D58)/MAX(ABS($C58-$D58),1)=(FY58-FZ58)/MAX(ABS(FY58-FZ58),1),1,TRUE,0)</f>
        <v/>
      </c>
      <c r="GB58" s="18"/>
      <c r="GC58" s="19"/>
      <c r="GD58" s="33" t="str" cm="1">
        <f t="array" ref="GD58">_xlfn.IFS($D58="","",AND(GB58=$C58,GC58=$D58),3,($C58-$D58)/MAX(ABS($C58-$D58),1)=(GB58-GC58)/MAX(ABS(GB58-GC58),1),1,TRUE,0)</f>
        <v/>
      </c>
      <c r="GE58" s="52"/>
      <c r="GF58" s="19"/>
      <c r="GG58" s="33" t="str" cm="1">
        <f t="array" ref="GG58">_xlfn.IFS($D58="","",AND(GE58=$C58,GF58=$D58),3,($C58-$D58)/MAX(ABS($C58-$D58),1)=(GE58-GF58)/MAX(ABS(GE58-GF58),1),1,TRUE,0)</f>
        <v/>
      </c>
      <c r="GH58" s="18"/>
      <c r="GI58" s="19"/>
      <c r="GJ58" s="33" t="str" cm="1">
        <f t="array" ref="GJ58">_xlfn.IFS($D58="","",AND(GH58=$C58,GI58=$D58),3,($C58-$D58)/MAX(ABS($C58-$D58),1)=(GH58-GI58)/MAX(ABS(GH58-GI58),1),1,TRUE,0)</f>
        <v/>
      </c>
      <c r="GK58" s="18"/>
      <c r="GL58" s="19"/>
      <c r="GM58" s="33" t="str" cm="1">
        <f t="array" ref="GM58">_xlfn.IFS($D58="","",AND(GK58=$C58,GL58=$D58),3,($C58-$D58)/MAX(ABS($C58-$D58),1)=(GK58-GL58)/MAX(ABS(GK58-GL58),1),1,TRUE,0)</f>
        <v/>
      </c>
      <c r="GN58" s="18"/>
      <c r="GO58" s="19"/>
      <c r="GP58" s="33" t="str" cm="1">
        <f t="array" ref="GP58">_xlfn.IFS($D58="","",AND(GN58=$C58,GO58=$D58),3,($C58-$D58)/MAX(ABS($C58-$D58),1)=(GN58-GO58)/MAX(ABS(GN58-GO58),1),1,TRUE,0)</f>
        <v/>
      </c>
      <c r="GQ58" s="18"/>
      <c r="GR58" s="19"/>
      <c r="GS58" s="33" t="str" cm="1">
        <f t="array" ref="GS58">_xlfn.IFS($D58="","",AND(GQ58=$C58,GR58=$D58),3,($C58-$D58)/MAX(ABS($C58-$D58),1)=(GQ58-GR58)/MAX(ABS(GQ58-GR58),1),1,TRUE,0)</f>
        <v/>
      </c>
      <c r="GT58" s="18"/>
      <c r="GU58" s="19"/>
      <c r="GV58" s="33" t="str" cm="1">
        <f t="array" ref="GV58">_xlfn.IFS($D58="","",AND(GT58=$C58,GU58=$D58),3,($C58-$D58)/MAX(ABS($C58-$D58),1)=(GT58-GU58)/MAX(ABS(GT58-GU58),1),1,TRUE,0)</f>
        <v/>
      </c>
      <c r="GW58" s="18"/>
      <c r="GX58" s="19"/>
      <c r="GY58" s="33" t="str" cm="1">
        <f t="array" ref="GY58">_xlfn.IFS($D58="","",AND(GW58=$C58,GX58=$D58),3,($C58-$D58)/MAX(ABS($C58-$D58),1)=(GW58-GX58)/MAX(ABS(GW58-GX58),1),1,TRUE,0)</f>
        <v/>
      </c>
      <c r="GZ58" s="18"/>
      <c r="HA58" s="19"/>
      <c r="HB58" s="33" t="str" cm="1">
        <f t="array" ref="HB58">_xlfn.IFS($D58="","",AND(GZ58=$C58,HA58=$D58),3,($C58-$D58)/MAX(ABS($C58-$D58),1)=(GZ58-HA58)/MAX(ABS(GZ58-HA58),1),1,TRUE,0)</f>
        <v/>
      </c>
      <c r="HC58" s="18"/>
      <c r="HD58" s="19"/>
      <c r="HE58" s="33" t="str" cm="1">
        <f t="array" ref="HE58">_xlfn.IFS($D58="","",AND(HC58=$C58,HD58=$D58),3,($C58-$D58)/MAX(ABS($C58-$D58),1)=(HC58-HD58)/MAX(ABS(HC58-HD58),1),1,TRUE,0)</f>
        <v/>
      </c>
      <c r="HF58" s="18"/>
      <c r="HG58" s="19"/>
      <c r="HH58" s="33" t="str" cm="1">
        <f t="array" ref="HH58">_xlfn.IFS($D58="","",AND(HF58=$C58,HG58=$D58),3,($C58-$D58)/MAX(ABS($C58-$D58),1)=(HF58-HG58)/MAX(ABS(HF58-HG58),1),1,TRUE,0)</f>
        <v/>
      </c>
      <c r="HI58" s="18"/>
      <c r="HJ58" s="19"/>
      <c r="HK58" s="33" t="str" cm="1">
        <f t="array" ref="HK58">_xlfn.IFS($D58="","",AND(HI58=$C58,HJ58=$D58),3,($C58-$D58)/MAX(ABS($C58-$D58),1)=(HI58-HJ58)/MAX(ABS(HI58-HJ58),1),1,TRUE,0)</f>
        <v/>
      </c>
      <c r="HL58" s="18"/>
      <c r="HM58" s="19"/>
      <c r="HN58" s="33" t="str" cm="1">
        <f t="array" ref="HN58">_xlfn.IFS($D58="","",AND(HL58=$C58,HM58=$D58),3,($C58-$D58)/MAX(ABS($C58-$D58),1)=(HL58-HM58)/MAX(ABS(HL58-HM58),1),1,TRUE,0)</f>
        <v/>
      </c>
      <c r="HO58" s="18"/>
      <c r="HP58" s="19"/>
      <c r="HQ58" s="33" t="str" cm="1">
        <f t="array" ref="HQ58">_xlfn.IFS($D58="","",AND(HO58=$C58,HP58=$D58),3,($C58-$D58)/MAX(ABS($C58-$D58),1)=(HO58-HP58)/MAX(ABS(HO58-HP58),1),1,TRUE,0)</f>
        <v/>
      </c>
      <c r="HR58" s="18"/>
      <c r="HS58" s="19"/>
      <c r="HT58" s="33" t="str" cm="1">
        <f t="array" ref="HT58">_xlfn.IFS($D58="","",AND(HR58=$C58,HS58=$D58),3,($C58-$D58)/MAX(ABS($C58-$D58),1)=(HR58-HS58)/MAX(ABS(HR58-HS58),1),1,TRUE,0)</f>
        <v/>
      </c>
      <c r="HU58" s="18"/>
      <c r="HV58" s="19"/>
      <c r="HW58" s="33" t="str" cm="1">
        <f t="array" ref="HW58">_xlfn.IFS($D58="","",AND(HU58=$C58,HV58=$D58),3,($C58-$D58)/MAX(ABS($C58-$D58),1)=(HU58-HV58)/MAX(ABS(HU58-HV58),1),1,TRUE,0)</f>
        <v/>
      </c>
      <c r="HX58" s="18"/>
      <c r="HY58" s="19"/>
      <c r="HZ58" s="33" t="str" cm="1">
        <f t="array" ref="HZ58">_xlfn.IFS($D58="","",AND(HX58=$C58,HY58=$D58),3,($C58-$D58)/MAX(ABS($C58-$D58),1)=(HX58-HY58)/MAX(ABS(HX58-HY58),1),1,TRUE,0)</f>
        <v/>
      </c>
      <c r="IA58" s="18"/>
      <c r="IB58" s="19"/>
      <c r="IC58" s="33" t="str" cm="1">
        <f t="array" ref="IC58">_xlfn.IFS($D58="","",AND(IA58=$C58,IB58=$D58),3,($C58-$D58)/MAX(ABS($C58-$D58),1)=(IA58-IB58)/MAX(ABS(IA58-IB58),1),1,TRUE,0)</f>
        <v/>
      </c>
      <c r="ID58" s="18"/>
      <c r="IE58" s="19"/>
      <c r="IF58" s="33" t="str" cm="1">
        <f t="array" ref="IF58">_xlfn.IFS($D58="","",AND(ID58=$C58,IE58=$D58),3,($C58-$D58)/MAX(ABS($C58-$D58),1)=(ID58-IE58)/MAX(ABS(ID58-IE58),1),1,TRUE,0)</f>
        <v/>
      </c>
      <c r="IG58" s="18"/>
      <c r="IH58" s="19"/>
      <c r="II58" s="33" t="str" cm="1">
        <f t="array" ref="II58">_xlfn.IFS($D58="","",AND(IG58=$C58,IH58=$D58),3,($C58-$D58)/MAX(ABS($C58-$D58),1)=(IG58-IH58)/MAX(ABS(IG58-IH58),1),1,TRUE,0)</f>
        <v/>
      </c>
      <c r="IJ58" s="18"/>
      <c r="IK58" s="19"/>
      <c r="IL58" s="33" t="str" cm="1">
        <f t="array" ref="IL58">_xlfn.IFS($D58="","",AND(IJ58=$C58,IK58=$D58),3,($C58-$D58)/MAX(ABS($C58-$D58),1)=(IJ58-IK58)/MAX(ABS(IJ58-IK58),1),1,TRUE,0)</f>
        <v/>
      </c>
      <c r="IM58" s="18"/>
      <c r="IN58" s="19"/>
      <c r="IO58" s="33" t="str" cm="1">
        <f t="array" ref="IO58">_xlfn.IFS($D58="","",AND(IM58=$C58,IN58=$D58),3,($C58-$D58)/MAX(ABS($C58-$D58),1)=(IM58-IN58)/MAX(ABS(IM58-IN58),1),1,TRUE,0)</f>
        <v/>
      </c>
      <c r="IP58" s="18"/>
      <c r="IQ58" s="19"/>
      <c r="IR58" s="33" t="str" cm="1">
        <f t="array" ref="IR58">_xlfn.IFS($D58="","",AND(IP58=$C58,IQ58=$D58),3,($C58-$D58)/MAX(ABS($C58-$D58),1)=(IP58-IQ58)/MAX(ABS(IP58-IQ58),1),1,TRUE,0)</f>
        <v/>
      </c>
      <c r="IS58" s="18"/>
      <c r="IT58" s="19"/>
      <c r="IU58" s="33" t="str" cm="1">
        <f t="array" ref="IU58">_xlfn.IFS($D58="","",AND(IS58=$C58,IT58=$D58),3,($C58-$D58)/MAX(ABS($C58-$D58),1)=(IS58-IT58)/MAX(ABS(IS58-IT58),1),1,TRUE,0)</f>
        <v/>
      </c>
      <c r="IV58" s="18"/>
      <c r="IW58" s="19"/>
      <c r="IX58" s="33" t="str" cm="1">
        <f t="array" ref="IX58">_xlfn.IFS($D58="","",AND(IV58=$C58,IW58=$D58),3,($C58-$D58)/MAX(ABS($C58-$D58),1)=(IV58-IW58)/MAX(ABS(IV58-IW58),1),1,TRUE,0)</f>
        <v/>
      </c>
      <c r="IY58" s="18"/>
      <c r="IZ58" s="19"/>
      <c r="JA58" s="33" t="str" cm="1">
        <f t="array" ref="JA58">_xlfn.IFS($D58="","",AND(IY58=$C58,IZ58=$D58),3,($C58-$D58)/MAX(ABS($C58-$D58),1)=(IY58-IZ58)/MAX(ABS(IY58-IZ58),1),1,TRUE,0)</f>
        <v/>
      </c>
      <c r="JB58" s="18"/>
      <c r="JC58" s="19"/>
      <c r="JD58" s="33" t="str" cm="1">
        <f t="array" ref="JD58">_xlfn.IFS($D58="","",AND(JB58=$C58,JC58=$D58),3,($C58-$D58)/MAX(ABS($C58-$D58),1)=(JB58-JC58)/MAX(ABS(JB58-JC58),1),1,TRUE,0)</f>
        <v/>
      </c>
    </row>
    <row r="59" spans="1:264" ht="15" thickBot="1" x14ac:dyDescent="0.35">
      <c r="A59" s="22">
        <v>46199</v>
      </c>
      <c r="B59" s="28" t="s">
        <v>63</v>
      </c>
      <c r="C59" s="53" t="str" cm="1">
        <f t="array" ref="C59">_xlfn.LET(
_xlpm.x,_xlfn.XLOOKUP(1,(Scores_Fixtures[Date]=A59)*(Scores_Fixtures[Home.1]=B59),Scores_Fixtures[Score.1],""),
IF(_xlpm.x="","",_xlpm.x)
)</f>
        <v/>
      </c>
      <c r="D59" s="53" t="str" cm="1">
        <f t="array" ref="D59">_xlfn.LET(
_xlpm.x,_xlfn.XLOOKUP(1,(Scores_Fixtures[Date]=A59)*(Scores_Fixtures[Home.1]=B59),Scores_Fixtures[Score.2],""),
IF(_xlpm.x="","",_xlpm.x)
)</f>
        <v/>
      </c>
      <c r="E59" s="12" t="s">
        <v>43</v>
      </c>
      <c r="F59" s="15"/>
      <c r="G59" s="53"/>
      <c r="H59" s="53"/>
      <c r="I59" s="33" t="str" cm="1">
        <f t="array" ref="I59">_xlfn.IFS($D59="","",AND(G59=$C59,H59=$D59),3,($C59-$D59)/MAX(ABS($C59-$D59),1)=(G59-H59)/MAX(ABS(G59-H59),1),1,TRUE,0)</f>
        <v/>
      </c>
      <c r="J59" s="18"/>
      <c r="K59" s="19"/>
      <c r="L59" s="33" t="str" cm="1">
        <f t="array" ref="L59">_xlfn.IFS($D59="","",AND(J59=$C59,K59=$D59),3,($C59-$D59)/MAX(ABS($C59-$D59),1)=(J59-K59)/MAX(ABS(J59-K59),1),1,TRUE,0)</f>
        <v/>
      </c>
      <c r="M59" s="18"/>
      <c r="N59" s="19"/>
      <c r="O59" s="33" t="str" cm="1">
        <f t="array" ref="O59">_xlfn.IFS($D59="","",AND(M59=$C59,N59=$D59),3,($C59-$D59)/MAX(ABS($C59-$D59),1)=(M59-N59)/MAX(ABS(M59-N59),1),1,TRUE,0)</f>
        <v/>
      </c>
      <c r="P59" s="18"/>
      <c r="Q59" s="19"/>
      <c r="R59" s="33" t="str" cm="1">
        <f t="array" ref="R59">_xlfn.IFS($D59="","",AND(P59=$C59,Q59=$D59),3,($C59-$D59)/MAX(ABS($C59-$D59),1)=(P59-Q59)/MAX(ABS(P59-Q59),1),1,TRUE,0)</f>
        <v/>
      </c>
      <c r="S59" s="18"/>
      <c r="T59" s="19"/>
      <c r="U59" s="33" t="str" cm="1">
        <f t="array" ref="U59">_xlfn.IFS($D59="","",AND(S59=$C59,T59=$D59),3,($C59-$D59)/MAX(ABS($C59-$D59),1)=(S59-T59)/MAX(ABS(S59-T59),1),1,TRUE,0)</f>
        <v/>
      </c>
      <c r="V59" s="18"/>
      <c r="W59" s="19"/>
      <c r="X59" s="33" t="str" cm="1">
        <f t="array" ref="X59">_xlfn.IFS($D59="","",AND(V59=$C59,W59=$D59),3,($C59-$D59)/MAX(ABS($C59-$D59),1)=(V59-W59)/MAX(ABS(V59-W59),1),1,TRUE,0)</f>
        <v/>
      </c>
      <c r="Y59" s="18"/>
      <c r="Z59" s="19"/>
      <c r="AA59" s="33" t="str" cm="1">
        <f t="array" ref="AA59">_xlfn.IFS($D59="","",AND(Y59=$C59,Z59=$D59),3,($C59-$D59)/MAX(ABS($C59-$D59),1)=(Y59-Z59)/MAX(ABS(Y59-Z59),1),1,TRUE,0)</f>
        <v/>
      </c>
      <c r="AB59" s="18"/>
      <c r="AC59" s="19"/>
      <c r="AD59" s="33" t="str" cm="1">
        <f t="array" ref="AD59">_xlfn.IFS($D59="","",AND(AB59=$C59,AC59=$D59),3,($C59-$D59)/MAX(ABS($C59-$D59),1)=(AB59-AC59)/MAX(ABS(AB59-AC59),1),1,TRUE,0)</f>
        <v/>
      </c>
      <c r="AE59" s="18"/>
      <c r="AF59" s="19"/>
      <c r="AG59" s="33" t="str" cm="1">
        <f t="array" ref="AG59">_xlfn.IFS($D59="","",AND(AE59=$C59,AF59=$D59),3,($C59-$D59)/MAX(ABS($C59-$D59),1)=(AE59-AF59)/MAX(ABS(AE59-AF59),1),1,TRUE,0)</f>
        <v/>
      </c>
      <c r="AH59" s="18"/>
      <c r="AI59" s="19"/>
      <c r="AJ59" s="33" t="str" cm="1">
        <f t="array" ref="AJ59">_xlfn.IFS($D59="","",AND(AH59=$C59,AI59=$D59),3,($C59-$D59)/MAX(ABS($C59-$D59),1)=(AH59-AI59)/MAX(ABS(AH59-AI59),1),1,TRUE,0)</f>
        <v/>
      </c>
      <c r="AK59" s="18"/>
      <c r="AL59" s="19"/>
      <c r="AM59" s="33" t="str" cm="1">
        <f t="array" ref="AM59">_xlfn.IFS($D59="","",AND(AK59=$C59,AL59=$D59),3,($C59-$D59)/MAX(ABS($C59-$D59),1)=(AK59-AL59)/MAX(ABS(AK59-AL59),1),1,TRUE,0)</f>
        <v/>
      </c>
      <c r="AN59" s="18"/>
      <c r="AO59" s="19"/>
      <c r="AP59" s="33" t="str" cm="1">
        <f t="array" ref="AP59">_xlfn.IFS($D59="","",AND(AN59=$C59,AO59=$D59),3,($C59-$D59)/MAX(ABS($C59-$D59),1)=(AN59-AO59)/MAX(ABS(AN59-AO59),1),1,TRUE,0)</f>
        <v/>
      </c>
      <c r="AQ59" s="18"/>
      <c r="AR59" s="19"/>
      <c r="AS59" s="33" t="str" cm="1">
        <f t="array" ref="AS59">_xlfn.IFS($D59="","",AND(AQ59=$C59,AR59=$D59),3,($C59-$D59)/MAX(ABS($C59-$D59),1)=(AQ59-AR59)/MAX(ABS(AQ59-AR59),1),1,TRUE,0)</f>
        <v/>
      </c>
      <c r="AT59" s="18"/>
      <c r="AU59" s="19"/>
      <c r="AV59" s="33" t="str" cm="1">
        <f t="array" ref="AV59">_xlfn.IFS($D59="","",AND(AT59=$C59,AU59=$D59),3,($C59-$D59)/MAX(ABS($C59-$D59),1)=(AT59-AU59)/MAX(ABS(AT59-AU59),1),1,TRUE,0)</f>
        <v/>
      </c>
      <c r="AW59" s="18"/>
      <c r="AX59" s="19"/>
      <c r="AY59" s="33" t="str" cm="1">
        <f t="array" ref="AY59">_xlfn.IFS($D59="","",AND(AW59=$C59,AX59=$D59),3,($C59-$D59)/MAX(ABS($C59-$D59),1)=(AW59-AX59)/MAX(ABS(AW59-AX59),1),1,TRUE,0)</f>
        <v/>
      </c>
      <c r="AZ59" s="18"/>
      <c r="BA59" s="19"/>
      <c r="BB59" s="33" t="str" cm="1">
        <f t="array" ref="BB59">_xlfn.IFS($D59="","",AND(AZ59=$C59,BA59=$D59),3,($C59-$D59)/MAX(ABS($C59-$D59),1)=(AZ59-BA59)/MAX(ABS(AZ59-BA59),1),1,TRUE,0)</f>
        <v/>
      </c>
      <c r="BC59" s="18"/>
      <c r="BD59" s="19"/>
      <c r="BE59" s="33" t="str" cm="1">
        <f t="array" ref="BE59">_xlfn.IFS($D59="","",AND(BC59=$C59,BD59=$D59),3,($C59-$D59)/MAX(ABS($C59-$D59),1)=(BC59-BD59)/MAX(ABS(BC59-BD59),1),1,TRUE,0)</f>
        <v/>
      </c>
      <c r="BF59" s="18"/>
      <c r="BG59" s="19"/>
      <c r="BH59" s="33" t="str" cm="1">
        <f t="array" ref="BH59">_xlfn.IFS($D59="","",AND(BF59=$C59,BG59=$D59),3,($C59-$D59)/MAX(ABS($C59-$D59),1)=(BF59-BG59)/MAX(ABS(BF59-BG59),1),1,TRUE,0)</f>
        <v/>
      </c>
      <c r="BI59" s="18"/>
      <c r="BJ59" s="19"/>
      <c r="BK59" s="33" t="str" cm="1">
        <f t="array" ref="BK59">_xlfn.IFS($D59="","",AND(BI59=$C59,BJ59=$D59),3,($C59-$D59)/MAX(ABS($C59-$D59),1)=(BI59-BJ59)/MAX(ABS(BI59-BJ59),1),1,TRUE,0)</f>
        <v/>
      </c>
      <c r="BL59" s="18"/>
      <c r="BM59" s="19"/>
      <c r="BN59" s="33" t="str" cm="1">
        <f t="array" ref="BN59">_xlfn.IFS($D59="","",AND(BL59=$C59,BM59=$D59),3,($C59-$D59)/MAX(ABS($C59-$D59),1)=(BL59-BM59)/MAX(ABS(BL59-BM59),1),1,TRUE,0)</f>
        <v/>
      </c>
      <c r="BO59" s="18"/>
      <c r="BP59" s="19"/>
      <c r="BQ59" s="33" t="str" cm="1">
        <f t="array" ref="BQ59">_xlfn.IFS($D59="","",AND(BO59=$C59,BP59=$D59),3,($C59-$D59)/MAX(ABS($C59-$D59),1)=(BO59-BP59)/MAX(ABS(BO59-BP59),1),1,TRUE,0)</f>
        <v/>
      </c>
      <c r="BR59" s="18"/>
      <c r="BS59" s="19"/>
      <c r="BT59" s="33" t="str" cm="1">
        <f t="array" ref="BT59">_xlfn.IFS($D59="","",AND(BR59=$C59,BS59=$D59),3,($C59-$D59)/MAX(ABS($C59-$D59),1)=(BR59-BS59)/MAX(ABS(BR59-BS59),1),1,TRUE,0)</f>
        <v/>
      </c>
      <c r="BU59" s="18"/>
      <c r="BV59" s="19"/>
      <c r="BW59" s="33" t="str" cm="1">
        <f t="array" ref="BW59">_xlfn.IFS($D59="","",AND(BU59=$C59,BV59=$D59),3,($C59-$D59)/MAX(ABS($C59-$D59),1)=(BU59-BV59)/MAX(ABS(BU59-BV59),1),1,TRUE,0)</f>
        <v/>
      </c>
      <c r="BX59" s="18"/>
      <c r="BY59" s="19"/>
      <c r="BZ59" s="33" t="str" cm="1">
        <f t="array" ref="BZ59">_xlfn.IFS($D59="","",AND(BX59=$C59,BY59=$D59),3,($C59-$D59)/MAX(ABS($C59-$D59),1)=(BX59-BY59)/MAX(ABS(BX59-BY59),1),1,TRUE,0)</f>
        <v/>
      </c>
      <c r="CA59" s="18"/>
      <c r="CB59" s="19"/>
      <c r="CC59" s="33" t="str" cm="1">
        <f t="array" ref="CC59">_xlfn.IFS($D59="","",AND(CA59=$C59,CB59=$D59),3,($C59-$D59)/MAX(ABS($C59-$D59),1)=(CA59-CB59)/MAX(ABS(CA59-CB59),1),1,TRUE,0)</f>
        <v/>
      </c>
      <c r="CD59" s="18"/>
      <c r="CE59" s="19"/>
      <c r="CF59" s="33" t="str" cm="1">
        <f t="array" ref="CF59">_xlfn.IFS($D59="","",AND(CD59=$C59,CE59=$D59),3,($C59-$D59)/MAX(ABS($C59-$D59),1)=(CD59-CE59)/MAX(ABS(CD59-CE59),1),1,TRUE,0)</f>
        <v/>
      </c>
      <c r="CG59" s="18"/>
      <c r="CH59" s="19"/>
      <c r="CI59" s="33" t="str" cm="1">
        <f t="array" ref="CI59">_xlfn.IFS($D59="","",AND(CG59=$C59,CH59=$D59),3,($C59-$D59)/MAX(ABS($C59-$D59),1)=(CG59-CH59)/MAX(ABS(CG59-CH59),1),1,TRUE,0)</f>
        <v/>
      </c>
      <c r="CJ59" s="18"/>
      <c r="CK59" s="19"/>
      <c r="CL59" s="33" t="str" cm="1">
        <f t="array" ref="CL59">_xlfn.IFS($D59="","",AND(CJ59=$C59,CK59=$D59),3,($C59-$D59)/MAX(ABS($C59-$D59),1)=(CJ59-CK59)/MAX(ABS(CJ59-CK59),1),1,TRUE,0)</f>
        <v/>
      </c>
      <c r="CM59" s="18"/>
      <c r="CN59" s="19"/>
      <c r="CO59" s="33" t="str" cm="1">
        <f t="array" ref="CO59">_xlfn.IFS($D59="","",AND(CM59=$C59,CN59=$D59),3,($C59-$D59)/MAX(ABS($C59-$D59),1)=(CM59-CN59)/MAX(ABS(CM59-CN59),1),1,TRUE,0)</f>
        <v/>
      </c>
      <c r="CP59" s="18"/>
      <c r="CQ59" s="19"/>
      <c r="CR59" s="33" t="str" cm="1">
        <f t="array" ref="CR59">_xlfn.IFS($D59="","",AND(CP59=$C59,CQ59=$D59),3,($C59-$D59)/MAX(ABS($C59-$D59),1)=(CP59-CQ59)/MAX(ABS(CP59-CQ59),1),1,TRUE,0)</f>
        <v/>
      </c>
      <c r="CS59" s="18"/>
      <c r="CT59" s="19"/>
      <c r="CU59" s="33" t="str" cm="1">
        <f t="array" ref="CU59">_xlfn.IFS($D59="","",AND(CS59=$C59,CT59=$D59),3,($C59-$D59)/MAX(ABS($C59-$D59),1)=(CS59-CT59)/MAX(ABS(CS59-CT59),1),1,TRUE,0)</f>
        <v/>
      </c>
      <c r="CV59" s="18"/>
      <c r="CW59" s="19"/>
      <c r="CX59" s="33" t="str" cm="1">
        <f t="array" ref="CX59">_xlfn.IFS($D59="","",AND(CV59=$C59,CW59=$D59),3,($C59-$D59)/MAX(ABS($C59-$D59),1)=(CV59-CW59)/MAX(ABS(CV59-CW59),1),1,TRUE,0)</f>
        <v/>
      </c>
      <c r="CY59" s="18"/>
      <c r="CZ59" s="19"/>
      <c r="DA59" s="33" t="str" cm="1">
        <f t="array" ref="DA59">_xlfn.IFS($D59="","",AND(CY59=$C59,CZ59=$D59),3,($C59-$D59)/MAX(ABS($C59-$D59),1)=(CY59-CZ59)/MAX(ABS(CY59-CZ59),1),1,TRUE,0)</f>
        <v/>
      </c>
      <c r="DB59" s="37"/>
      <c r="DC59" s="38"/>
      <c r="DD59" s="33" t="str" cm="1">
        <f t="array" ref="DD59">_xlfn.IFS($D59="","",AND(DB59=$C59,DC59=$D59),3,($C59-$D59)/MAX(ABS($C59-$D59),1)=(DB59-DC59)/MAX(ABS(DB59-DC59),1),1,TRUE,0)</f>
        <v/>
      </c>
      <c r="DE59" s="18"/>
      <c r="DF59" s="19"/>
      <c r="DG59" s="33" t="str" cm="1">
        <f t="array" ref="DG59">_xlfn.IFS($D59="","",AND(DE59=$C59,DF59=$D59),3,($C59-$D59)/MAX(ABS($C59-$D59),1)=(DE59-DF59)/MAX(ABS(DE59-DF59),1),1,TRUE,0)</f>
        <v/>
      </c>
      <c r="DH59" s="18"/>
      <c r="DI59" s="19"/>
      <c r="DJ59" s="33" t="str" cm="1">
        <f t="array" ref="DJ59">_xlfn.IFS($D59="","",AND(DH59=$C59,DI59=$D59),3,($C59-$D59)/MAX(ABS($C59-$D59),1)=(DH59-DI59)/MAX(ABS(DH59-DI59),1),1,TRUE,0)</f>
        <v/>
      </c>
      <c r="DK59" s="18"/>
      <c r="DL59" s="19"/>
      <c r="DM59" s="33" t="str" cm="1">
        <f t="array" ref="DM59">_xlfn.IFS($D59="","",AND(DK59=$C59,DL59=$D59),3,($C59-$D59)/MAX(ABS($C59-$D59),1)=(DK59-DL59)/MAX(ABS(DK59-DL59),1),1,TRUE,0)</f>
        <v/>
      </c>
      <c r="DN59" s="18"/>
      <c r="DO59" s="19"/>
      <c r="DP59" s="33" t="str" cm="1">
        <f t="array" ref="DP59">_xlfn.IFS($D59="","",AND(DN59=$C59,DO59=$D59),3,($C59-$D59)/MAX(ABS($C59-$D59),1)=(DN59-DO59)/MAX(ABS(DN59-DO59),1),1,TRUE,0)</f>
        <v/>
      </c>
      <c r="DQ59" s="18"/>
      <c r="DR59" s="19"/>
      <c r="DS59" s="33" t="str" cm="1">
        <f t="array" ref="DS59">_xlfn.IFS($D59="","",AND(DQ59=$C59,DR59=$D59),3,($C59-$D59)/MAX(ABS($C59-$D59),1)=(DQ59-DR59)/MAX(ABS(DQ59-DR59),1),1,TRUE,0)</f>
        <v/>
      </c>
      <c r="DT59" s="18"/>
      <c r="DU59" s="19"/>
      <c r="DV59" s="33" t="str" cm="1">
        <f t="array" ref="DV59">_xlfn.IFS($D59="","",AND(DT59=$C59,DU59=$D59),3,($C59-$D59)/MAX(ABS($C59-$D59),1)=(DT59-DU59)/MAX(ABS(DT59-DU59),1),1,TRUE,0)</f>
        <v/>
      </c>
      <c r="DW59" s="18"/>
      <c r="DX59" s="19"/>
      <c r="DY59" s="33" t="str" cm="1">
        <f t="array" ref="DY59">_xlfn.IFS($D59="","",AND(DW59=$C59,DX59=$D59),3,($C59-$D59)/MAX(ABS($C59-$D59),1)=(DW59-DX59)/MAX(ABS(DW59-DX59),1),1,TRUE,0)</f>
        <v/>
      </c>
      <c r="DZ59" s="18"/>
      <c r="EA59" s="19"/>
      <c r="EB59" s="33" t="str" cm="1">
        <f t="array" ref="EB59">_xlfn.IFS($D59="","",AND(DZ59=$C59,EA59=$D59),3,($C59-$D59)/MAX(ABS($C59-$D59),1)=(DZ59-EA59)/MAX(ABS(DZ59-EA59),1),1,TRUE,0)</f>
        <v/>
      </c>
      <c r="EC59" s="18"/>
      <c r="ED59" s="19"/>
      <c r="EE59" s="33" t="str" cm="1">
        <f t="array" ref="EE59">_xlfn.IFS($D59="","",AND(EC59=$C59,ED59=$D59),3,($C59-$D59)/MAX(ABS($C59-$D59),1)=(EC59-ED59)/MAX(ABS(EC59-ED59),1),1,TRUE,0)</f>
        <v/>
      </c>
      <c r="EF59" s="18"/>
      <c r="EG59" s="19"/>
      <c r="EH59" s="33" t="str" cm="1">
        <f t="array" ref="EH59">_xlfn.IFS($D59="","",AND(EF59=$C59,EG59=$D59),3,($C59-$D59)/MAX(ABS($C59-$D59),1)=(EF59-EG59)/MAX(ABS(EF59-EG59),1),1,TRUE,0)</f>
        <v/>
      </c>
      <c r="EI59" s="50"/>
      <c r="EJ59" s="51"/>
      <c r="EK59" s="33" t="str" cm="1">
        <f t="array" ref="EK59">_xlfn.IFS($D59="","",AND(EI59=$C59,EJ59=$D59),3,($C59-$D59)/MAX(ABS($C59-$D59),1)=(EI59-EJ59)/MAX(ABS(EI59-EJ59),1),1,TRUE,0)</f>
        <v/>
      </c>
      <c r="EL59" s="18"/>
      <c r="EM59" s="19"/>
      <c r="EN59" s="33" t="str" cm="1">
        <f t="array" ref="EN59">_xlfn.IFS($D59="","",AND(EL59=$C59,EM59=$D59),3,($C59-$D59)/MAX(ABS($C59-$D59),1)=(EL59-EM59)/MAX(ABS(EL59-EM59),1),1,TRUE,0)</f>
        <v/>
      </c>
      <c r="EO59" s="18"/>
      <c r="EP59" s="19"/>
      <c r="EQ59" s="33" t="str" cm="1">
        <f t="array" ref="EQ59">_xlfn.IFS($D59="","",AND(EO59=$C59,EP59=$D59),3,($C59-$D59)/MAX(ABS($C59-$D59),1)=(EO59-EP59)/MAX(ABS(EO59-EP59),1),1,TRUE,0)</f>
        <v/>
      </c>
      <c r="ER59" s="18"/>
      <c r="ES59" s="19"/>
      <c r="ET59" s="33" t="str" cm="1">
        <f t="array" ref="ET59">_xlfn.IFS($D59="","",AND(ER59=$C59,ES59=$D59),3,($C59-$D59)/MAX(ABS($C59-$D59),1)=(ER59-ES59)/MAX(ABS(ER59-ES59),1),1,TRUE,0)</f>
        <v/>
      </c>
      <c r="EU59" s="18"/>
      <c r="EV59" s="19"/>
      <c r="EW59" s="33" t="str" cm="1">
        <f t="array" ref="EW59">_xlfn.IFS($D59="","",AND(EU59=$C59,EV59=$D59),3,($C59-$D59)/MAX(ABS($C59-$D59),1)=(EU59-EV59)/MAX(ABS(EU59-EV59),1),1,TRUE,0)</f>
        <v/>
      </c>
      <c r="EX59" s="18"/>
      <c r="EY59" s="19"/>
      <c r="EZ59" s="33" t="str" cm="1">
        <f t="array" ref="EZ59">_xlfn.IFS($D59="","",AND(EX59=$C59,EY59=$D59),3,($C59-$D59)/MAX(ABS($C59-$D59),1)=(EX59-EY59)/MAX(ABS(EX59-EY59),1),1,TRUE,0)</f>
        <v/>
      </c>
      <c r="FA59" s="18"/>
      <c r="FB59" s="19"/>
      <c r="FC59" s="33" t="str" cm="1">
        <f t="array" ref="FC59">_xlfn.IFS($D59="","",AND(FA59=$C59,FB59=$D59),3,($C59-$D59)/MAX(ABS($C59-$D59),1)=(FA59-FB59)/MAX(ABS(FA59-FB59),1),1,TRUE,0)</f>
        <v/>
      </c>
      <c r="FD59" s="18"/>
      <c r="FE59" s="19"/>
      <c r="FF59" s="33" t="str" cm="1">
        <f t="array" ref="FF59">_xlfn.IFS($D59="","",AND(FD59=$C59,FE59=$D59),3,($C59-$D59)/MAX(ABS($C59-$D59),1)=(FD59-FE59)/MAX(ABS(FD59-FE59),1),1,TRUE,0)</f>
        <v/>
      </c>
      <c r="FG59" s="18"/>
      <c r="FH59" s="19"/>
      <c r="FI59" s="33" t="str" cm="1">
        <f t="array" ref="FI59">_xlfn.IFS($D59="","",AND(FG59=$C59,FH59=$D59),3,($C59-$D59)/MAX(ABS($C59-$D59),1)=(FG59-FH59)/MAX(ABS(FG59-FH59),1),1,TRUE,0)</f>
        <v/>
      </c>
      <c r="FJ59" s="18"/>
      <c r="FK59" s="19"/>
      <c r="FL59" s="33" t="str" cm="1">
        <f t="array" ref="FL59">_xlfn.IFS($D59="","",AND(FJ59=$C59,FK59=$D59),3,($C59-$D59)/MAX(ABS($C59-$D59),1)=(FJ59-FK59)/MAX(ABS(FJ59-FK59),1),1,TRUE,0)</f>
        <v/>
      </c>
      <c r="FM59" s="18"/>
      <c r="FN59" s="19"/>
      <c r="FO59" s="33" t="str" cm="1">
        <f t="array" ref="FO59">_xlfn.IFS($D59="","",AND(FM59=$C59,FN59=$D59),3,($C59-$D59)/MAX(ABS($C59-$D59),1)=(FM59-FN59)/MAX(ABS(FM59-FN59),1),1,TRUE,0)</f>
        <v/>
      </c>
      <c r="FP59" s="18"/>
      <c r="FQ59" s="19"/>
      <c r="FR59" s="33" t="str" cm="1">
        <f t="array" ref="FR59">_xlfn.IFS($D59="","",AND(FP59=$C59,FQ59=$D59),3,($C59-$D59)/MAX(ABS($C59-$D59),1)=(FP59-FQ59)/MAX(ABS(FP59-FQ59),1),1,TRUE,0)</f>
        <v/>
      </c>
      <c r="FS59" s="18"/>
      <c r="FT59" s="19"/>
      <c r="FU59" s="33" t="str" cm="1">
        <f t="array" ref="FU59">_xlfn.IFS($D59="","",AND(FS59=$C59,FT59=$D59),3,($C59-$D59)/MAX(ABS($C59-$D59),1)=(FS59-FT59)/MAX(ABS(FS59-FT59),1),1,TRUE,0)</f>
        <v/>
      </c>
      <c r="FV59" s="18"/>
      <c r="FW59" s="19"/>
      <c r="FX59" s="33" t="str" cm="1">
        <f t="array" ref="FX59">_xlfn.IFS($D59="","",AND(FV59=$C59,FW59=$D59),3,($C59-$D59)/MAX(ABS($C59-$D59),1)=(FV59-FW59)/MAX(ABS(FV59-FW59),1),1,TRUE,0)</f>
        <v/>
      </c>
      <c r="FY59" s="18"/>
      <c r="FZ59" s="19"/>
      <c r="GA59" s="33" t="str" cm="1">
        <f t="array" ref="GA59">_xlfn.IFS($D59="","",AND(FY59=$C59,FZ59=$D59),3,($C59-$D59)/MAX(ABS($C59-$D59),1)=(FY59-FZ59)/MAX(ABS(FY59-FZ59),1),1,TRUE,0)</f>
        <v/>
      </c>
      <c r="GB59" s="18"/>
      <c r="GC59" s="19"/>
      <c r="GD59" s="33" t="str" cm="1">
        <f t="array" ref="GD59">_xlfn.IFS($D59="","",AND(GB59=$C59,GC59=$D59),3,($C59-$D59)/MAX(ABS($C59-$D59),1)=(GB59-GC59)/MAX(ABS(GB59-GC59),1),1,TRUE,0)</f>
        <v/>
      </c>
      <c r="GE59" s="52"/>
      <c r="GF59" s="19"/>
      <c r="GG59" s="33" t="str" cm="1">
        <f t="array" ref="GG59">_xlfn.IFS($D59="","",AND(GE59=$C59,GF59=$D59),3,($C59-$D59)/MAX(ABS($C59-$D59),1)=(GE59-GF59)/MAX(ABS(GE59-GF59),1),1,TRUE,0)</f>
        <v/>
      </c>
      <c r="GH59" s="18"/>
      <c r="GI59" s="19"/>
      <c r="GJ59" s="33" t="str" cm="1">
        <f t="array" ref="GJ59">_xlfn.IFS($D59="","",AND(GH59=$C59,GI59=$D59),3,($C59-$D59)/MAX(ABS($C59-$D59),1)=(GH59-GI59)/MAX(ABS(GH59-GI59),1),1,TRUE,0)</f>
        <v/>
      </c>
      <c r="GK59" s="18"/>
      <c r="GL59" s="19"/>
      <c r="GM59" s="33" t="str" cm="1">
        <f t="array" ref="GM59">_xlfn.IFS($D59="","",AND(GK59=$C59,GL59=$D59),3,($C59-$D59)/MAX(ABS($C59-$D59),1)=(GK59-GL59)/MAX(ABS(GK59-GL59),1),1,TRUE,0)</f>
        <v/>
      </c>
      <c r="GN59" s="18"/>
      <c r="GO59" s="19"/>
      <c r="GP59" s="33" t="str" cm="1">
        <f t="array" ref="GP59">_xlfn.IFS($D59="","",AND(GN59=$C59,GO59=$D59),3,($C59-$D59)/MAX(ABS($C59-$D59),1)=(GN59-GO59)/MAX(ABS(GN59-GO59),1),1,TRUE,0)</f>
        <v/>
      </c>
      <c r="GQ59" s="18"/>
      <c r="GR59" s="19"/>
      <c r="GS59" s="33" t="str" cm="1">
        <f t="array" ref="GS59">_xlfn.IFS($D59="","",AND(GQ59=$C59,GR59=$D59),3,($C59-$D59)/MAX(ABS($C59-$D59),1)=(GQ59-GR59)/MAX(ABS(GQ59-GR59),1),1,TRUE,0)</f>
        <v/>
      </c>
      <c r="GT59" s="18"/>
      <c r="GU59" s="19"/>
      <c r="GV59" s="33" t="str" cm="1">
        <f t="array" ref="GV59">_xlfn.IFS($D59="","",AND(GT59=$C59,GU59=$D59),3,($C59-$D59)/MAX(ABS($C59-$D59),1)=(GT59-GU59)/MAX(ABS(GT59-GU59),1),1,TRUE,0)</f>
        <v/>
      </c>
      <c r="GW59" s="18"/>
      <c r="GX59" s="19"/>
      <c r="GY59" s="33" t="str" cm="1">
        <f t="array" ref="GY59">_xlfn.IFS($D59="","",AND(GW59=$C59,GX59=$D59),3,($C59-$D59)/MAX(ABS($C59-$D59),1)=(GW59-GX59)/MAX(ABS(GW59-GX59),1),1,TRUE,0)</f>
        <v/>
      </c>
      <c r="GZ59" s="18"/>
      <c r="HA59" s="19"/>
      <c r="HB59" s="33" t="str" cm="1">
        <f t="array" ref="HB59">_xlfn.IFS($D59="","",AND(GZ59=$C59,HA59=$D59),3,($C59-$D59)/MAX(ABS($C59-$D59),1)=(GZ59-HA59)/MAX(ABS(GZ59-HA59),1),1,TRUE,0)</f>
        <v/>
      </c>
      <c r="HC59" s="18"/>
      <c r="HD59" s="19"/>
      <c r="HE59" s="33" t="str" cm="1">
        <f t="array" ref="HE59">_xlfn.IFS($D59="","",AND(HC59=$C59,HD59=$D59),3,($C59-$D59)/MAX(ABS($C59-$D59),1)=(HC59-HD59)/MAX(ABS(HC59-HD59),1),1,TRUE,0)</f>
        <v/>
      </c>
      <c r="HF59" s="18"/>
      <c r="HG59" s="19"/>
      <c r="HH59" s="33" t="str" cm="1">
        <f t="array" ref="HH59">_xlfn.IFS($D59="","",AND(HF59=$C59,HG59=$D59),3,($C59-$D59)/MAX(ABS($C59-$D59),1)=(HF59-HG59)/MAX(ABS(HF59-HG59),1),1,TRUE,0)</f>
        <v/>
      </c>
      <c r="HI59" s="18"/>
      <c r="HJ59" s="19"/>
      <c r="HK59" s="33" t="str" cm="1">
        <f t="array" ref="HK59">_xlfn.IFS($D59="","",AND(HI59=$C59,HJ59=$D59),3,($C59-$D59)/MAX(ABS($C59-$D59),1)=(HI59-HJ59)/MAX(ABS(HI59-HJ59),1),1,TRUE,0)</f>
        <v/>
      </c>
      <c r="HL59" s="18"/>
      <c r="HM59" s="19"/>
      <c r="HN59" s="33" t="str" cm="1">
        <f t="array" ref="HN59">_xlfn.IFS($D59="","",AND(HL59=$C59,HM59=$D59),3,($C59-$D59)/MAX(ABS($C59-$D59),1)=(HL59-HM59)/MAX(ABS(HL59-HM59),1),1,TRUE,0)</f>
        <v/>
      </c>
      <c r="HO59" s="18"/>
      <c r="HP59" s="19"/>
      <c r="HQ59" s="33" t="str" cm="1">
        <f t="array" ref="HQ59">_xlfn.IFS($D59="","",AND(HO59=$C59,HP59=$D59),3,($C59-$D59)/MAX(ABS($C59-$D59),1)=(HO59-HP59)/MAX(ABS(HO59-HP59),1),1,TRUE,0)</f>
        <v/>
      </c>
      <c r="HR59" s="18"/>
      <c r="HS59" s="19"/>
      <c r="HT59" s="33" t="str" cm="1">
        <f t="array" ref="HT59">_xlfn.IFS($D59="","",AND(HR59=$C59,HS59=$D59),3,($C59-$D59)/MAX(ABS($C59-$D59),1)=(HR59-HS59)/MAX(ABS(HR59-HS59),1),1,TRUE,0)</f>
        <v/>
      </c>
      <c r="HU59" s="18"/>
      <c r="HV59" s="19"/>
      <c r="HW59" s="33" t="str" cm="1">
        <f t="array" ref="HW59">_xlfn.IFS($D59="","",AND(HU59=$C59,HV59=$D59),3,($C59-$D59)/MAX(ABS($C59-$D59),1)=(HU59-HV59)/MAX(ABS(HU59-HV59),1),1,TRUE,0)</f>
        <v/>
      </c>
      <c r="HX59" s="18"/>
      <c r="HY59" s="19"/>
      <c r="HZ59" s="33" t="str" cm="1">
        <f t="array" ref="HZ59">_xlfn.IFS($D59="","",AND(HX59=$C59,HY59=$D59),3,($C59-$D59)/MAX(ABS($C59-$D59),1)=(HX59-HY59)/MAX(ABS(HX59-HY59),1),1,TRUE,0)</f>
        <v/>
      </c>
      <c r="IA59" s="18"/>
      <c r="IB59" s="19"/>
      <c r="IC59" s="33" t="str" cm="1">
        <f t="array" ref="IC59">_xlfn.IFS($D59="","",AND(IA59=$C59,IB59=$D59),3,($C59-$D59)/MAX(ABS($C59-$D59),1)=(IA59-IB59)/MAX(ABS(IA59-IB59),1),1,TRUE,0)</f>
        <v/>
      </c>
      <c r="ID59" s="18"/>
      <c r="IE59" s="19"/>
      <c r="IF59" s="33" t="str" cm="1">
        <f t="array" ref="IF59">_xlfn.IFS($D59="","",AND(ID59=$C59,IE59=$D59),3,($C59-$D59)/MAX(ABS($C59-$D59),1)=(ID59-IE59)/MAX(ABS(ID59-IE59),1),1,TRUE,0)</f>
        <v/>
      </c>
      <c r="IG59" s="18"/>
      <c r="IH59" s="19"/>
      <c r="II59" s="33" t="str" cm="1">
        <f t="array" ref="II59">_xlfn.IFS($D59="","",AND(IG59=$C59,IH59=$D59),3,($C59-$D59)/MAX(ABS($C59-$D59),1)=(IG59-IH59)/MAX(ABS(IG59-IH59),1),1,TRUE,0)</f>
        <v/>
      </c>
      <c r="IJ59" s="18"/>
      <c r="IK59" s="19"/>
      <c r="IL59" s="33" t="str" cm="1">
        <f t="array" ref="IL59">_xlfn.IFS($D59="","",AND(IJ59=$C59,IK59=$D59),3,($C59-$D59)/MAX(ABS($C59-$D59),1)=(IJ59-IK59)/MAX(ABS(IJ59-IK59),1),1,TRUE,0)</f>
        <v/>
      </c>
      <c r="IM59" s="18"/>
      <c r="IN59" s="19"/>
      <c r="IO59" s="33" t="str" cm="1">
        <f t="array" ref="IO59">_xlfn.IFS($D59="","",AND(IM59=$C59,IN59=$D59),3,($C59-$D59)/MAX(ABS($C59-$D59),1)=(IM59-IN59)/MAX(ABS(IM59-IN59),1),1,TRUE,0)</f>
        <v/>
      </c>
      <c r="IP59" s="18"/>
      <c r="IQ59" s="19"/>
      <c r="IR59" s="33" t="str" cm="1">
        <f t="array" ref="IR59">_xlfn.IFS($D59="","",AND(IP59=$C59,IQ59=$D59),3,($C59-$D59)/MAX(ABS($C59-$D59),1)=(IP59-IQ59)/MAX(ABS(IP59-IQ59),1),1,TRUE,0)</f>
        <v/>
      </c>
      <c r="IS59" s="18"/>
      <c r="IT59" s="19"/>
      <c r="IU59" s="33" t="str" cm="1">
        <f t="array" ref="IU59">_xlfn.IFS($D59="","",AND(IS59=$C59,IT59=$D59),3,($C59-$D59)/MAX(ABS($C59-$D59),1)=(IS59-IT59)/MAX(ABS(IS59-IT59),1),1,TRUE,0)</f>
        <v/>
      </c>
      <c r="IV59" s="18"/>
      <c r="IW59" s="19"/>
      <c r="IX59" s="33" t="str" cm="1">
        <f t="array" ref="IX59">_xlfn.IFS($D59="","",AND(IV59=$C59,IW59=$D59),3,($C59-$D59)/MAX(ABS($C59-$D59),1)=(IV59-IW59)/MAX(ABS(IV59-IW59),1),1,TRUE,0)</f>
        <v/>
      </c>
      <c r="IY59" s="18"/>
      <c r="IZ59" s="19"/>
      <c r="JA59" s="33" t="str" cm="1">
        <f t="array" ref="JA59">_xlfn.IFS($D59="","",AND(IY59=$C59,IZ59=$D59),3,($C59-$D59)/MAX(ABS($C59-$D59),1)=(IY59-IZ59)/MAX(ABS(IY59-IZ59),1),1,TRUE,0)</f>
        <v/>
      </c>
      <c r="JB59" s="18"/>
      <c r="JC59" s="19"/>
      <c r="JD59" s="33" t="str" cm="1">
        <f t="array" ref="JD59">_xlfn.IFS($D59="","",AND(JB59=$C59,JC59=$D59),3,($C59-$D59)/MAX(ABS($C59-$D59),1)=(JB59-JC59)/MAX(ABS(JB59-JC59),1),1,TRUE,0)</f>
        <v/>
      </c>
    </row>
    <row r="60" spans="1:264" ht="15" thickBot="1" x14ac:dyDescent="0.35">
      <c r="A60" s="22">
        <v>46199</v>
      </c>
      <c r="B60" s="28" t="s">
        <v>52</v>
      </c>
      <c r="C60" s="53" t="str" cm="1">
        <f t="array" ref="C60">_xlfn.LET(
_xlpm.x,_xlfn.XLOOKUP(1,(Scores_Fixtures[Date]=A60)*(Scores_Fixtures[Home.1]=B60),Scores_Fixtures[Score.1],""),
IF(_xlpm.x="","",_xlpm.x)
)</f>
        <v/>
      </c>
      <c r="D60" s="53" t="str" cm="1">
        <f t="array" ref="D60">_xlfn.LET(
_xlpm.x,_xlfn.XLOOKUP(1,(Scores_Fixtures[Date]=A60)*(Scores_Fixtures[Home.1]=B60),Scores_Fixtures[Score.2],""),
IF(_xlpm.x="","",_xlpm.x)
)</f>
        <v/>
      </c>
      <c r="E60" s="12" t="s">
        <v>10</v>
      </c>
      <c r="F60" s="15"/>
      <c r="G60" s="53"/>
      <c r="H60" s="53"/>
      <c r="I60" s="33" t="str" cm="1">
        <f t="array" ref="I60">_xlfn.IFS($D60="","",AND(G60=$C60,H60=$D60),3,($C60-$D60)/MAX(ABS($C60-$D60),1)=(G60-H60)/MAX(ABS(G60-H60),1),1,TRUE,0)</f>
        <v/>
      </c>
      <c r="J60" s="18"/>
      <c r="K60" s="19"/>
      <c r="L60" s="33" t="str" cm="1">
        <f t="array" ref="L60">_xlfn.IFS($D60="","",AND(J60=$C60,K60=$D60),3,($C60-$D60)/MAX(ABS($C60-$D60),1)=(J60-K60)/MAX(ABS(J60-K60),1),1,TRUE,0)</f>
        <v/>
      </c>
      <c r="M60" s="18"/>
      <c r="N60" s="19"/>
      <c r="O60" s="33" t="str" cm="1">
        <f t="array" ref="O60">_xlfn.IFS($D60="","",AND(M60=$C60,N60=$D60),3,($C60-$D60)/MAX(ABS($C60-$D60),1)=(M60-N60)/MAX(ABS(M60-N60),1),1,TRUE,0)</f>
        <v/>
      </c>
      <c r="P60" s="18"/>
      <c r="Q60" s="19"/>
      <c r="R60" s="33" t="str" cm="1">
        <f t="array" ref="R60">_xlfn.IFS($D60="","",AND(P60=$C60,Q60=$D60),3,($C60-$D60)/MAX(ABS($C60-$D60),1)=(P60-Q60)/MAX(ABS(P60-Q60),1),1,TRUE,0)</f>
        <v/>
      </c>
      <c r="S60" s="18"/>
      <c r="T60" s="19"/>
      <c r="U60" s="33" t="str" cm="1">
        <f t="array" ref="U60">_xlfn.IFS($D60="","",AND(S60=$C60,T60=$D60),3,($C60-$D60)/MAX(ABS($C60-$D60),1)=(S60-T60)/MAX(ABS(S60-T60),1),1,TRUE,0)</f>
        <v/>
      </c>
      <c r="V60" s="18"/>
      <c r="W60" s="19"/>
      <c r="X60" s="33" t="str" cm="1">
        <f t="array" ref="X60">_xlfn.IFS($D60="","",AND(V60=$C60,W60=$D60),3,($C60-$D60)/MAX(ABS($C60-$D60),1)=(V60-W60)/MAX(ABS(V60-W60),1),1,TRUE,0)</f>
        <v/>
      </c>
      <c r="Y60" s="18"/>
      <c r="Z60" s="19"/>
      <c r="AA60" s="33" t="str" cm="1">
        <f t="array" ref="AA60">_xlfn.IFS($D60="","",AND(Y60=$C60,Z60=$D60),3,($C60-$D60)/MAX(ABS($C60-$D60),1)=(Y60-Z60)/MAX(ABS(Y60-Z60),1),1,TRUE,0)</f>
        <v/>
      </c>
      <c r="AB60" s="18"/>
      <c r="AC60" s="19"/>
      <c r="AD60" s="33" t="str" cm="1">
        <f t="array" ref="AD60">_xlfn.IFS($D60="","",AND(AB60=$C60,AC60=$D60),3,($C60-$D60)/MAX(ABS($C60-$D60),1)=(AB60-AC60)/MAX(ABS(AB60-AC60),1),1,TRUE,0)</f>
        <v/>
      </c>
      <c r="AE60" s="18"/>
      <c r="AF60" s="19"/>
      <c r="AG60" s="33" t="str" cm="1">
        <f t="array" ref="AG60">_xlfn.IFS($D60="","",AND(AE60=$C60,AF60=$D60),3,($C60-$D60)/MAX(ABS($C60-$D60),1)=(AE60-AF60)/MAX(ABS(AE60-AF60),1),1,TRUE,0)</f>
        <v/>
      </c>
      <c r="AH60" s="18"/>
      <c r="AI60" s="19"/>
      <c r="AJ60" s="33" t="str" cm="1">
        <f t="array" ref="AJ60">_xlfn.IFS($D60="","",AND(AH60=$C60,AI60=$D60),3,($C60-$D60)/MAX(ABS($C60-$D60),1)=(AH60-AI60)/MAX(ABS(AH60-AI60),1),1,TRUE,0)</f>
        <v/>
      </c>
      <c r="AK60" s="18"/>
      <c r="AL60" s="19"/>
      <c r="AM60" s="33" t="str" cm="1">
        <f t="array" ref="AM60">_xlfn.IFS($D60="","",AND(AK60=$C60,AL60=$D60),3,($C60-$D60)/MAX(ABS($C60-$D60),1)=(AK60-AL60)/MAX(ABS(AK60-AL60),1),1,TRUE,0)</f>
        <v/>
      </c>
      <c r="AN60" s="18"/>
      <c r="AO60" s="19"/>
      <c r="AP60" s="33" t="str" cm="1">
        <f t="array" ref="AP60">_xlfn.IFS($D60="","",AND(AN60=$C60,AO60=$D60),3,($C60-$D60)/MAX(ABS($C60-$D60),1)=(AN60-AO60)/MAX(ABS(AN60-AO60),1),1,TRUE,0)</f>
        <v/>
      </c>
      <c r="AQ60" s="18"/>
      <c r="AR60" s="19"/>
      <c r="AS60" s="33" t="str" cm="1">
        <f t="array" ref="AS60">_xlfn.IFS($D60="","",AND(AQ60=$C60,AR60=$D60),3,($C60-$D60)/MAX(ABS($C60-$D60),1)=(AQ60-AR60)/MAX(ABS(AQ60-AR60),1),1,TRUE,0)</f>
        <v/>
      </c>
      <c r="AT60" s="18"/>
      <c r="AU60" s="19"/>
      <c r="AV60" s="33" t="str" cm="1">
        <f t="array" ref="AV60">_xlfn.IFS($D60="","",AND(AT60=$C60,AU60=$D60),3,($C60-$D60)/MAX(ABS($C60-$D60),1)=(AT60-AU60)/MAX(ABS(AT60-AU60),1),1,TRUE,0)</f>
        <v/>
      </c>
      <c r="AW60" s="18"/>
      <c r="AX60" s="19"/>
      <c r="AY60" s="33" t="str" cm="1">
        <f t="array" ref="AY60">_xlfn.IFS($D60="","",AND(AW60=$C60,AX60=$D60),3,($C60-$D60)/MAX(ABS($C60-$D60),1)=(AW60-AX60)/MAX(ABS(AW60-AX60),1),1,TRUE,0)</f>
        <v/>
      </c>
      <c r="AZ60" s="18"/>
      <c r="BA60" s="19"/>
      <c r="BB60" s="33" t="str" cm="1">
        <f t="array" ref="BB60">_xlfn.IFS($D60="","",AND(AZ60=$C60,BA60=$D60),3,($C60-$D60)/MAX(ABS($C60-$D60),1)=(AZ60-BA60)/MAX(ABS(AZ60-BA60),1),1,TRUE,0)</f>
        <v/>
      </c>
      <c r="BC60" s="18"/>
      <c r="BD60" s="19"/>
      <c r="BE60" s="33" t="str" cm="1">
        <f t="array" ref="BE60">_xlfn.IFS($D60="","",AND(BC60=$C60,BD60=$D60),3,($C60-$D60)/MAX(ABS($C60-$D60),1)=(BC60-BD60)/MAX(ABS(BC60-BD60),1),1,TRUE,0)</f>
        <v/>
      </c>
      <c r="BF60" s="18"/>
      <c r="BG60" s="19"/>
      <c r="BH60" s="33" t="str" cm="1">
        <f t="array" ref="BH60">_xlfn.IFS($D60="","",AND(BF60=$C60,BG60=$D60),3,($C60-$D60)/MAX(ABS($C60-$D60),1)=(BF60-BG60)/MAX(ABS(BF60-BG60),1),1,TRUE,0)</f>
        <v/>
      </c>
      <c r="BI60" s="18"/>
      <c r="BJ60" s="19"/>
      <c r="BK60" s="33" t="str" cm="1">
        <f t="array" ref="BK60">_xlfn.IFS($D60="","",AND(BI60=$C60,BJ60=$D60),3,($C60-$D60)/MAX(ABS($C60-$D60),1)=(BI60-BJ60)/MAX(ABS(BI60-BJ60),1),1,TRUE,0)</f>
        <v/>
      </c>
      <c r="BL60" s="18"/>
      <c r="BM60" s="19"/>
      <c r="BN60" s="33" t="str" cm="1">
        <f t="array" ref="BN60">_xlfn.IFS($D60="","",AND(BL60=$C60,BM60=$D60),3,($C60-$D60)/MAX(ABS($C60-$D60),1)=(BL60-BM60)/MAX(ABS(BL60-BM60),1),1,TRUE,0)</f>
        <v/>
      </c>
      <c r="BO60" s="18"/>
      <c r="BP60" s="19"/>
      <c r="BQ60" s="33" t="str" cm="1">
        <f t="array" ref="BQ60">_xlfn.IFS($D60="","",AND(BO60=$C60,BP60=$D60),3,($C60-$D60)/MAX(ABS($C60-$D60),1)=(BO60-BP60)/MAX(ABS(BO60-BP60),1),1,TRUE,0)</f>
        <v/>
      </c>
      <c r="BR60" s="18"/>
      <c r="BS60" s="19"/>
      <c r="BT60" s="33" t="str" cm="1">
        <f t="array" ref="BT60">_xlfn.IFS($D60="","",AND(BR60=$C60,BS60=$D60),3,($C60-$D60)/MAX(ABS($C60-$D60),1)=(BR60-BS60)/MAX(ABS(BR60-BS60),1),1,TRUE,0)</f>
        <v/>
      </c>
      <c r="BU60" s="18"/>
      <c r="BV60" s="19"/>
      <c r="BW60" s="33" t="str" cm="1">
        <f t="array" ref="BW60">_xlfn.IFS($D60="","",AND(BU60=$C60,BV60=$D60),3,($C60-$D60)/MAX(ABS($C60-$D60),1)=(BU60-BV60)/MAX(ABS(BU60-BV60),1),1,TRUE,0)</f>
        <v/>
      </c>
      <c r="BX60" s="18"/>
      <c r="BY60" s="19"/>
      <c r="BZ60" s="33" t="str" cm="1">
        <f t="array" ref="BZ60">_xlfn.IFS($D60="","",AND(BX60=$C60,BY60=$D60),3,($C60-$D60)/MAX(ABS($C60-$D60),1)=(BX60-BY60)/MAX(ABS(BX60-BY60),1),1,TRUE,0)</f>
        <v/>
      </c>
      <c r="CA60" s="18"/>
      <c r="CB60" s="19"/>
      <c r="CC60" s="33" t="str" cm="1">
        <f t="array" ref="CC60">_xlfn.IFS($D60="","",AND(CA60=$C60,CB60=$D60),3,($C60-$D60)/MAX(ABS($C60-$D60),1)=(CA60-CB60)/MAX(ABS(CA60-CB60),1),1,TRUE,0)</f>
        <v/>
      </c>
      <c r="CD60" s="18"/>
      <c r="CE60" s="19"/>
      <c r="CF60" s="33" t="str" cm="1">
        <f t="array" ref="CF60">_xlfn.IFS($D60="","",AND(CD60=$C60,CE60=$D60),3,($C60-$D60)/MAX(ABS($C60-$D60),1)=(CD60-CE60)/MAX(ABS(CD60-CE60),1),1,TRUE,0)</f>
        <v/>
      </c>
      <c r="CG60" s="18"/>
      <c r="CH60" s="19"/>
      <c r="CI60" s="33" t="str" cm="1">
        <f t="array" ref="CI60">_xlfn.IFS($D60="","",AND(CG60=$C60,CH60=$D60),3,($C60-$D60)/MAX(ABS($C60-$D60),1)=(CG60-CH60)/MAX(ABS(CG60-CH60),1),1,TRUE,0)</f>
        <v/>
      </c>
      <c r="CJ60" s="18"/>
      <c r="CK60" s="19"/>
      <c r="CL60" s="33" t="str" cm="1">
        <f t="array" ref="CL60">_xlfn.IFS($D60="","",AND(CJ60=$C60,CK60=$D60),3,($C60-$D60)/MAX(ABS($C60-$D60),1)=(CJ60-CK60)/MAX(ABS(CJ60-CK60),1),1,TRUE,0)</f>
        <v/>
      </c>
      <c r="CM60" s="18"/>
      <c r="CN60" s="19"/>
      <c r="CO60" s="33" t="str" cm="1">
        <f t="array" ref="CO60">_xlfn.IFS($D60="","",AND(CM60=$C60,CN60=$D60),3,($C60-$D60)/MAX(ABS($C60-$D60),1)=(CM60-CN60)/MAX(ABS(CM60-CN60),1),1,TRUE,0)</f>
        <v/>
      </c>
      <c r="CP60" s="18"/>
      <c r="CQ60" s="19"/>
      <c r="CR60" s="33" t="str" cm="1">
        <f t="array" ref="CR60">_xlfn.IFS($D60="","",AND(CP60=$C60,CQ60=$D60),3,($C60-$D60)/MAX(ABS($C60-$D60),1)=(CP60-CQ60)/MAX(ABS(CP60-CQ60),1),1,TRUE,0)</f>
        <v/>
      </c>
      <c r="CS60" s="18"/>
      <c r="CT60" s="19"/>
      <c r="CU60" s="33" t="str" cm="1">
        <f t="array" ref="CU60">_xlfn.IFS($D60="","",AND(CS60=$C60,CT60=$D60),3,($C60-$D60)/MAX(ABS($C60-$D60),1)=(CS60-CT60)/MAX(ABS(CS60-CT60),1),1,TRUE,0)</f>
        <v/>
      </c>
      <c r="CV60" s="18"/>
      <c r="CW60" s="19"/>
      <c r="CX60" s="33" t="str" cm="1">
        <f t="array" ref="CX60">_xlfn.IFS($D60="","",AND(CV60=$C60,CW60=$D60),3,($C60-$D60)/MAX(ABS($C60-$D60),1)=(CV60-CW60)/MAX(ABS(CV60-CW60),1),1,TRUE,0)</f>
        <v/>
      </c>
      <c r="CY60" s="18"/>
      <c r="CZ60" s="19"/>
      <c r="DA60" s="33" t="str" cm="1">
        <f t="array" ref="DA60">_xlfn.IFS($D60="","",AND(CY60=$C60,CZ60=$D60),3,($C60-$D60)/MAX(ABS($C60-$D60),1)=(CY60-CZ60)/MAX(ABS(CY60-CZ60),1),1,TRUE,0)</f>
        <v/>
      </c>
      <c r="DB60" s="37"/>
      <c r="DC60" s="38"/>
      <c r="DD60" s="33" t="str" cm="1">
        <f t="array" ref="DD60">_xlfn.IFS($D60="","",AND(DB60=$C60,DC60=$D60),3,($C60-$D60)/MAX(ABS($C60-$D60),1)=(DB60-DC60)/MAX(ABS(DB60-DC60),1),1,TRUE,0)</f>
        <v/>
      </c>
      <c r="DE60" s="18"/>
      <c r="DF60" s="19"/>
      <c r="DG60" s="33" t="str" cm="1">
        <f t="array" ref="DG60">_xlfn.IFS($D60="","",AND(DE60=$C60,DF60=$D60),3,($C60-$D60)/MAX(ABS($C60-$D60),1)=(DE60-DF60)/MAX(ABS(DE60-DF60),1),1,TRUE,0)</f>
        <v/>
      </c>
      <c r="DH60" s="18"/>
      <c r="DI60" s="19"/>
      <c r="DJ60" s="33" t="str" cm="1">
        <f t="array" ref="DJ60">_xlfn.IFS($D60="","",AND(DH60=$C60,DI60=$D60),3,($C60-$D60)/MAX(ABS($C60-$D60),1)=(DH60-DI60)/MAX(ABS(DH60-DI60),1),1,TRUE,0)</f>
        <v/>
      </c>
      <c r="DK60" s="18"/>
      <c r="DL60" s="19"/>
      <c r="DM60" s="33" t="str" cm="1">
        <f t="array" ref="DM60">_xlfn.IFS($D60="","",AND(DK60=$C60,DL60=$D60),3,($C60-$D60)/MAX(ABS($C60-$D60),1)=(DK60-DL60)/MAX(ABS(DK60-DL60),1),1,TRUE,0)</f>
        <v/>
      </c>
      <c r="DN60" s="18"/>
      <c r="DO60" s="19"/>
      <c r="DP60" s="33" t="str" cm="1">
        <f t="array" ref="DP60">_xlfn.IFS($D60="","",AND(DN60=$C60,DO60=$D60),3,($C60-$D60)/MAX(ABS($C60-$D60),1)=(DN60-DO60)/MAX(ABS(DN60-DO60),1),1,TRUE,0)</f>
        <v/>
      </c>
      <c r="DQ60" s="18"/>
      <c r="DR60" s="19"/>
      <c r="DS60" s="33" t="str" cm="1">
        <f t="array" ref="DS60">_xlfn.IFS($D60="","",AND(DQ60=$C60,DR60=$D60),3,($C60-$D60)/MAX(ABS($C60-$D60),1)=(DQ60-DR60)/MAX(ABS(DQ60-DR60),1),1,TRUE,0)</f>
        <v/>
      </c>
      <c r="DT60" s="18"/>
      <c r="DU60" s="19"/>
      <c r="DV60" s="33" t="str" cm="1">
        <f t="array" ref="DV60">_xlfn.IFS($D60="","",AND(DT60=$C60,DU60=$D60),3,($C60-$D60)/MAX(ABS($C60-$D60),1)=(DT60-DU60)/MAX(ABS(DT60-DU60),1),1,TRUE,0)</f>
        <v/>
      </c>
      <c r="DW60" s="18"/>
      <c r="DX60" s="19"/>
      <c r="DY60" s="33" t="str" cm="1">
        <f t="array" ref="DY60">_xlfn.IFS($D60="","",AND(DW60=$C60,DX60=$D60),3,($C60-$D60)/MAX(ABS($C60-$D60),1)=(DW60-DX60)/MAX(ABS(DW60-DX60),1),1,TRUE,0)</f>
        <v/>
      </c>
      <c r="DZ60" s="18"/>
      <c r="EA60" s="19"/>
      <c r="EB60" s="33" t="str" cm="1">
        <f t="array" ref="EB60">_xlfn.IFS($D60="","",AND(DZ60=$C60,EA60=$D60),3,($C60-$D60)/MAX(ABS($C60-$D60),1)=(DZ60-EA60)/MAX(ABS(DZ60-EA60),1),1,TRUE,0)</f>
        <v/>
      </c>
      <c r="EC60" s="18"/>
      <c r="ED60" s="19"/>
      <c r="EE60" s="33" t="str" cm="1">
        <f t="array" ref="EE60">_xlfn.IFS($D60="","",AND(EC60=$C60,ED60=$D60),3,($C60-$D60)/MAX(ABS($C60-$D60),1)=(EC60-ED60)/MAX(ABS(EC60-ED60),1),1,TRUE,0)</f>
        <v/>
      </c>
      <c r="EF60" s="18"/>
      <c r="EG60" s="19"/>
      <c r="EH60" s="33" t="str" cm="1">
        <f t="array" ref="EH60">_xlfn.IFS($D60="","",AND(EF60=$C60,EG60=$D60),3,($C60-$D60)/MAX(ABS($C60-$D60),1)=(EF60-EG60)/MAX(ABS(EF60-EG60),1),1,TRUE,0)</f>
        <v/>
      </c>
      <c r="EI60" s="50"/>
      <c r="EJ60" s="51"/>
      <c r="EK60" s="33" t="str" cm="1">
        <f t="array" ref="EK60">_xlfn.IFS($D60="","",AND(EI60=$C60,EJ60=$D60),3,($C60-$D60)/MAX(ABS($C60-$D60),1)=(EI60-EJ60)/MAX(ABS(EI60-EJ60),1),1,TRUE,0)</f>
        <v/>
      </c>
      <c r="EL60" s="18"/>
      <c r="EM60" s="19"/>
      <c r="EN60" s="33" t="str" cm="1">
        <f t="array" ref="EN60">_xlfn.IFS($D60="","",AND(EL60=$C60,EM60=$D60),3,($C60-$D60)/MAX(ABS($C60-$D60),1)=(EL60-EM60)/MAX(ABS(EL60-EM60),1),1,TRUE,0)</f>
        <v/>
      </c>
      <c r="EO60" s="18"/>
      <c r="EP60" s="19"/>
      <c r="EQ60" s="33" t="str" cm="1">
        <f t="array" ref="EQ60">_xlfn.IFS($D60="","",AND(EO60=$C60,EP60=$D60),3,($C60-$D60)/MAX(ABS($C60-$D60),1)=(EO60-EP60)/MAX(ABS(EO60-EP60),1),1,TRUE,0)</f>
        <v/>
      </c>
      <c r="ER60" s="18"/>
      <c r="ES60" s="19"/>
      <c r="ET60" s="33" t="str" cm="1">
        <f t="array" ref="ET60">_xlfn.IFS($D60="","",AND(ER60=$C60,ES60=$D60),3,($C60-$D60)/MAX(ABS($C60-$D60),1)=(ER60-ES60)/MAX(ABS(ER60-ES60),1),1,TRUE,0)</f>
        <v/>
      </c>
      <c r="EU60" s="18"/>
      <c r="EV60" s="19"/>
      <c r="EW60" s="33" t="str" cm="1">
        <f t="array" ref="EW60">_xlfn.IFS($D60="","",AND(EU60=$C60,EV60=$D60),3,($C60-$D60)/MAX(ABS($C60-$D60),1)=(EU60-EV60)/MAX(ABS(EU60-EV60),1),1,TRUE,0)</f>
        <v/>
      </c>
      <c r="EX60" s="18"/>
      <c r="EY60" s="19"/>
      <c r="EZ60" s="33" t="str" cm="1">
        <f t="array" ref="EZ60">_xlfn.IFS($D60="","",AND(EX60=$C60,EY60=$D60),3,($C60-$D60)/MAX(ABS($C60-$D60),1)=(EX60-EY60)/MAX(ABS(EX60-EY60),1),1,TRUE,0)</f>
        <v/>
      </c>
      <c r="FA60" s="18"/>
      <c r="FB60" s="19"/>
      <c r="FC60" s="33" t="str" cm="1">
        <f t="array" ref="FC60">_xlfn.IFS($D60="","",AND(FA60=$C60,FB60=$D60),3,($C60-$D60)/MAX(ABS($C60-$D60),1)=(FA60-FB60)/MAX(ABS(FA60-FB60),1),1,TRUE,0)</f>
        <v/>
      </c>
      <c r="FD60" s="18"/>
      <c r="FE60" s="19"/>
      <c r="FF60" s="33" t="str" cm="1">
        <f t="array" ref="FF60">_xlfn.IFS($D60="","",AND(FD60=$C60,FE60=$D60),3,($C60-$D60)/MAX(ABS($C60-$D60),1)=(FD60-FE60)/MAX(ABS(FD60-FE60),1),1,TRUE,0)</f>
        <v/>
      </c>
      <c r="FG60" s="18"/>
      <c r="FH60" s="19"/>
      <c r="FI60" s="33" t="str" cm="1">
        <f t="array" ref="FI60">_xlfn.IFS($D60="","",AND(FG60=$C60,FH60=$D60),3,($C60-$D60)/MAX(ABS($C60-$D60),1)=(FG60-FH60)/MAX(ABS(FG60-FH60),1),1,TRUE,0)</f>
        <v/>
      </c>
      <c r="FJ60" s="18"/>
      <c r="FK60" s="19"/>
      <c r="FL60" s="33" t="str" cm="1">
        <f t="array" ref="FL60">_xlfn.IFS($D60="","",AND(FJ60=$C60,FK60=$D60),3,($C60-$D60)/MAX(ABS($C60-$D60),1)=(FJ60-FK60)/MAX(ABS(FJ60-FK60),1),1,TRUE,0)</f>
        <v/>
      </c>
      <c r="FM60" s="18"/>
      <c r="FN60" s="19"/>
      <c r="FO60" s="33" t="str" cm="1">
        <f t="array" ref="FO60">_xlfn.IFS($D60="","",AND(FM60=$C60,FN60=$D60),3,($C60-$D60)/MAX(ABS($C60-$D60),1)=(FM60-FN60)/MAX(ABS(FM60-FN60),1),1,TRUE,0)</f>
        <v/>
      </c>
      <c r="FP60" s="18"/>
      <c r="FQ60" s="19"/>
      <c r="FR60" s="33" t="str" cm="1">
        <f t="array" ref="FR60">_xlfn.IFS($D60="","",AND(FP60=$C60,FQ60=$D60),3,($C60-$D60)/MAX(ABS($C60-$D60),1)=(FP60-FQ60)/MAX(ABS(FP60-FQ60),1),1,TRUE,0)</f>
        <v/>
      </c>
      <c r="FS60" s="18"/>
      <c r="FT60" s="19"/>
      <c r="FU60" s="33" t="str" cm="1">
        <f t="array" ref="FU60">_xlfn.IFS($D60="","",AND(FS60=$C60,FT60=$D60),3,($C60-$D60)/MAX(ABS($C60-$D60),1)=(FS60-FT60)/MAX(ABS(FS60-FT60),1),1,TRUE,0)</f>
        <v/>
      </c>
      <c r="FV60" s="18"/>
      <c r="FW60" s="19"/>
      <c r="FX60" s="33" t="str" cm="1">
        <f t="array" ref="FX60">_xlfn.IFS($D60="","",AND(FV60=$C60,FW60=$D60),3,($C60-$D60)/MAX(ABS($C60-$D60),1)=(FV60-FW60)/MAX(ABS(FV60-FW60),1),1,TRUE,0)</f>
        <v/>
      </c>
      <c r="FY60" s="18"/>
      <c r="FZ60" s="19"/>
      <c r="GA60" s="33" t="str" cm="1">
        <f t="array" ref="GA60">_xlfn.IFS($D60="","",AND(FY60=$C60,FZ60=$D60),3,($C60-$D60)/MAX(ABS($C60-$D60),1)=(FY60-FZ60)/MAX(ABS(FY60-FZ60),1),1,TRUE,0)</f>
        <v/>
      </c>
      <c r="GB60" s="18"/>
      <c r="GC60" s="19"/>
      <c r="GD60" s="33" t="str" cm="1">
        <f t="array" ref="GD60">_xlfn.IFS($D60="","",AND(GB60=$C60,GC60=$D60),3,($C60-$D60)/MAX(ABS($C60-$D60),1)=(GB60-GC60)/MAX(ABS(GB60-GC60),1),1,TRUE,0)</f>
        <v/>
      </c>
      <c r="GE60" s="52"/>
      <c r="GF60" s="19"/>
      <c r="GG60" s="33" t="str" cm="1">
        <f t="array" ref="GG60">_xlfn.IFS($D60="","",AND(GE60=$C60,GF60=$D60),3,($C60-$D60)/MAX(ABS($C60-$D60),1)=(GE60-GF60)/MAX(ABS(GE60-GF60),1),1,TRUE,0)</f>
        <v/>
      </c>
      <c r="GH60" s="18"/>
      <c r="GI60" s="19"/>
      <c r="GJ60" s="33" t="str" cm="1">
        <f t="array" ref="GJ60">_xlfn.IFS($D60="","",AND(GH60=$C60,GI60=$D60),3,($C60-$D60)/MAX(ABS($C60-$D60),1)=(GH60-GI60)/MAX(ABS(GH60-GI60),1),1,TRUE,0)</f>
        <v/>
      </c>
      <c r="GK60" s="18"/>
      <c r="GL60" s="19"/>
      <c r="GM60" s="33" t="str" cm="1">
        <f t="array" ref="GM60">_xlfn.IFS($D60="","",AND(GK60=$C60,GL60=$D60),3,($C60-$D60)/MAX(ABS($C60-$D60),1)=(GK60-GL60)/MAX(ABS(GK60-GL60),1),1,TRUE,0)</f>
        <v/>
      </c>
      <c r="GN60" s="18"/>
      <c r="GO60" s="19"/>
      <c r="GP60" s="33" t="str" cm="1">
        <f t="array" ref="GP60">_xlfn.IFS($D60="","",AND(GN60=$C60,GO60=$D60),3,($C60-$D60)/MAX(ABS($C60-$D60),1)=(GN60-GO60)/MAX(ABS(GN60-GO60),1),1,TRUE,0)</f>
        <v/>
      </c>
      <c r="GQ60" s="18"/>
      <c r="GR60" s="19"/>
      <c r="GS60" s="33" t="str" cm="1">
        <f t="array" ref="GS60">_xlfn.IFS($D60="","",AND(GQ60=$C60,GR60=$D60),3,($C60-$D60)/MAX(ABS($C60-$D60),1)=(GQ60-GR60)/MAX(ABS(GQ60-GR60),1),1,TRUE,0)</f>
        <v/>
      </c>
      <c r="GT60" s="18"/>
      <c r="GU60" s="19"/>
      <c r="GV60" s="33" t="str" cm="1">
        <f t="array" ref="GV60">_xlfn.IFS($D60="","",AND(GT60=$C60,GU60=$D60),3,($C60-$D60)/MAX(ABS($C60-$D60),1)=(GT60-GU60)/MAX(ABS(GT60-GU60),1),1,TRUE,0)</f>
        <v/>
      </c>
      <c r="GW60" s="18"/>
      <c r="GX60" s="19"/>
      <c r="GY60" s="33" t="str" cm="1">
        <f t="array" ref="GY60">_xlfn.IFS($D60="","",AND(GW60=$C60,GX60=$D60),3,($C60-$D60)/MAX(ABS($C60-$D60),1)=(GW60-GX60)/MAX(ABS(GW60-GX60),1),1,TRUE,0)</f>
        <v/>
      </c>
      <c r="GZ60" s="18"/>
      <c r="HA60" s="19"/>
      <c r="HB60" s="33" t="str" cm="1">
        <f t="array" ref="HB60">_xlfn.IFS($D60="","",AND(GZ60=$C60,HA60=$D60),3,($C60-$D60)/MAX(ABS($C60-$D60),1)=(GZ60-HA60)/MAX(ABS(GZ60-HA60),1),1,TRUE,0)</f>
        <v/>
      </c>
      <c r="HC60" s="18"/>
      <c r="HD60" s="19"/>
      <c r="HE60" s="33" t="str" cm="1">
        <f t="array" ref="HE60">_xlfn.IFS($D60="","",AND(HC60=$C60,HD60=$D60),3,($C60-$D60)/MAX(ABS($C60-$D60),1)=(HC60-HD60)/MAX(ABS(HC60-HD60),1),1,TRUE,0)</f>
        <v/>
      </c>
      <c r="HF60" s="18"/>
      <c r="HG60" s="19"/>
      <c r="HH60" s="33" t="str" cm="1">
        <f t="array" ref="HH60">_xlfn.IFS($D60="","",AND(HF60=$C60,HG60=$D60),3,($C60-$D60)/MAX(ABS($C60-$D60),1)=(HF60-HG60)/MAX(ABS(HF60-HG60),1),1,TRUE,0)</f>
        <v/>
      </c>
      <c r="HI60" s="18"/>
      <c r="HJ60" s="19"/>
      <c r="HK60" s="33" t="str" cm="1">
        <f t="array" ref="HK60">_xlfn.IFS($D60="","",AND(HI60=$C60,HJ60=$D60),3,($C60-$D60)/MAX(ABS($C60-$D60),1)=(HI60-HJ60)/MAX(ABS(HI60-HJ60),1),1,TRUE,0)</f>
        <v/>
      </c>
      <c r="HL60" s="18"/>
      <c r="HM60" s="19"/>
      <c r="HN60" s="33" t="str" cm="1">
        <f t="array" ref="HN60">_xlfn.IFS($D60="","",AND(HL60=$C60,HM60=$D60),3,($C60-$D60)/MAX(ABS($C60-$D60),1)=(HL60-HM60)/MAX(ABS(HL60-HM60),1),1,TRUE,0)</f>
        <v/>
      </c>
      <c r="HO60" s="18"/>
      <c r="HP60" s="19"/>
      <c r="HQ60" s="33" t="str" cm="1">
        <f t="array" ref="HQ60">_xlfn.IFS($D60="","",AND(HO60=$C60,HP60=$D60),3,($C60-$D60)/MAX(ABS($C60-$D60),1)=(HO60-HP60)/MAX(ABS(HO60-HP60),1),1,TRUE,0)</f>
        <v/>
      </c>
      <c r="HR60" s="18"/>
      <c r="HS60" s="19"/>
      <c r="HT60" s="33" t="str" cm="1">
        <f t="array" ref="HT60">_xlfn.IFS($D60="","",AND(HR60=$C60,HS60=$D60),3,($C60-$D60)/MAX(ABS($C60-$D60),1)=(HR60-HS60)/MAX(ABS(HR60-HS60),1),1,TRUE,0)</f>
        <v/>
      </c>
      <c r="HU60" s="18"/>
      <c r="HV60" s="19"/>
      <c r="HW60" s="33" t="str" cm="1">
        <f t="array" ref="HW60">_xlfn.IFS($D60="","",AND(HU60=$C60,HV60=$D60),3,($C60-$D60)/MAX(ABS($C60-$D60),1)=(HU60-HV60)/MAX(ABS(HU60-HV60),1),1,TRUE,0)</f>
        <v/>
      </c>
      <c r="HX60" s="18"/>
      <c r="HY60" s="19"/>
      <c r="HZ60" s="33" t="str" cm="1">
        <f t="array" ref="HZ60">_xlfn.IFS($D60="","",AND(HX60=$C60,HY60=$D60),3,($C60-$D60)/MAX(ABS($C60-$D60),1)=(HX60-HY60)/MAX(ABS(HX60-HY60),1),1,TRUE,0)</f>
        <v/>
      </c>
      <c r="IA60" s="18"/>
      <c r="IB60" s="19"/>
      <c r="IC60" s="33" t="str" cm="1">
        <f t="array" ref="IC60">_xlfn.IFS($D60="","",AND(IA60=$C60,IB60=$D60),3,($C60-$D60)/MAX(ABS($C60-$D60),1)=(IA60-IB60)/MAX(ABS(IA60-IB60),1),1,TRUE,0)</f>
        <v/>
      </c>
      <c r="ID60" s="18"/>
      <c r="IE60" s="19"/>
      <c r="IF60" s="33" t="str" cm="1">
        <f t="array" ref="IF60">_xlfn.IFS($D60="","",AND(ID60=$C60,IE60=$D60),3,($C60-$D60)/MAX(ABS($C60-$D60),1)=(ID60-IE60)/MAX(ABS(ID60-IE60),1),1,TRUE,0)</f>
        <v/>
      </c>
      <c r="IG60" s="18"/>
      <c r="IH60" s="19"/>
      <c r="II60" s="33" t="str" cm="1">
        <f t="array" ref="II60">_xlfn.IFS($D60="","",AND(IG60=$C60,IH60=$D60),3,($C60-$D60)/MAX(ABS($C60-$D60),1)=(IG60-IH60)/MAX(ABS(IG60-IH60),1),1,TRUE,0)</f>
        <v/>
      </c>
      <c r="IJ60" s="18"/>
      <c r="IK60" s="19"/>
      <c r="IL60" s="33" t="str" cm="1">
        <f t="array" ref="IL60">_xlfn.IFS($D60="","",AND(IJ60=$C60,IK60=$D60),3,($C60-$D60)/MAX(ABS($C60-$D60),1)=(IJ60-IK60)/MAX(ABS(IJ60-IK60),1),1,TRUE,0)</f>
        <v/>
      </c>
      <c r="IM60" s="18"/>
      <c r="IN60" s="19"/>
      <c r="IO60" s="33" t="str" cm="1">
        <f t="array" ref="IO60">_xlfn.IFS($D60="","",AND(IM60=$C60,IN60=$D60),3,($C60-$D60)/MAX(ABS($C60-$D60),1)=(IM60-IN60)/MAX(ABS(IM60-IN60),1),1,TRUE,0)</f>
        <v/>
      </c>
      <c r="IP60" s="18"/>
      <c r="IQ60" s="19"/>
      <c r="IR60" s="33" t="str" cm="1">
        <f t="array" ref="IR60">_xlfn.IFS($D60="","",AND(IP60=$C60,IQ60=$D60),3,($C60-$D60)/MAX(ABS($C60-$D60),1)=(IP60-IQ60)/MAX(ABS(IP60-IQ60),1),1,TRUE,0)</f>
        <v/>
      </c>
      <c r="IS60" s="18"/>
      <c r="IT60" s="19"/>
      <c r="IU60" s="33" t="str" cm="1">
        <f t="array" ref="IU60">_xlfn.IFS($D60="","",AND(IS60=$C60,IT60=$D60),3,($C60-$D60)/MAX(ABS($C60-$D60),1)=(IS60-IT60)/MAX(ABS(IS60-IT60),1),1,TRUE,0)</f>
        <v/>
      </c>
      <c r="IV60" s="18"/>
      <c r="IW60" s="19"/>
      <c r="IX60" s="33" t="str" cm="1">
        <f t="array" ref="IX60">_xlfn.IFS($D60="","",AND(IV60=$C60,IW60=$D60),3,($C60-$D60)/MAX(ABS($C60-$D60),1)=(IV60-IW60)/MAX(ABS(IV60-IW60),1),1,TRUE,0)</f>
        <v/>
      </c>
      <c r="IY60" s="18"/>
      <c r="IZ60" s="19"/>
      <c r="JA60" s="33" t="str" cm="1">
        <f t="array" ref="JA60">_xlfn.IFS($D60="","",AND(IY60=$C60,IZ60=$D60),3,($C60-$D60)/MAX(ABS($C60-$D60),1)=(IY60-IZ60)/MAX(ABS(IY60-IZ60),1),1,TRUE,0)</f>
        <v/>
      </c>
      <c r="JB60" s="18"/>
      <c r="JC60" s="19"/>
      <c r="JD60" s="33" t="str" cm="1">
        <f t="array" ref="JD60">_xlfn.IFS($D60="","",AND(JB60=$C60,JC60=$D60),3,($C60-$D60)/MAX(ABS($C60-$D60),1)=(JB60-JC60)/MAX(ABS(JB60-JC60),1),1,TRUE,0)</f>
        <v/>
      </c>
    </row>
    <row r="61" spans="1:264" ht="15" thickBot="1" x14ac:dyDescent="0.35">
      <c r="A61" s="22">
        <v>46199</v>
      </c>
      <c r="B61" s="28" t="s">
        <v>50</v>
      </c>
      <c r="C61" s="53" t="str" cm="1">
        <f t="array" ref="C61">_xlfn.LET(
_xlpm.x,_xlfn.XLOOKUP(1,(Scores_Fixtures[Date]=A61)*(Scores_Fixtures[Home.1]=B61),Scores_Fixtures[Score.1],""),
IF(_xlpm.x="","",_xlpm.x)
)</f>
        <v/>
      </c>
      <c r="D61" s="53" t="str" cm="1">
        <f t="array" ref="D61">_xlfn.LET(
_xlpm.x,_xlfn.XLOOKUP(1,(Scores_Fixtures[Date]=A61)*(Scores_Fixtures[Home.1]=B61),Scores_Fixtures[Score.2],""),
IF(_xlpm.x="","",_xlpm.x)
)</f>
        <v/>
      </c>
      <c r="E61" s="12" t="s">
        <v>37</v>
      </c>
      <c r="F61" s="15"/>
      <c r="G61" s="53"/>
      <c r="H61" s="53"/>
      <c r="I61" s="33" t="str" cm="1">
        <f t="array" ref="I61">_xlfn.IFS($D61="","",AND(G61=$C61,H61=$D61),3,($C61-$D61)/MAX(ABS($C61-$D61),1)=(G61-H61)/MAX(ABS(G61-H61),1),1,TRUE,0)</f>
        <v/>
      </c>
      <c r="J61" s="18"/>
      <c r="K61" s="19"/>
      <c r="L61" s="33" t="str" cm="1">
        <f t="array" ref="L61">_xlfn.IFS($D61="","",AND(J61=$C61,K61=$D61),3,($C61-$D61)/MAX(ABS($C61-$D61),1)=(J61-K61)/MAX(ABS(J61-K61),1),1,TRUE,0)</f>
        <v/>
      </c>
      <c r="M61" s="18"/>
      <c r="N61" s="19"/>
      <c r="O61" s="33" t="str" cm="1">
        <f t="array" ref="O61">_xlfn.IFS($D61="","",AND(M61=$C61,N61=$D61),3,($C61-$D61)/MAX(ABS($C61-$D61),1)=(M61-N61)/MAX(ABS(M61-N61),1),1,TRUE,0)</f>
        <v/>
      </c>
      <c r="P61" s="18"/>
      <c r="Q61" s="19"/>
      <c r="R61" s="33" t="str" cm="1">
        <f t="array" ref="R61">_xlfn.IFS($D61="","",AND(P61=$C61,Q61=$D61),3,($C61-$D61)/MAX(ABS($C61-$D61),1)=(P61-Q61)/MAX(ABS(P61-Q61),1),1,TRUE,0)</f>
        <v/>
      </c>
      <c r="S61" s="18"/>
      <c r="T61" s="19"/>
      <c r="U61" s="33" t="str" cm="1">
        <f t="array" ref="U61">_xlfn.IFS($D61="","",AND(S61=$C61,T61=$D61),3,($C61-$D61)/MAX(ABS($C61-$D61),1)=(S61-T61)/MAX(ABS(S61-T61),1),1,TRUE,0)</f>
        <v/>
      </c>
      <c r="V61" s="18"/>
      <c r="W61" s="19"/>
      <c r="X61" s="33" t="str" cm="1">
        <f t="array" ref="X61">_xlfn.IFS($D61="","",AND(V61=$C61,W61=$D61),3,($C61-$D61)/MAX(ABS($C61-$D61),1)=(V61-W61)/MAX(ABS(V61-W61),1),1,TRUE,0)</f>
        <v/>
      </c>
      <c r="Y61" s="18"/>
      <c r="Z61" s="19"/>
      <c r="AA61" s="33" t="str" cm="1">
        <f t="array" ref="AA61">_xlfn.IFS($D61="","",AND(Y61=$C61,Z61=$D61),3,($C61-$D61)/MAX(ABS($C61-$D61),1)=(Y61-Z61)/MAX(ABS(Y61-Z61),1),1,TRUE,0)</f>
        <v/>
      </c>
      <c r="AB61" s="18"/>
      <c r="AC61" s="19"/>
      <c r="AD61" s="33" t="str" cm="1">
        <f t="array" ref="AD61">_xlfn.IFS($D61="","",AND(AB61=$C61,AC61=$D61),3,($C61-$D61)/MAX(ABS($C61-$D61),1)=(AB61-AC61)/MAX(ABS(AB61-AC61),1),1,TRUE,0)</f>
        <v/>
      </c>
      <c r="AE61" s="18"/>
      <c r="AF61" s="19"/>
      <c r="AG61" s="33" t="str" cm="1">
        <f t="array" ref="AG61">_xlfn.IFS($D61="","",AND(AE61=$C61,AF61=$D61),3,($C61-$D61)/MAX(ABS($C61-$D61),1)=(AE61-AF61)/MAX(ABS(AE61-AF61),1),1,TRUE,0)</f>
        <v/>
      </c>
      <c r="AH61" s="18"/>
      <c r="AI61" s="19"/>
      <c r="AJ61" s="33" t="str" cm="1">
        <f t="array" ref="AJ61">_xlfn.IFS($D61="","",AND(AH61=$C61,AI61=$D61),3,($C61-$D61)/MAX(ABS($C61-$D61),1)=(AH61-AI61)/MAX(ABS(AH61-AI61),1),1,TRUE,0)</f>
        <v/>
      </c>
      <c r="AK61" s="18"/>
      <c r="AL61" s="19"/>
      <c r="AM61" s="33" t="str" cm="1">
        <f t="array" ref="AM61">_xlfn.IFS($D61="","",AND(AK61=$C61,AL61=$D61),3,($C61-$D61)/MAX(ABS($C61-$D61),1)=(AK61-AL61)/MAX(ABS(AK61-AL61),1),1,TRUE,0)</f>
        <v/>
      </c>
      <c r="AN61" s="18"/>
      <c r="AO61" s="19"/>
      <c r="AP61" s="33" t="str" cm="1">
        <f t="array" ref="AP61">_xlfn.IFS($D61="","",AND(AN61=$C61,AO61=$D61),3,($C61-$D61)/MAX(ABS($C61-$D61),1)=(AN61-AO61)/MAX(ABS(AN61-AO61),1),1,TRUE,0)</f>
        <v/>
      </c>
      <c r="AQ61" s="18"/>
      <c r="AR61" s="19"/>
      <c r="AS61" s="33" t="str" cm="1">
        <f t="array" ref="AS61">_xlfn.IFS($D61="","",AND(AQ61=$C61,AR61=$D61),3,($C61-$D61)/MAX(ABS($C61-$D61),1)=(AQ61-AR61)/MAX(ABS(AQ61-AR61),1),1,TRUE,0)</f>
        <v/>
      </c>
      <c r="AT61" s="18"/>
      <c r="AU61" s="19"/>
      <c r="AV61" s="33" t="str" cm="1">
        <f t="array" ref="AV61">_xlfn.IFS($D61="","",AND(AT61=$C61,AU61=$D61),3,($C61-$D61)/MAX(ABS($C61-$D61),1)=(AT61-AU61)/MAX(ABS(AT61-AU61),1),1,TRUE,0)</f>
        <v/>
      </c>
      <c r="AW61" s="18"/>
      <c r="AX61" s="19"/>
      <c r="AY61" s="33" t="str" cm="1">
        <f t="array" ref="AY61">_xlfn.IFS($D61="","",AND(AW61=$C61,AX61=$D61),3,($C61-$D61)/MAX(ABS($C61-$D61),1)=(AW61-AX61)/MAX(ABS(AW61-AX61),1),1,TRUE,0)</f>
        <v/>
      </c>
      <c r="AZ61" s="18"/>
      <c r="BA61" s="19"/>
      <c r="BB61" s="33" t="str" cm="1">
        <f t="array" ref="BB61">_xlfn.IFS($D61="","",AND(AZ61=$C61,BA61=$D61),3,($C61-$D61)/MAX(ABS($C61-$D61),1)=(AZ61-BA61)/MAX(ABS(AZ61-BA61),1),1,TRUE,0)</f>
        <v/>
      </c>
      <c r="BC61" s="18"/>
      <c r="BD61" s="19"/>
      <c r="BE61" s="33" t="str" cm="1">
        <f t="array" ref="BE61">_xlfn.IFS($D61="","",AND(BC61=$C61,BD61=$D61),3,($C61-$D61)/MAX(ABS($C61-$D61),1)=(BC61-BD61)/MAX(ABS(BC61-BD61),1),1,TRUE,0)</f>
        <v/>
      </c>
      <c r="BF61" s="18"/>
      <c r="BG61" s="19"/>
      <c r="BH61" s="33" t="str" cm="1">
        <f t="array" ref="BH61">_xlfn.IFS($D61="","",AND(BF61=$C61,BG61=$D61),3,($C61-$D61)/MAX(ABS($C61-$D61),1)=(BF61-BG61)/MAX(ABS(BF61-BG61),1),1,TRUE,0)</f>
        <v/>
      </c>
      <c r="BI61" s="18"/>
      <c r="BJ61" s="19"/>
      <c r="BK61" s="33" t="str" cm="1">
        <f t="array" ref="BK61">_xlfn.IFS($D61="","",AND(BI61=$C61,BJ61=$D61),3,($C61-$D61)/MAX(ABS($C61-$D61),1)=(BI61-BJ61)/MAX(ABS(BI61-BJ61),1),1,TRUE,0)</f>
        <v/>
      </c>
      <c r="BL61" s="18"/>
      <c r="BM61" s="19"/>
      <c r="BN61" s="33" t="str" cm="1">
        <f t="array" ref="BN61">_xlfn.IFS($D61="","",AND(BL61=$C61,BM61=$D61),3,($C61-$D61)/MAX(ABS($C61-$D61),1)=(BL61-BM61)/MAX(ABS(BL61-BM61),1),1,TRUE,0)</f>
        <v/>
      </c>
      <c r="BO61" s="18"/>
      <c r="BP61" s="19"/>
      <c r="BQ61" s="33" t="str" cm="1">
        <f t="array" ref="BQ61">_xlfn.IFS($D61="","",AND(BO61=$C61,BP61=$D61),3,($C61-$D61)/MAX(ABS($C61-$D61),1)=(BO61-BP61)/MAX(ABS(BO61-BP61),1),1,TRUE,0)</f>
        <v/>
      </c>
      <c r="BR61" s="18"/>
      <c r="BS61" s="19"/>
      <c r="BT61" s="33" t="str" cm="1">
        <f t="array" ref="BT61">_xlfn.IFS($D61="","",AND(BR61=$C61,BS61=$D61),3,($C61-$D61)/MAX(ABS($C61-$D61),1)=(BR61-BS61)/MAX(ABS(BR61-BS61),1),1,TRUE,0)</f>
        <v/>
      </c>
      <c r="BU61" s="18"/>
      <c r="BV61" s="19"/>
      <c r="BW61" s="33" t="str" cm="1">
        <f t="array" ref="BW61">_xlfn.IFS($D61="","",AND(BU61=$C61,BV61=$D61),3,($C61-$D61)/MAX(ABS($C61-$D61),1)=(BU61-BV61)/MAX(ABS(BU61-BV61),1),1,TRUE,0)</f>
        <v/>
      </c>
      <c r="BX61" s="18"/>
      <c r="BY61" s="19"/>
      <c r="BZ61" s="33" t="str" cm="1">
        <f t="array" ref="BZ61">_xlfn.IFS($D61="","",AND(BX61=$C61,BY61=$D61),3,($C61-$D61)/MAX(ABS($C61-$D61),1)=(BX61-BY61)/MAX(ABS(BX61-BY61),1),1,TRUE,0)</f>
        <v/>
      </c>
      <c r="CA61" s="18"/>
      <c r="CB61" s="19"/>
      <c r="CC61" s="33" t="str" cm="1">
        <f t="array" ref="CC61">_xlfn.IFS($D61="","",AND(CA61=$C61,CB61=$D61),3,($C61-$D61)/MAX(ABS($C61-$D61),1)=(CA61-CB61)/MAX(ABS(CA61-CB61),1),1,TRUE,0)</f>
        <v/>
      </c>
      <c r="CD61" s="18"/>
      <c r="CE61" s="19"/>
      <c r="CF61" s="33" t="str" cm="1">
        <f t="array" ref="CF61">_xlfn.IFS($D61="","",AND(CD61=$C61,CE61=$D61),3,($C61-$D61)/MAX(ABS($C61-$D61),1)=(CD61-CE61)/MAX(ABS(CD61-CE61),1),1,TRUE,0)</f>
        <v/>
      </c>
      <c r="CG61" s="18"/>
      <c r="CH61" s="19"/>
      <c r="CI61" s="33" t="str" cm="1">
        <f t="array" ref="CI61">_xlfn.IFS($D61="","",AND(CG61=$C61,CH61=$D61),3,($C61-$D61)/MAX(ABS($C61-$D61),1)=(CG61-CH61)/MAX(ABS(CG61-CH61),1),1,TRUE,0)</f>
        <v/>
      </c>
      <c r="CJ61" s="18"/>
      <c r="CK61" s="19"/>
      <c r="CL61" s="33" t="str" cm="1">
        <f t="array" ref="CL61">_xlfn.IFS($D61="","",AND(CJ61=$C61,CK61=$D61),3,($C61-$D61)/MAX(ABS($C61-$D61),1)=(CJ61-CK61)/MAX(ABS(CJ61-CK61),1),1,TRUE,0)</f>
        <v/>
      </c>
      <c r="CM61" s="18"/>
      <c r="CN61" s="19"/>
      <c r="CO61" s="33" t="str" cm="1">
        <f t="array" ref="CO61">_xlfn.IFS($D61="","",AND(CM61=$C61,CN61=$D61),3,($C61-$D61)/MAX(ABS($C61-$D61),1)=(CM61-CN61)/MAX(ABS(CM61-CN61),1),1,TRUE,0)</f>
        <v/>
      </c>
      <c r="CP61" s="18"/>
      <c r="CQ61" s="19"/>
      <c r="CR61" s="33" t="str" cm="1">
        <f t="array" ref="CR61">_xlfn.IFS($D61="","",AND(CP61=$C61,CQ61=$D61),3,($C61-$D61)/MAX(ABS($C61-$D61),1)=(CP61-CQ61)/MAX(ABS(CP61-CQ61),1),1,TRUE,0)</f>
        <v/>
      </c>
      <c r="CS61" s="18"/>
      <c r="CT61" s="19"/>
      <c r="CU61" s="33" t="str" cm="1">
        <f t="array" ref="CU61">_xlfn.IFS($D61="","",AND(CS61=$C61,CT61=$D61),3,($C61-$D61)/MAX(ABS($C61-$D61),1)=(CS61-CT61)/MAX(ABS(CS61-CT61),1),1,TRUE,0)</f>
        <v/>
      </c>
      <c r="CV61" s="18"/>
      <c r="CW61" s="19"/>
      <c r="CX61" s="33" t="str" cm="1">
        <f t="array" ref="CX61">_xlfn.IFS($D61="","",AND(CV61=$C61,CW61=$D61),3,($C61-$D61)/MAX(ABS($C61-$D61),1)=(CV61-CW61)/MAX(ABS(CV61-CW61),1),1,TRUE,0)</f>
        <v/>
      </c>
      <c r="CY61" s="18"/>
      <c r="CZ61" s="19"/>
      <c r="DA61" s="33" t="str" cm="1">
        <f t="array" ref="DA61">_xlfn.IFS($D61="","",AND(CY61=$C61,CZ61=$D61),3,($C61-$D61)/MAX(ABS($C61-$D61),1)=(CY61-CZ61)/MAX(ABS(CY61-CZ61),1),1,TRUE,0)</f>
        <v/>
      </c>
      <c r="DB61" s="37"/>
      <c r="DC61" s="38"/>
      <c r="DD61" s="33" t="str" cm="1">
        <f t="array" ref="DD61">_xlfn.IFS($D61="","",AND(DB61=$C61,DC61=$D61),3,($C61-$D61)/MAX(ABS($C61-$D61),1)=(DB61-DC61)/MAX(ABS(DB61-DC61),1),1,TRUE,0)</f>
        <v/>
      </c>
      <c r="DE61" s="18"/>
      <c r="DF61" s="19"/>
      <c r="DG61" s="33" t="str" cm="1">
        <f t="array" ref="DG61">_xlfn.IFS($D61="","",AND(DE61=$C61,DF61=$D61),3,($C61-$D61)/MAX(ABS($C61-$D61),1)=(DE61-DF61)/MAX(ABS(DE61-DF61),1),1,TRUE,0)</f>
        <v/>
      </c>
      <c r="DH61" s="18"/>
      <c r="DI61" s="19"/>
      <c r="DJ61" s="33" t="str" cm="1">
        <f t="array" ref="DJ61">_xlfn.IFS($D61="","",AND(DH61=$C61,DI61=$D61),3,($C61-$D61)/MAX(ABS($C61-$D61),1)=(DH61-DI61)/MAX(ABS(DH61-DI61),1),1,TRUE,0)</f>
        <v/>
      </c>
      <c r="DK61" s="18"/>
      <c r="DL61" s="19"/>
      <c r="DM61" s="33" t="str" cm="1">
        <f t="array" ref="DM61">_xlfn.IFS($D61="","",AND(DK61=$C61,DL61=$D61),3,($C61-$D61)/MAX(ABS($C61-$D61),1)=(DK61-DL61)/MAX(ABS(DK61-DL61),1),1,TRUE,0)</f>
        <v/>
      </c>
      <c r="DN61" s="18"/>
      <c r="DO61" s="19"/>
      <c r="DP61" s="33" t="str" cm="1">
        <f t="array" ref="DP61">_xlfn.IFS($D61="","",AND(DN61=$C61,DO61=$D61),3,($C61-$D61)/MAX(ABS($C61-$D61),1)=(DN61-DO61)/MAX(ABS(DN61-DO61),1),1,TRUE,0)</f>
        <v/>
      </c>
      <c r="DQ61" s="18"/>
      <c r="DR61" s="19"/>
      <c r="DS61" s="33" t="str" cm="1">
        <f t="array" ref="DS61">_xlfn.IFS($D61="","",AND(DQ61=$C61,DR61=$D61),3,($C61-$D61)/MAX(ABS($C61-$D61),1)=(DQ61-DR61)/MAX(ABS(DQ61-DR61),1),1,TRUE,0)</f>
        <v/>
      </c>
      <c r="DT61" s="18"/>
      <c r="DU61" s="19"/>
      <c r="DV61" s="33" t="str" cm="1">
        <f t="array" ref="DV61">_xlfn.IFS($D61="","",AND(DT61=$C61,DU61=$D61),3,($C61-$D61)/MAX(ABS($C61-$D61),1)=(DT61-DU61)/MAX(ABS(DT61-DU61),1),1,TRUE,0)</f>
        <v/>
      </c>
      <c r="DW61" s="18"/>
      <c r="DX61" s="19"/>
      <c r="DY61" s="33" t="str" cm="1">
        <f t="array" ref="DY61">_xlfn.IFS($D61="","",AND(DW61=$C61,DX61=$D61),3,($C61-$D61)/MAX(ABS($C61-$D61),1)=(DW61-DX61)/MAX(ABS(DW61-DX61),1),1,TRUE,0)</f>
        <v/>
      </c>
      <c r="DZ61" s="18"/>
      <c r="EA61" s="19"/>
      <c r="EB61" s="33" t="str" cm="1">
        <f t="array" ref="EB61">_xlfn.IFS($D61="","",AND(DZ61=$C61,EA61=$D61),3,($C61-$D61)/MAX(ABS($C61-$D61),1)=(DZ61-EA61)/MAX(ABS(DZ61-EA61),1),1,TRUE,0)</f>
        <v/>
      </c>
      <c r="EC61" s="18"/>
      <c r="ED61" s="19"/>
      <c r="EE61" s="33" t="str" cm="1">
        <f t="array" ref="EE61">_xlfn.IFS($D61="","",AND(EC61=$C61,ED61=$D61),3,($C61-$D61)/MAX(ABS($C61-$D61),1)=(EC61-ED61)/MAX(ABS(EC61-ED61),1),1,TRUE,0)</f>
        <v/>
      </c>
      <c r="EF61" s="18"/>
      <c r="EG61" s="19"/>
      <c r="EH61" s="33" t="str" cm="1">
        <f t="array" ref="EH61">_xlfn.IFS($D61="","",AND(EF61=$C61,EG61=$D61),3,($C61-$D61)/MAX(ABS($C61-$D61),1)=(EF61-EG61)/MAX(ABS(EF61-EG61),1),1,TRUE,0)</f>
        <v/>
      </c>
      <c r="EI61" s="50"/>
      <c r="EJ61" s="51"/>
      <c r="EK61" s="33" t="str" cm="1">
        <f t="array" ref="EK61">_xlfn.IFS($D61="","",AND(EI61=$C61,EJ61=$D61),3,($C61-$D61)/MAX(ABS($C61-$D61),1)=(EI61-EJ61)/MAX(ABS(EI61-EJ61),1),1,TRUE,0)</f>
        <v/>
      </c>
      <c r="EL61" s="18"/>
      <c r="EM61" s="19"/>
      <c r="EN61" s="33" t="str" cm="1">
        <f t="array" ref="EN61">_xlfn.IFS($D61="","",AND(EL61=$C61,EM61=$D61),3,($C61-$D61)/MAX(ABS($C61-$D61),1)=(EL61-EM61)/MAX(ABS(EL61-EM61),1),1,TRUE,0)</f>
        <v/>
      </c>
      <c r="EO61" s="18"/>
      <c r="EP61" s="19"/>
      <c r="EQ61" s="33" t="str" cm="1">
        <f t="array" ref="EQ61">_xlfn.IFS($D61="","",AND(EO61=$C61,EP61=$D61),3,($C61-$D61)/MAX(ABS($C61-$D61),1)=(EO61-EP61)/MAX(ABS(EO61-EP61),1),1,TRUE,0)</f>
        <v/>
      </c>
      <c r="ER61" s="18"/>
      <c r="ES61" s="19"/>
      <c r="ET61" s="33" t="str" cm="1">
        <f t="array" ref="ET61">_xlfn.IFS($D61="","",AND(ER61=$C61,ES61=$D61),3,($C61-$D61)/MAX(ABS($C61-$D61),1)=(ER61-ES61)/MAX(ABS(ER61-ES61),1),1,TRUE,0)</f>
        <v/>
      </c>
      <c r="EU61" s="18"/>
      <c r="EV61" s="19"/>
      <c r="EW61" s="33" t="str" cm="1">
        <f t="array" ref="EW61">_xlfn.IFS($D61="","",AND(EU61=$C61,EV61=$D61),3,($C61-$D61)/MAX(ABS($C61-$D61),1)=(EU61-EV61)/MAX(ABS(EU61-EV61),1),1,TRUE,0)</f>
        <v/>
      </c>
      <c r="EX61" s="18"/>
      <c r="EY61" s="19"/>
      <c r="EZ61" s="33" t="str" cm="1">
        <f t="array" ref="EZ61">_xlfn.IFS($D61="","",AND(EX61=$C61,EY61=$D61),3,($C61-$D61)/MAX(ABS($C61-$D61),1)=(EX61-EY61)/MAX(ABS(EX61-EY61),1),1,TRUE,0)</f>
        <v/>
      </c>
      <c r="FA61" s="18"/>
      <c r="FB61" s="19"/>
      <c r="FC61" s="33" t="str" cm="1">
        <f t="array" ref="FC61">_xlfn.IFS($D61="","",AND(FA61=$C61,FB61=$D61),3,($C61-$D61)/MAX(ABS($C61-$D61),1)=(FA61-FB61)/MAX(ABS(FA61-FB61),1),1,TRUE,0)</f>
        <v/>
      </c>
      <c r="FD61" s="18"/>
      <c r="FE61" s="19"/>
      <c r="FF61" s="33" t="str" cm="1">
        <f t="array" ref="FF61">_xlfn.IFS($D61="","",AND(FD61=$C61,FE61=$D61),3,($C61-$D61)/MAX(ABS($C61-$D61),1)=(FD61-FE61)/MAX(ABS(FD61-FE61),1),1,TRUE,0)</f>
        <v/>
      </c>
      <c r="FG61" s="18"/>
      <c r="FH61" s="19"/>
      <c r="FI61" s="33" t="str" cm="1">
        <f t="array" ref="FI61">_xlfn.IFS($D61="","",AND(FG61=$C61,FH61=$D61),3,($C61-$D61)/MAX(ABS($C61-$D61),1)=(FG61-FH61)/MAX(ABS(FG61-FH61),1),1,TRUE,0)</f>
        <v/>
      </c>
      <c r="FJ61" s="18"/>
      <c r="FK61" s="19"/>
      <c r="FL61" s="33" t="str" cm="1">
        <f t="array" ref="FL61">_xlfn.IFS($D61="","",AND(FJ61=$C61,FK61=$D61),3,($C61-$D61)/MAX(ABS($C61-$D61),1)=(FJ61-FK61)/MAX(ABS(FJ61-FK61),1),1,TRUE,0)</f>
        <v/>
      </c>
      <c r="FM61" s="18"/>
      <c r="FN61" s="19"/>
      <c r="FO61" s="33" t="str" cm="1">
        <f t="array" ref="FO61">_xlfn.IFS($D61="","",AND(FM61=$C61,FN61=$D61),3,($C61-$D61)/MAX(ABS($C61-$D61),1)=(FM61-FN61)/MAX(ABS(FM61-FN61),1),1,TRUE,0)</f>
        <v/>
      </c>
      <c r="FP61" s="18"/>
      <c r="FQ61" s="19"/>
      <c r="FR61" s="33" t="str" cm="1">
        <f t="array" ref="FR61">_xlfn.IFS($D61="","",AND(FP61=$C61,FQ61=$D61),3,($C61-$D61)/MAX(ABS($C61-$D61),1)=(FP61-FQ61)/MAX(ABS(FP61-FQ61),1),1,TRUE,0)</f>
        <v/>
      </c>
      <c r="FS61" s="18"/>
      <c r="FT61" s="19"/>
      <c r="FU61" s="33" t="str" cm="1">
        <f t="array" ref="FU61">_xlfn.IFS($D61="","",AND(FS61=$C61,FT61=$D61),3,($C61-$D61)/MAX(ABS($C61-$D61),1)=(FS61-FT61)/MAX(ABS(FS61-FT61),1),1,TRUE,0)</f>
        <v/>
      </c>
      <c r="FV61" s="18"/>
      <c r="FW61" s="19"/>
      <c r="FX61" s="33" t="str" cm="1">
        <f t="array" ref="FX61">_xlfn.IFS($D61="","",AND(FV61=$C61,FW61=$D61),3,($C61-$D61)/MAX(ABS($C61-$D61),1)=(FV61-FW61)/MAX(ABS(FV61-FW61),1),1,TRUE,0)</f>
        <v/>
      </c>
      <c r="FY61" s="18"/>
      <c r="FZ61" s="19"/>
      <c r="GA61" s="33" t="str" cm="1">
        <f t="array" ref="GA61">_xlfn.IFS($D61="","",AND(FY61=$C61,FZ61=$D61),3,($C61-$D61)/MAX(ABS($C61-$D61),1)=(FY61-FZ61)/MAX(ABS(FY61-FZ61),1),1,TRUE,0)</f>
        <v/>
      </c>
      <c r="GB61" s="18"/>
      <c r="GC61" s="19"/>
      <c r="GD61" s="33" t="str" cm="1">
        <f t="array" ref="GD61">_xlfn.IFS($D61="","",AND(GB61=$C61,GC61=$D61),3,($C61-$D61)/MAX(ABS($C61-$D61),1)=(GB61-GC61)/MAX(ABS(GB61-GC61),1),1,TRUE,0)</f>
        <v/>
      </c>
      <c r="GE61" s="52"/>
      <c r="GF61" s="19"/>
      <c r="GG61" s="33" t="str" cm="1">
        <f t="array" ref="GG61">_xlfn.IFS($D61="","",AND(GE61=$C61,GF61=$D61),3,($C61-$D61)/MAX(ABS($C61-$D61),1)=(GE61-GF61)/MAX(ABS(GE61-GF61),1),1,TRUE,0)</f>
        <v/>
      </c>
      <c r="GH61" s="18"/>
      <c r="GI61" s="19"/>
      <c r="GJ61" s="33" t="str" cm="1">
        <f t="array" ref="GJ61">_xlfn.IFS($D61="","",AND(GH61=$C61,GI61=$D61),3,($C61-$D61)/MAX(ABS($C61-$D61),1)=(GH61-GI61)/MAX(ABS(GH61-GI61),1),1,TRUE,0)</f>
        <v/>
      </c>
      <c r="GK61" s="18"/>
      <c r="GL61" s="19"/>
      <c r="GM61" s="33" t="str" cm="1">
        <f t="array" ref="GM61">_xlfn.IFS($D61="","",AND(GK61=$C61,GL61=$D61),3,($C61-$D61)/MAX(ABS($C61-$D61),1)=(GK61-GL61)/MAX(ABS(GK61-GL61),1),1,TRUE,0)</f>
        <v/>
      </c>
      <c r="GN61" s="18"/>
      <c r="GO61" s="19"/>
      <c r="GP61" s="33" t="str" cm="1">
        <f t="array" ref="GP61">_xlfn.IFS($D61="","",AND(GN61=$C61,GO61=$D61),3,($C61-$D61)/MAX(ABS($C61-$D61),1)=(GN61-GO61)/MAX(ABS(GN61-GO61),1),1,TRUE,0)</f>
        <v/>
      </c>
      <c r="GQ61" s="18"/>
      <c r="GR61" s="19"/>
      <c r="GS61" s="33" t="str" cm="1">
        <f t="array" ref="GS61">_xlfn.IFS($D61="","",AND(GQ61=$C61,GR61=$D61),3,($C61-$D61)/MAX(ABS($C61-$D61),1)=(GQ61-GR61)/MAX(ABS(GQ61-GR61),1),1,TRUE,0)</f>
        <v/>
      </c>
      <c r="GT61" s="18"/>
      <c r="GU61" s="19"/>
      <c r="GV61" s="33" t="str" cm="1">
        <f t="array" ref="GV61">_xlfn.IFS($D61="","",AND(GT61=$C61,GU61=$D61),3,($C61-$D61)/MAX(ABS($C61-$D61),1)=(GT61-GU61)/MAX(ABS(GT61-GU61),1),1,TRUE,0)</f>
        <v/>
      </c>
      <c r="GW61" s="18"/>
      <c r="GX61" s="19"/>
      <c r="GY61" s="33" t="str" cm="1">
        <f t="array" ref="GY61">_xlfn.IFS($D61="","",AND(GW61=$C61,GX61=$D61),3,($C61-$D61)/MAX(ABS($C61-$D61),1)=(GW61-GX61)/MAX(ABS(GW61-GX61),1),1,TRUE,0)</f>
        <v/>
      </c>
      <c r="GZ61" s="18"/>
      <c r="HA61" s="19"/>
      <c r="HB61" s="33" t="str" cm="1">
        <f t="array" ref="HB61">_xlfn.IFS($D61="","",AND(GZ61=$C61,HA61=$D61),3,($C61-$D61)/MAX(ABS($C61-$D61),1)=(GZ61-HA61)/MAX(ABS(GZ61-HA61),1),1,TRUE,0)</f>
        <v/>
      </c>
      <c r="HC61" s="18"/>
      <c r="HD61" s="19"/>
      <c r="HE61" s="33" t="str" cm="1">
        <f t="array" ref="HE61">_xlfn.IFS($D61="","",AND(HC61=$C61,HD61=$D61),3,($C61-$D61)/MAX(ABS($C61-$D61),1)=(HC61-HD61)/MAX(ABS(HC61-HD61),1),1,TRUE,0)</f>
        <v/>
      </c>
      <c r="HF61" s="18"/>
      <c r="HG61" s="19"/>
      <c r="HH61" s="33" t="str" cm="1">
        <f t="array" ref="HH61">_xlfn.IFS($D61="","",AND(HF61=$C61,HG61=$D61),3,($C61-$D61)/MAX(ABS($C61-$D61),1)=(HF61-HG61)/MAX(ABS(HF61-HG61),1),1,TRUE,0)</f>
        <v/>
      </c>
      <c r="HI61" s="18"/>
      <c r="HJ61" s="19"/>
      <c r="HK61" s="33" t="str" cm="1">
        <f t="array" ref="HK61">_xlfn.IFS($D61="","",AND(HI61=$C61,HJ61=$D61),3,($C61-$D61)/MAX(ABS($C61-$D61),1)=(HI61-HJ61)/MAX(ABS(HI61-HJ61),1),1,TRUE,0)</f>
        <v/>
      </c>
      <c r="HL61" s="18"/>
      <c r="HM61" s="19"/>
      <c r="HN61" s="33" t="str" cm="1">
        <f t="array" ref="HN61">_xlfn.IFS($D61="","",AND(HL61=$C61,HM61=$D61),3,($C61-$D61)/MAX(ABS($C61-$D61),1)=(HL61-HM61)/MAX(ABS(HL61-HM61),1),1,TRUE,0)</f>
        <v/>
      </c>
      <c r="HO61" s="18"/>
      <c r="HP61" s="19"/>
      <c r="HQ61" s="33" t="str" cm="1">
        <f t="array" ref="HQ61">_xlfn.IFS($D61="","",AND(HO61=$C61,HP61=$D61),3,($C61-$D61)/MAX(ABS($C61-$D61),1)=(HO61-HP61)/MAX(ABS(HO61-HP61),1),1,TRUE,0)</f>
        <v/>
      </c>
      <c r="HR61" s="18"/>
      <c r="HS61" s="19"/>
      <c r="HT61" s="33" t="str" cm="1">
        <f t="array" ref="HT61">_xlfn.IFS($D61="","",AND(HR61=$C61,HS61=$D61),3,($C61-$D61)/MAX(ABS($C61-$D61),1)=(HR61-HS61)/MAX(ABS(HR61-HS61),1),1,TRUE,0)</f>
        <v/>
      </c>
      <c r="HU61" s="18"/>
      <c r="HV61" s="19"/>
      <c r="HW61" s="33" t="str" cm="1">
        <f t="array" ref="HW61">_xlfn.IFS($D61="","",AND(HU61=$C61,HV61=$D61),3,($C61-$D61)/MAX(ABS($C61-$D61),1)=(HU61-HV61)/MAX(ABS(HU61-HV61),1),1,TRUE,0)</f>
        <v/>
      </c>
      <c r="HX61" s="18"/>
      <c r="HY61" s="19"/>
      <c r="HZ61" s="33" t="str" cm="1">
        <f t="array" ref="HZ61">_xlfn.IFS($D61="","",AND(HX61=$C61,HY61=$D61),3,($C61-$D61)/MAX(ABS($C61-$D61),1)=(HX61-HY61)/MAX(ABS(HX61-HY61),1),1,TRUE,0)</f>
        <v/>
      </c>
      <c r="IA61" s="18"/>
      <c r="IB61" s="19"/>
      <c r="IC61" s="33" t="str" cm="1">
        <f t="array" ref="IC61">_xlfn.IFS($D61="","",AND(IA61=$C61,IB61=$D61),3,($C61-$D61)/MAX(ABS($C61-$D61),1)=(IA61-IB61)/MAX(ABS(IA61-IB61),1),1,TRUE,0)</f>
        <v/>
      </c>
      <c r="ID61" s="18"/>
      <c r="IE61" s="19"/>
      <c r="IF61" s="33" t="str" cm="1">
        <f t="array" ref="IF61">_xlfn.IFS($D61="","",AND(ID61=$C61,IE61=$D61),3,($C61-$D61)/MAX(ABS($C61-$D61),1)=(ID61-IE61)/MAX(ABS(ID61-IE61),1),1,TRUE,0)</f>
        <v/>
      </c>
      <c r="IG61" s="18"/>
      <c r="IH61" s="19"/>
      <c r="II61" s="33" t="str" cm="1">
        <f t="array" ref="II61">_xlfn.IFS($D61="","",AND(IG61=$C61,IH61=$D61),3,($C61-$D61)/MAX(ABS($C61-$D61),1)=(IG61-IH61)/MAX(ABS(IG61-IH61),1),1,TRUE,0)</f>
        <v/>
      </c>
      <c r="IJ61" s="18"/>
      <c r="IK61" s="19"/>
      <c r="IL61" s="33" t="str" cm="1">
        <f t="array" ref="IL61">_xlfn.IFS($D61="","",AND(IJ61=$C61,IK61=$D61),3,($C61-$D61)/MAX(ABS($C61-$D61),1)=(IJ61-IK61)/MAX(ABS(IJ61-IK61),1),1,TRUE,0)</f>
        <v/>
      </c>
      <c r="IM61" s="18"/>
      <c r="IN61" s="19"/>
      <c r="IO61" s="33" t="str" cm="1">
        <f t="array" ref="IO61">_xlfn.IFS($D61="","",AND(IM61=$C61,IN61=$D61),3,($C61-$D61)/MAX(ABS($C61-$D61),1)=(IM61-IN61)/MAX(ABS(IM61-IN61),1),1,TRUE,0)</f>
        <v/>
      </c>
      <c r="IP61" s="18"/>
      <c r="IQ61" s="19"/>
      <c r="IR61" s="33" t="str" cm="1">
        <f t="array" ref="IR61">_xlfn.IFS($D61="","",AND(IP61=$C61,IQ61=$D61),3,($C61-$D61)/MAX(ABS($C61-$D61),1)=(IP61-IQ61)/MAX(ABS(IP61-IQ61),1),1,TRUE,0)</f>
        <v/>
      </c>
      <c r="IS61" s="18"/>
      <c r="IT61" s="19"/>
      <c r="IU61" s="33" t="str" cm="1">
        <f t="array" ref="IU61">_xlfn.IFS($D61="","",AND(IS61=$C61,IT61=$D61),3,($C61-$D61)/MAX(ABS($C61-$D61),1)=(IS61-IT61)/MAX(ABS(IS61-IT61),1),1,TRUE,0)</f>
        <v/>
      </c>
      <c r="IV61" s="18"/>
      <c r="IW61" s="19"/>
      <c r="IX61" s="33" t="str" cm="1">
        <f t="array" ref="IX61">_xlfn.IFS($D61="","",AND(IV61=$C61,IW61=$D61),3,($C61-$D61)/MAX(ABS($C61-$D61),1)=(IV61-IW61)/MAX(ABS(IV61-IW61),1),1,TRUE,0)</f>
        <v/>
      </c>
      <c r="IY61" s="18"/>
      <c r="IZ61" s="19"/>
      <c r="JA61" s="33" t="str" cm="1">
        <f t="array" ref="JA61">_xlfn.IFS($D61="","",AND(IY61=$C61,IZ61=$D61),3,($C61-$D61)/MAX(ABS($C61-$D61),1)=(IY61-IZ61)/MAX(ABS(IY61-IZ61),1),1,TRUE,0)</f>
        <v/>
      </c>
      <c r="JB61" s="18"/>
      <c r="JC61" s="19"/>
      <c r="JD61" s="33" t="str" cm="1">
        <f t="array" ref="JD61">_xlfn.IFS($D61="","",AND(JB61=$C61,JC61=$D61),3,($C61-$D61)/MAX(ABS($C61-$D61),1)=(JB61-JC61)/MAX(ABS(JB61-JC61),1),1,TRUE,0)</f>
        <v/>
      </c>
    </row>
    <row r="62" spans="1:264" ht="15" thickBot="1" x14ac:dyDescent="0.35">
      <c r="A62" s="22">
        <v>46199</v>
      </c>
      <c r="B62" s="28" t="s">
        <v>64</v>
      </c>
      <c r="C62" s="53" t="str" cm="1">
        <f t="array" ref="C62">_xlfn.LET(
_xlpm.x,_xlfn.XLOOKUP(1,(Scores_Fixtures[Date]=A62)*(Scores_Fixtures[Home.1]=B62),Scores_Fixtures[Score.1],""),
IF(_xlpm.x="","",_xlpm.x)
)</f>
        <v/>
      </c>
      <c r="D62" s="53" t="str" cm="1">
        <f t="array" ref="D62">_xlfn.LET(
_xlpm.x,_xlfn.XLOOKUP(1,(Scores_Fixtures[Date]=A62)*(Scores_Fixtures[Home.1]=B62),Scores_Fixtures[Score.2],""),
IF(_xlpm.x="","",_xlpm.x)
)</f>
        <v/>
      </c>
      <c r="E62" s="12" t="s">
        <v>41</v>
      </c>
      <c r="F62" s="15"/>
      <c r="G62" s="53"/>
      <c r="H62" s="53"/>
      <c r="I62" s="33" t="str" cm="1">
        <f t="array" ref="I62">_xlfn.IFS($D62="","",AND(G62=$C62,H62=$D62),3,($C62-$D62)/MAX(ABS($C62-$D62),1)=(G62-H62)/MAX(ABS(G62-H62),1),1,TRUE,0)</f>
        <v/>
      </c>
      <c r="J62" s="18"/>
      <c r="K62" s="19"/>
      <c r="L62" s="33" t="str" cm="1">
        <f t="array" ref="L62">_xlfn.IFS($D62="","",AND(J62=$C62,K62=$D62),3,($C62-$D62)/MAX(ABS($C62-$D62),1)=(J62-K62)/MAX(ABS(J62-K62),1),1,TRUE,0)</f>
        <v/>
      </c>
      <c r="M62" s="18"/>
      <c r="N62" s="19"/>
      <c r="O62" s="33" t="str" cm="1">
        <f t="array" ref="O62">_xlfn.IFS($D62="","",AND(M62=$C62,N62=$D62),3,($C62-$D62)/MAX(ABS($C62-$D62),1)=(M62-N62)/MAX(ABS(M62-N62),1),1,TRUE,0)</f>
        <v/>
      </c>
      <c r="P62" s="18"/>
      <c r="Q62" s="19"/>
      <c r="R62" s="33" t="str" cm="1">
        <f t="array" ref="R62">_xlfn.IFS($D62="","",AND(P62=$C62,Q62=$D62),3,($C62-$D62)/MAX(ABS($C62-$D62),1)=(P62-Q62)/MAX(ABS(P62-Q62),1),1,TRUE,0)</f>
        <v/>
      </c>
      <c r="S62" s="18"/>
      <c r="T62" s="19"/>
      <c r="U62" s="33" t="str" cm="1">
        <f t="array" ref="U62">_xlfn.IFS($D62="","",AND(S62=$C62,T62=$D62),3,($C62-$D62)/MAX(ABS($C62-$D62),1)=(S62-T62)/MAX(ABS(S62-T62),1),1,TRUE,0)</f>
        <v/>
      </c>
      <c r="V62" s="18"/>
      <c r="W62" s="19"/>
      <c r="X62" s="33" t="str" cm="1">
        <f t="array" ref="X62">_xlfn.IFS($D62="","",AND(V62=$C62,W62=$D62),3,($C62-$D62)/MAX(ABS($C62-$D62),1)=(V62-W62)/MAX(ABS(V62-W62),1),1,TRUE,0)</f>
        <v/>
      </c>
      <c r="Y62" s="18"/>
      <c r="Z62" s="19"/>
      <c r="AA62" s="33" t="str" cm="1">
        <f t="array" ref="AA62">_xlfn.IFS($D62="","",AND(Y62=$C62,Z62=$D62),3,($C62-$D62)/MAX(ABS($C62-$D62),1)=(Y62-Z62)/MAX(ABS(Y62-Z62),1),1,TRUE,0)</f>
        <v/>
      </c>
      <c r="AB62" s="18"/>
      <c r="AC62" s="19"/>
      <c r="AD62" s="33" t="str" cm="1">
        <f t="array" ref="AD62">_xlfn.IFS($D62="","",AND(AB62=$C62,AC62=$D62),3,($C62-$D62)/MAX(ABS($C62-$D62),1)=(AB62-AC62)/MAX(ABS(AB62-AC62),1),1,TRUE,0)</f>
        <v/>
      </c>
      <c r="AE62" s="18"/>
      <c r="AF62" s="19"/>
      <c r="AG62" s="33" t="str" cm="1">
        <f t="array" ref="AG62">_xlfn.IFS($D62="","",AND(AE62=$C62,AF62=$D62),3,($C62-$D62)/MAX(ABS($C62-$D62),1)=(AE62-AF62)/MAX(ABS(AE62-AF62),1),1,TRUE,0)</f>
        <v/>
      </c>
      <c r="AH62" s="18"/>
      <c r="AI62" s="19"/>
      <c r="AJ62" s="33" t="str" cm="1">
        <f t="array" ref="AJ62">_xlfn.IFS($D62="","",AND(AH62=$C62,AI62=$D62),3,($C62-$D62)/MAX(ABS($C62-$D62),1)=(AH62-AI62)/MAX(ABS(AH62-AI62),1),1,TRUE,0)</f>
        <v/>
      </c>
      <c r="AK62" s="18"/>
      <c r="AL62" s="19"/>
      <c r="AM62" s="33" t="str" cm="1">
        <f t="array" ref="AM62">_xlfn.IFS($D62="","",AND(AK62=$C62,AL62=$D62),3,($C62-$D62)/MAX(ABS($C62-$D62),1)=(AK62-AL62)/MAX(ABS(AK62-AL62),1),1,TRUE,0)</f>
        <v/>
      </c>
      <c r="AN62" s="18"/>
      <c r="AO62" s="19"/>
      <c r="AP62" s="33" t="str" cm="1">
        <f t="array" ref="AP62">_xlfn.IFS($D62="","",AND(AN62=$C62,AO62=$D62),3,($C62-$D62)/MAX(ABS($C62-$D62),1)=(AN62-AO62)/MAX(ABS(AN62-AO62),1),1,TRUE,0)</f>
        <v/>
      </c>
      <c r="AQ62" s="18"/>
      <c r="AR62" s="19"/>
      <c r="AS62" s="33" t="str" cm="1">
        <f t="array" ref="AS62">_xlfn.IFS($D62="","",AND(AQ62=$C62,AR62=$D62),3,($C62-$D62)/MAX(ABS($C62-$D62),1)=(AQ62-AR62)/MAX(ABS(AQ62-AR62),1),1,TRUE,0)</f>
        <v/>
      </c>
      <c r="AT62" s="18"/>
      <c r="AU62" s="19"/>
      <c r="AV62" s="33" t="str" cm="1">
        <f t="array" ref="AV62">_xlfn.IFS($D62="","",AND(AT62=$C62,AU62=$D62),3,($C62-$D62)/MAX(ABS($C62-$D62),1)=(AT62-AU62)/MAX(ABS(AT62-AU62),1),1,TRUE,0)</f>
        <v/>
      </c>
      <c r="AW62" s="18"/>
      <c r="AX62" s="19"/>
      <c r="AY62" s="33" t="str" cm="1">
        <f t="array" ref="AY62">_xlfn.IFS($D62="","",AND(AW62=$C62,AX62=$D62),3,($C62-$D62)/MAX(ABS($C62-$D62),1)=(AW62-AX62)/MAX(ABS(AW62-AX62),1),1,TRUE,0)</f>
        <v/>
      </c>
      <c r="AZ62" s="18"/>
      <c r="BA62" s="19"/>
      <c r="BB62" s="33" t="str" cm="1">
        <f t="array" ref="BB62">_xlfn.IFS($D62="","",AND(AZ62=$C62,BA62=$D62),3,($C62-$D62)/MAX(ABS($C62-$D62),1)=(AZ62-BA62)/MAX(ABS(AZ62-BA62),1),1,TRUE,0)</f>
        <v/>
      </c>
      <c r="BC62" s="18"/>
      <c r="BD62" s="19"/>
      <c r="BE62" s="33" t="str" cm="1">
        <f t="array" ref="BE62">_xlfn.IFS($D62="","",AND(BC62=$C62,BD62=$D62),3,($C62-$D62)/MAX(ABS($C62-$D62),1)=(BC62-BD62)/MAX(ABS(BC62-BD62),1),1,TRUE,0)</f>
        <v/>
      </c>
      <c r="BF62" s="18"/>
      <c r="BG62" s="19"/>
      <c r="BH62" s="33" t="str" cm="1">
        <f t="array" ref="BH62">_xlfn.IFS($D62="","",AND(BF62=$C62,BG62=$D62),3,($C62-$D62)/MAX(ABS($C62-$D62),1)=(BF62-BG62)/MAX(ABS(BF62-BG62),1),1,TRUE,0)</f>
        <v/>
      </c>
      <c r="BI62" s="18"/>
      <c r="BJ62" s="19"/>
      <c r="BK62" s="33" t="str" cm="1">
        <f t="array" ref="BK62">_xlfn.IFS($D62="","",AND(BI62=$C62,BJ62=$D62),3,($C62-$D62)/MAX(ABS($C62-$D62),1)=(BI62-BJ62)/MAX(ABS(BI62-BJ62),1),1,TRUE,0)</f>
        <v/>
      </c>
      <c r="BL62" s="18"/>
      <c r="BM62" s="19"/>
      <c r="BN62" s="33" t="str" cm="1">
        <f t="array" ref="BN62">_xlfn.IFS($D62="","",AND(BL62=$C62,BM62=$D62),3,($C62-$D62)/MAX(ABS($C62-$D62),1)=(BL62-BM62)/MAX(ABS(BL62-BM62),1),1,TRUE,0)</f>
        <v/>
      </c>
      <c r="BO62" s="18"/>
      <c r="BP62" s="19"/>
      <c r="BQ62" s="33" t="str" cm="1">
        <f t="array" ref="BQ62">_xlfn.IFS($D62="","",AND(BO62=$C62,BP62=$D62),3,($C62-$D62)/MAX(ABS($C62-$D62),1)=(BO62-BP62)/MAX(ABS(BO62-BP62),1),1,TRUE,0)</f>
        <v/>
      </c>
      <c r="BR62" s="18"/>
      <c r="BS62" s="19"/>
      <c r="BT62" s="33" t="str" cm="1">
        <f t="array" ref="BT62">_xlfn.IFS($D62="","",AND(BR62=$C62,BS62=$D62),3,($C62-$D62)/MAX(ABS($C62-$D62),1)=(BR62-BS62)/MAX(ABS(BR62-BS62),1),1,TRUE,0)</f>
        <v/>
      </c>
      <c r="BU62" s="18"/>
      <c r="BV62" s="19"/>
      <c r="BW62" s="33" t="str" cm="1">
        <f t="array" ref="BW62">_xlfn.IFS($D62="","",AND(BU62=$C62,BV62=$D62),3,($C62-$D62)/MAX(ABS($C62-$D62),1)=(BU62-BV62)/MAX(ABS(BU62-BV62),1),1,TRUE,0)</f>
        <v/>
      </c>
      <c r="BX62" s="18"/>
      <c r="BY62" s="19"/>
      <c r="BZ62" s="33" t="str" cm="1">
        <f t="array" ref="BZ62">_xlfn.IFS($D62="","",AND(BX62=$C62,BY62=$D62),3,($C62-$D62)/MAX(ABS($C62-$D62),1)=(BX62-BY62)/MAX(ABS(BX62-BY62),1),1,TRUE,0)</f>
        <v/>
      </c>
      <c r="CA62" s="18"/>
      <c r="CB62" s="19"/>
      <c r="CC62" s="33" t="str" cm="1">
        <f t="array" ref="CC62">_xlfn.IFS($D62="","",AND(CA62=$C62,CB62=$D62),3,($C62-$D62)/MAX(ABS($C62-$D62),1)=(CA62-CB62)/MAX(ABS(CA62-CB62),1),1,TRUE,0)</f>
        <v/>
      </c>
      <c r="CD62" s="18"/>
      <c r="CE62" s="19"/>
      <c r="CF62" s="33" t="str" cm="1">
        <f t="array" ref="CF62">_xlfn.IFS($D62="","",AND(CD62=$C62,CE62=$D62),3,($C62-$D62)/MAX(ABS($C62-$D62),1)=(CD62-CE62)/MAX(ABS(CD62-CE62),1),1,TRUE,0)</f>
        <v/>
      </c>
      <c r="CG62" s="18"/>
      <c r="CH62" s="19"/>
      <c r="CI62" s="33" t="str" cm="1">
        <f t="array" ref="CI62">_xlfn.IFS($D62="","",AND(CG62=$C62,CH62=$D62),3,($C62-$D62)/MAX(ABS($C62-$D62),1)=(CG62-CH62)/MAX(ABS(CG62-CH62),1),1,TRUE,0)</f>
        <v/>
      </c>
      <c r="CJ62" s="18"/>
      <c r="CK62" s="19"/>
      <c r="CL62" s="33" t="str" cm="1">
        <f t="array" ref="CL62">_xlfn.IFS($D62="","",AND(CJ62=$C62,CK62=$D62),3,($C62-$D62)/MAX(ABS($C62-$D62),1)=(CJ62-CK62)/MAX(ABS(CJ62-CK62),1),1,TRUE,0)</f>
        <v/>
      </c>
      <c r="CM62" s="18"/>
      <c r="CN62" s="19"/>
      <c r="CO62" s="33" t="str" cm="1">
        <f t="array" ref="CO62">_xlfn.IFS($D62="","",AND(CM62=$C62,CN62=$D62),3,($C62-$D62)/MAX(ABS($C62-$D62),1)=(CM62-CN62)/MAX(ABS(CM62-CN62),1),1,TRUE,0)</f>
        <v/>
      </c>
      <c r="CP62" s="18"/>
      <c r="CQ62" s="19"/>
      <c r="CR62" s="33" t="str" cm="1">
        <f t="array" ref="CR62">_xlfn.IFS($D62="","",AND(CP62=$C62,CQ62=$D62),3,($C62-$D62)/MAX(ABS($C62-$D62),1)=(CP62-CQ62)/MAX(ABS(CP62-CQ62),1),1,TRUE,0)</f>
        <v/>
      </c>
      <c r="CS62" s="18"/>
      <c r="CT62" s="19"/>
      <c r="CU62" s="33" t="str" cm="1">
        <f t="array" ref="CU62">_xlfn.IFS($D62="","",AND(CS62=$C62,CT62=$D62),3,($C62-$D62)/MAX(ABS($C62-$D62),1)=(CS62-CT62)/MAX(ABS(CS62-CT62),1),1,TRUE,0)</f>
        <v/>
      </c>
      <c r="CV62" s="18"/>
      <c r="CW62" s="19"/>
      <c r="CX62" s="33" t="str" cm="1">
        <f t="array" ref="CX62">_xlfn.IFS($D62="","",AND(CV62=$C62,CW62=$D62),3,($C62-$D62)/MAX(ABS($C62-$D62),1)=(CV62-CW62)/MAX(ABS(CV62-CW62),1),1,TRUE,0)</f>
        <v/>
      </c>
      <c r="CY62" s="18"/>
      <c r="CZ62" s="19"/>
      <c r="DA62" s="33" t="str" cm="1">
        <f t="array" ref="DA62">_xlfn.IFS($D62="","",AND(CY62=$C62,CZ62=$D62),3,($C62-$D62)/MAX(ABS($C62-$D62),1)=(CY62-CZ62)/MAX(ABS(CY62-CZ62),1),1,TRUE,0)</f>
        <v/>
      </c>
      <c r="DB62" s="37"/>
      <c r="DC62" s="38"/>
      <c r="DD62" s="33" t="str" cm="1">
        <f t="array" ref="DD62">_xlfn.IFS($D62="","",AND(DB62=$C62,DC62=$D62),3,($C62-$D62)/MAX(ABS($C62-$D62),1)=(DB62-DC62)/MAX(ABS(DB62-DC62),1),1,TRUE,0)</f>
        <v/>
      </c>
      <c r="DE62" s="18"/>
      <c r="DF62" s="19"/>
      <c r="DG62" s="33" t="str" cm="1">
        <f t="array" ref="DG62">_xlfn.IFS($D62="","",AND(DE62=$C62,DF62=$D62),3,($C62-$D62)/MAX(ABS($C62-$D62),1)=(DE62-DF62)/MAX(ABS(DE62-DF62),1),1,TRUE,0)</f>
        <v/>
      </c>
      <c r="DH62" s="18"/>
      <c r="DI62" s="19"/>
      <c r="DJ62" s="33" t="str" cm="1">
        <f t="array" ref="DJ62">_xlfn.IFS($D62="","",AND(DH62=$C62,DI62=$D62),3,($C62-$D62)/MAX(ABS($C62-$D62),1)=(DH62-DI62)/MAX(ABS(DH62-DI62),1),1,TRUE,0)</f>
        <v/>
      </c>
      <c r="DK62" s="18"/>
      <c r="DL62" s="19"/>
      <c r="DM62" s="33" t="str" cm="1">
        <f t="array" ref="DM62">_xlfn.IFS($D62="","",AND(DK62=$C62,DL62=$D62),3,($C62-$D62)/MAX(ABS($C62-$D62),1)=(DK62-DL62)/MAX(ABS(DK62-DL62),1),1,TRUE,0)</f>
        <v/>
      </c>
      <c r="DN62" s="18"/>
      <c r="DO62" s="19"/>
      <c r="DP62" s="33" t="str" cm="1">
        <f t="array" ref="DP62">_xlfn.IFS($D62="","",AND(DN62=$C62,DO62=$D62),3,($C62-$D62)/MAX(ABS($C62-$D62),1)=(DN62-DO62)/MAX(ABS(DN62-DO62),1),1,TRUE,0)</f>
        <v/>
      </c>
      <c r="DQ62" s="18"/>
      <c r="DR62" s="19"/>
      <c r="DS62" s="33" t="str" cm="1">
        <f t="array" ref="DS62">_xlfn.IFS($D62="","",AND(DQ62=$C62,DR62=$D62),3,($C62-$D62)/MAX(ABS($C62-$D62),1)=(DQ62-DR62)/MAX(ABS(DQ62-DR62),1),1,TRUE,0)</f>
        <v/>
      </c>
      <c r="DT62" s="18"/>
      <c r="DU62" s="19"/>
      <c r="DV62" s="33" t="str" cm="1">
        <f t="array" ref="DV62">_xlfn.IFS($D62="","",AND(DT62=$C62,DU62=$D62),3,($C62-$D62)/MAX(ABS($C62-$D62),1)=(DT62-DU62)/MAX(ABS(DT62-DU62),1),1,TRUE,0)</f>
        <v/>
      </c>
      <c r="DW62" s="18"/>
      <c r="DX62" s="19"/>
      <c r="DY62" s="33" t="str" cm="1">
        <f t="array" ref="DY62">_xlfn.IFS($D62="","",AND(DW62=$C62,DX62=$D62),3,($C62-$D62)/MAX(ABS($C62-$D62),1)=(DW62-DX62)/MAX(ABS(DW62-DX62),1),1,TRUE,0)</f>
        <v/>
      </c>
      <c r="DZ62" s="18"/>
      <c r="EA62" s="19"/>
      <c r="EB62" s="33" t="str" cm="1">
        <f t="array" ref="EB62">_xlfn.IFS($D62="","",AND(DZ62=$C62,EA62=$D62),3,($C62-$D62)/MAX(ABS($C62-$D62),1)=(DZ62-EA62)/MAX(ABS(DZ62-EA62),1),1,TRUE,0)</f>
        <v/>
      </c>
      <c r="EC62" s="18"/>
      <c r="ED62" s="19"/>
      <c r="EE62" s="33" t="str" cm="1">
        <f t="array" ref="EE62">_xlfn.IFS($D62="","",AND(EC62=$C62,ED62=$D62),3,($C62-$D62)/MAX(ABS($C62-$D62),1)=(EC62-ED62)/MAX(ABS(EC62-ED62),1),1,TRUE,0)</f>
        <v/>
      </c>
      <c r="EF62" s="18"/>
      <c r="EG62" s="19"/>
      <c r="EH62" s="33" t="str" cm="1">
        <f t="array" ref="EH62">_xlfn.IFS($D62="","",AND(EF62=$C62,EG62=$D62),3,($C62-$D62)/MAX(ABS($C62-$D62),1)=(EF62-EG62)/MAX(ABS(EF62-EG62),1),1,TRUE,0)</f>
        <v/>
      </c>
      <c r="EI62" s="50"/>
      <c r="EJ62" s="51"/>
      <c r="EK62" s="33" t="str" cm="1">
        <f t="array" ref="EK62">_xlfn.IFS($D62="","",AND(EI62=$C62,EJ62=$D62),3,($C62-$D62)/MAX(ABS($C62-$D62),1)=(EI62-EJ62)/MAX(ABS(EI62-EJ62),1),1,TRUE,0)</f>
        <v/>
      </c>
      <c r="EL62" s="18"/>
      <c r="EM62" s="19"/>
      <c r="EN62" s="33" t="str" cm="1">
        <f t="array" ref="EN62">_xlfn.IFS($D62="","",AND(EL62=$C62,EM62=$D62),3,($C62-$D62)/MAX(ABS($C62-$D62),1)=(EL62-EM62)/MAX(ABS(EL62-EM62),1),1,TRUE,0)</f>
        <v/>
      </c>
      <c r="EO62" s="18"/>
      <c r="EP62" s="19"/>
      <c r="EQ62" s="33" t="str" cm="1">
        <f t="array" ref="EQ62">_xlfn.IFS($D62="","",AND(EO62=$C62,EP62=$D62),3,($C62-$D62)/MAX(ABS($C62-$D62),1)=(EO62-EP62)/MAX(ABS(EO62-EP62),1),1,TRUE,0)</f>
        <v/>
      </c>
      <c r="ER62" s="18"/>
      <c r="ES62" s="19"/>
      <c r="ET62" s="33" t="str" cm="1">
        <f t="array" ref="ET62">_xlfn.IFS($D62="","",AND(ER62=$C62,ES62=$D62),3,($C62-$D62)/MAX(ABS($C62-$D62),1)=(ER62-ES62)/MAX(ABS(ER62-ES62),1),1,TRUE,0)</f>
        <v/>
      </c>
      <c r="EU62" s="18"/>
      <c r="EV62" s="19"/>
      <c r="EW62" s="33" t="str" cm="1">
        <f t="array" ref="EW62">_xlfn.IFS($D62="","",AND(EU62=$C62,EV62=$D62),3,($C62-$D62)/MAX(ABS($C62-$D62),1)=(EU62-EV62)/MAX(ABS(EU62-EV62),1),1,TRUE,0)</f>
        <v/>
      </c>
      <c r="EX62" s="18"/>
      <c r="EY62" s="19"/>
      <c r="EZ62" s="33" t="str" cm="1">
        <f t="array" ref="EZ62">_xlfn.IFS($D62="","",AND(EX62=$C62,EY62=$D62),3,($C62-$D62)/MAX(ABS($C62-$D62),1)=(EX62-EY62)/MAX(ABS(EX62-EY62),1),1,TRUE,0)</f>
        <v/>
      </c>
      <c r="FA62" s="18"/>
      <c r="FB62" s="19"/>
      <c r="FC62" s="33" t="str" cm="1">
        <f t="array" ref="FC62">_xlfn.IFS($D62="","",AND(FA62=$C62,FB62=$D62),3,($C62-$D62)/MAX(ABS($C62-$D62),1)=(FA62-FB62)/MAX(ABS(FA62-FB62),1),1,TRUE,0)</f>
        <v/>
      </c>
      <c r="FD62" s="18"/>
      <c r="FE62" s="19"/>
      <c r="FF62" s="33" t="str" cm="1">
        <f t="array" ref="FF62">_xlfn.IFS($D62="","",AND(FD62=$C62,FE62=$D62),3,($C62-$D62)/MAX(ABS($C62-$D62),1)=(FD62-FE62)/MAX(ABS(FD62-FE62),1),1,TRUE,0)</f>
        <v/>
      </c>
      <c r="FG62" s="18"/>
      <c r="FH62" s="19"/>
      <c r="FI62" s="33" t="str" cm="1">
        <f t="array" ref="FI62">_xlfn.IFS($D62="","",AND(FG62=$C62,FH62=$D62),3,($C62-$D62)/MAX(ABS($C62-$D62),1)=(FG62-FH62)/MAX(ABS(FG62-FH62),1),1,TRUE,0)</f>
        <v/>
      </c>
      <c r="FJ62" s="18"/>
      <c r="FK62" s="19"/>
      <c r="FL62" s="33" t="str" cm="1">
        <f t="array" ref="FL62">_xlfn.IFS($D62="","",AND(FJ62=$C62,FK62=$D62),3,($C62-$D62)/MAX(ABS($C62-$D62),1)=(FJ62-FK62)/MAX(ABS(FJ62-FK62),1),1,TRUE,0)</f>
        <v/>
      </c>
      <c r="FM62" s="18"/>
      <c r="FN62" s="19"/>
      <c r="FO62" s="33" t="str" cm="1">
        <f t="array" ref="FO62">_xlfn.IFS($D62="","",AND(FM62=$C62,FN62=$D62),3,($C62-$D62)/MAX(ABS($C62-$D62),1)=(FM62-FN62)/MAX(ABS(FM62-FN62),1),1,TRUE,0)</f>
        <v/>
      </c>
      <c r="FP62" s="18"/>
      <c r="FQ62" s="19"/>
      <c r="FR62" s="33" t="str" cm="1">
        <f t="array" ref="FR62">_xlfn.IFS($D62="","",AND(FP62=$C62,FQ62=$D62),3,($C62-$D62)/MAX(ABS($C62-$D62),1)=(FP62-FQ62)/MAX(ABS(FP62-FQ62),1),1,TRUE,0)</f>
        <v/>
      </c>
      <c r="FS62" s="18"/>
      <c r="FT62" s="19"/>
      <c r="FU62" s="33" t="str" cm="1">
        <f t="array" ref="FU62">_xlfn.IFS($D62="","",AND(FS62=$C62,FT62=$D62),3,($C62-$D62)/MAX(ABS($C62-$D62),1)=(FS62-FT62)/MAX(ABS(FS62-FT62),1),1,TRUE,0)</f>
        <v/>
      </c>
      <c r="FV62" s="18"/>
      <c r="FW62" s="19"/>
      <c r="FX62" s="33" t="str" cm="1">
        <f t="array" ref="FX62">_xlfn.IFS($D62="","",AND(FV62=$C62,FW62=$D62),3,($C62-$D62)/MAX(ABS($C62-$D62),1)=(FV62-FW62)/MAX(ABS(FV62-FW62),1),1,TRUE,0)</f>
        <v/>
      </c>
      <c r="FY62" s="18"/>
      <c r="FZ62" s="19"/>
      <c r="GA62" s="33" t="str" cm="1">
        <f t="array" ref="GA62">_xlfn.IFS($D62="","",AND(FY62=$C62,FZ62=$D62),3,($C62-$D62)/MAX(ABS($C62-$D62),1)=(FY62-FZ62)/MAX(ABS(FY62-FZ62),1),1,TRUE,0)</f>
        <v/>
      </c>
      <c r="GB62" s="18"/>
      <c r="GC62" s="19"/>
      <c r="GD62" s="33" t="str" cm="1">
        <f t="array" ref="GD62">_xlfn.IFS($D62="","",AND(GB62=$C62,GC62=$D62),3,($C62-$D62)/MAX(ABS($C62-$D62),1)=(GB62-GC62)/MAX(ABS(GB62-GC62),1),1,TRUE,0)</f>
        <v/>
      </c>
      <c r="GE62" s="52"/>
      <c r="GF62" s="19"/>
      <c r="GG62" s="33" t="str" cm="1">
        <f t="array" ref="GG62">_xlfn.IFS($D62="","",AND(GE62=$C62,GF62=$D62),3,($C62-$D62)/MAX(ABS($C62-$D62),1)=(GE62-GF62)/MAX(ABS(GE62-GF62),1),1,TRUE,0)</f>
        <v/>
      </c>
      <c r="GH62" s="18"/>
      <c r="GI62" s="19"/>
      <c r="GJ62" s="33" t="str" cm="1">
        <f t="array" ref="GJ62">_xlfn.IFS($D62="","",AND(GH62=$C62,GI62=$D62),3,($C62-$D62)/MAX(ABS($C62-$D62),1)=(GH62-GI62)/MAX(ABS(GH62-GI62),1),1,TRUE,0)</f>
        <v/>
      </c>
      <c r="GK62" s="18"/>
      <c r="GL62" s="19"/>
      <c r="GM62" s="33" t="str" cm="1">
        <f t="array" ref="GM62">_xlfn.IFS($D62="","",AND(GK62=$C62,GL62=$D62),3,($C62-$D62)/MAX(ABS($C62-$D62),1)=(GK62-GL62)/MAX(ABS(GK62-GL62),1),1,TRUE,0)</f>
        <v/>
      </c>
      <c r="GN62" s="18"/>
      <c r="GO62" s="19"/>
      <c r="GP62" s="33" t="str" cm="1">
        <f t="array" ref="GP62">_xlfn.IFS($D62="","",AND(GN62=$C62,GO62=$D62),3,($C62-$D62)/MAX(ABS($C62-$D62),1)=(GN62-GO62)/MAX(ABS(GN62-GO62),1),1,TRUE,0)</f>
        <v/>
      </c>
      <c r="GQ62" s="18"/>
      <c r="GR62" s="19"/>
      <c r="GS62" s="33" t="str" cm="1">
        <f t="array" ref="GS62">_xlfn.IFS($D62="","",AND(GQ62=$C62,GR62=$D62),3,($C62-$D62)/MAX(ABS($C62-$D62),1)=(GQ62-GR62)/MAX(ABS(GQ62-GR62),1),1,TRUE,0)</f>
        <v/>
      </c>
      <c r="GT62" s="18"/>
      <c r="GU62" s="19"/>
      <c r="GV62" s="33" t="str" cm="1">
        <f t="array" ref="GV62">_xlfn.IFS($D62="","",AND(GT62=$C62,GU62=$D62),3,($C62-$D62)/MAX(ABS($C62-$D62),1)=(GT62-GU62)/MAX(ABS(GT62-GU62),1),1,TRUE,0)</f>
        <v/>
      </c>
      <c r="GW62" s="18"/>
      <c r="GX62" s="19"/>
      <c r="GY62" s="33" t="str" cm="1">
        <f t="array" ref="GY62">_xlfn.IFS($D62="","",AND(GW62=$C62,GX62=$D62),3,($C62-$D62)/MAX(ABS($C62-$D62),1)=(GW62-GX62)/MAX(ABS(GW62-GX62),1),1,TRUE,0)</f>
        <v/>
      </c>
      <c r="GZ62" s="18"/>
      <c r="HA62" s="19"/>
      <c r="HB62" s="33" t="str" cm="1">
        <f t="array" ref="HB62">_xlfn.IFS($D62="","",AND(GZ62=$C62,HA62=$D62),3,($C62-$D62)/MAX(ABS($C62-$D62),1)=(GZ62-HA62)/MAX(ABS(GZ62-HA62),1),1,TRUE,0)</f>
        <v/>
      </c>
      <c r="HC62" s="18"/>
      <c r="HD62" s="19"/>
      <c r="HE62" s="33" t="str" cm="1">
        <f t="array" ref="HE62">_xlfn.IFS($D62="","",AND(HC62=$C62,HD62=$D62),3,($C62-$D62)/MAX(ABS($C62-$D62),1)=(HC62-HD62)/MAX(ABS(HC62-HD62),1),1,TRUE,0)</f>
        <v/>
      </c>
      <c r="HF62" s="18"/>
      <c r="HG62" s="19"/>
      <c r="HH62" s="33" t="str" cm="1">
        <f t="array" ref="HH62">_xlfn.IFS($D62="","",AND(HF62=$C62,HG62=$D62),3,($C62-$D62)/MAX(ABS($C62-$D62),1)=(HF62-HG62)/MAX(ABS(HF62-HG62),1),1,TRUE,0)</f>
        <v/>
      </c>
      <c r="HI62" s="18"/>
      <c r="HJ62" s="19"/>
      <c r="HK62" s="33" t="str" cm="1">
        <f t="array" ref="HK62">_xlfn.IFS($D62="","",AND(HI62=$C62,HJ62=$D62),3,($C62-$D62)/MAX(ABS($C62-$D62),1)=(HI62-HJ62)/MAX(ABS(HI62-HJ62),1),1,TRUE,0)</f>
        <v/>
      </c>
      <c r="HL62" s="18"/>
      <c r="HM62" s="19"/>
      <c r="HN62" s="33" t="str" cm="1">
        <f t="array" ref="HN62">_xlfn.IFS($D62="","",AND(HL62=$C62,HM62=$D62),3,($C62-$D62)/MAX(ABS($C62-$D62),1)=(HL62-HM62)/MAX(ABS(HL62-HM62),1),1,TRUE,0)</f>
        <v/>
      </c>
      <c r="HO62" s="18"/>
      <c r="HP62" s="19"/>
      <c r="HQ62" s="33" t="str" cm="1">
        <f t="array" ref="HQ62">_xlfn.IFS($D62="","",AND(HO62=$C62,HP62=$D62),3,($C62-$D62)/MAX(ABS($C62-$D62),1)=(HO62-HP62)/MAX(ABS(HO62-HP62),1),1,TRUE,0)</f>
        <v/>
      </c>
      <c r="HR62" s="18"/>
      <c r="HS62" s="19"/>
      <c r="HT62" s="33" t="str" cm="1">
        <f t="array" ref="HT62">_xlfn.IFS($D62="","",AND(HR62=$C62,HS62=$D62),3,($C62-$D62)/MAX(ABS($C62-$D62),1)=(HR62-HS62)/MAX(ABS(HR62-HS62),1),1,TRUE,0)</f>
        <v/>
      </c>
      <c r="HU62" s="18"/>
      <c r="HV62" s="19"/>
      <c r="HW62" s="33" t="str" cm="1">
        <f t="array" ref="HW62">_xlfn.IFS($D62="","",AND(HU62=$C62,HV62=$D62),3,($C62-$D62)/MAX(ABS($C62-$D62),1)=(HU62-HV62)/MAX(ABS(HU62-HV62),1),1,TRUE,0)</f>
        <v/>
      </c>
      <c r="HX62" s="18"/>
      <c r="HY62" s="19"/>
      <c r="HZ62" s="33" t="str" cm="1">
        <f t="array" ref="HZ62">_xlfn.IFS($D62="","",AND(HX62=$C62,HY62=$D62),3,($C62-$D62)/MAX(ABS($C62-$D62),1)=(HX62-HY62)/MAX(ABS(HX62-HY62),1),1,TRUE,0)</f>
        <v/>
      </c>
      <c r="IA62" s="18"/>
      <c r="IB62" s="19"/>
      <c r="IC62" s="33" t="str" cm="1">
        <f t="array" ref="IC62">_xlfn.IFS($D62="","",AND(IA62=$C62,IB62=$D62),3,($C62-$D62)/MAX(ABS($C62-$D62),1)=(IA62-IB62)/MAX(ABS(IA62-IB62),1),1,TRUE,0)</f>
        <v/>
      </c>
      <c r="ID62" s="18"/>
      <c r="IE62" s="19"/>
      <c r="IF62" s="33" t="str" cm="1">
        <f t="array" ref="IF62">_xlfn.IFS($D62="","",AND(ID62=$C62,IE62=$D62),3,($C62-$D62)/MAX(ABS($C62-$D62),1)=(ID62-IE62)/MAX(ABS(ID62-IE62),1),1,TRUE,0)</f>
        <v/>
      </c>
      <c r="IG62" s="18"/>
      <c r="IH62" s="19"/>
      <c r="II62" s="33" t="str" cm="1">
        <f t="array" ref="II62">_xlfn.IFS($D62="","",AND(IG62=$C62,IH62=$D62),3,($C62-$D62)/MAX(ABS($C62-$D62),1)=(IG62-IH62)/MAX(ABS(IG62-IH62),1),1,TRUE,0)</f>
        <v/>
      </c>
      <c r="IJ62" s="18"/>
      <c r="IK62" s="19"/>
      <c r="IL62" s="33" t="str" cm="1">
        <f t="array" ref="IL62">_xlfn.IFS($D62="","",AND(IJ62=$C62,IK62=$D62),3,($C62-$D62)/MAX(ABS($C62-$D62),1)=(IJ62-IK62)/MAX(ABS(IJ62-IK62),1),1,TRUE,0)</f>
        <v/>
      </c>
      <c r="IM62" s="18"/>
      <c r="IN62" s="19"/>
      <c r="IO62" s="33" t="str" cm="1">
        <f t="array" ref="IO62">_xlfn.IFS($D62="","",AND(IM62=$C62,IN62=$D62),3,($C62-$D62)/MAX(ABS($C62-$D62),1)=(IM62-IN62)/MAX(ABS(IM62-IN62),1),1,TRUE,0)</f>
        <v/>
      </c>
      <c r="IP62" s="18"/>
      <c r="IQ62" s="19"/>
      <c r="IR62" s="33" t="str" cm="1">
        <f t="array" ref="IR62">_xlfn.IFS($D62="","",AND(IP62=$C62,IQ62=$D62),3,($C62-$D62)/MAX(ABS($C62-$D62),1)=(IP62-IQ62)/MAX(ABS(IP62-IQ62),1),1,TRUE,0)</f>
        <v/>
      </c>
      <c r="IS62" s="18"/>
      <c r="IT62" s="19"/>
      <c r="IU62" s="33" t="str" cm="1">
        <f t="array" ref="IU62">_xlfn.IFS($D62="","",AND(IS62=$C62,IT62=$D62),3,($C62-$D62)/MAX(ABS($C62-$D62),1)=(IS62-IT62)/MAX(ABS(IS62-IT62),1),1,TRUE,0)</f>
        <v/>
      </c>
      <c r="IV62" s="18"/>
      <c r="IW62" s="19"/>
      <c r="IX62" s="33" t="str" cm="1">
        <f t="array" ref="IX62">_xlfn.IFS($D62="","",AND(IV62=$C62,IW62=$D62),3,($C62-$D62)/MAX(ABS($C62-$D62),1)=(IV62-IW62)/MAX(ABS(IV62-IW62),1),1,TRUE,0)</f>
        <v/>
      </c>
      <c r="IY62" s="18"/>
      <c r="IZ62" s="19"/>
      <c r="JA62" s="33" t="str" cm="1">
        <f t="array" ref="JA62">_xlfn.IFS($D62="","",AND(IY62=$C62,IZ62=$D62),3,($C62-$D62)/MAX(ABS($C62-$D62),1)=(IY62-IZ62)/MAX(ABS(IY62-IZ62),1),1,TRUE,0)</f>
        <v/>
      </c>
      <c r="JB62" s="18"/>
      <c r="JC62" s="19"/>
      <c r="JD62" s="33" t="str" cm="1">
        <f t="array" ref="JD62">_xlfn.IFS($D62="","",AND(JB62=$C62,JC62=$D62),3,($C62-$D62)/MAX(ABS($C62-$D62),1)=(JB62-JC62)/MAX(ABS(JB62-JC62),1),1,TRUE,0)</f>
        <v/>
      </c>
    </row>
    <row r="63" spans="1:264" ht="15" thickBot="1" x14ac:dyDescent="0.35">
      <c r="A63" s="22">
        <v>46199</v>
      </c>
      <c r="B63" s="28" t="s">
        <v>55</v>
      </c>
      <c r="C63" s="53" t="str" cm="1">
        <f t="array" ref="C63">_xlfn.LET(
_xlpm.x,_xlfn.XLOOKUP(1,(Scores_Fixtures[Date]=A63)*(Scores_Fixtures[Home.1]=B63),Scores_Fixtures[Score.1],""),
IF(_xlpm.x="","",_xlpm.x)
)</f>
        <v/>
      </c>
      <c r="D63" s="53" t="str" cm="1">
        <f t="array" ref="D63">_xlfn.LET(
_xlpm.x,_xlfn.XLOOKUP(1,(Scores_Fixtures[Date]=A63)*(Scores_Fixtures[Home.1]=B63),Scores_Fixtures[Score.2],""),
IF(_xlpm.x="","",_xlpm.x)
)</f>
        <v/>
      </c>
      <c r="E63" s="12" t="s">
        <v>11</v>
      </c>
      <c r="F63" s="15"/>
      <c r="G63" s="53"/>
      <c r="H63" s="53"/>
      <c r="I63" s="33" t="str" cm="1">
        <f t="array" ref="I63">_xlfn.IFS($D63="","",AND(G63=$C63,H63=$D63),3,($C63-$D63)/MAX(ABS($C63-$D63),1)=(G63-H63)/MAX(ABS(G63-H63),1),1,TRUE,0)</f>
        <v/>
      </c>
      <c r="J63" s="18"/>
      <c r="K63" s="19"/>
      <c r="L63" s="33" t="str" cm="1">
        <f t="array" ref="L63">_xlfn.IFS($D63="","",AND(J63=$C63,K63=$D63),3,($C63-$D63)/MAX(ABS($C63-$D63),1)=(J63-K63)/MAX(ABS(J63-K63),1),1,TRUE,0)</f>
        <v/>
      </c>
      <c r="M63" s="18"/>
      <c r="N63" s="19"/>
      <c r="O63" s="33" t="str" cm="1">
        <f t="array" ref="O63">_xlfn.IFS($D63="","",AND(M63=$C63,N63=$D63),3,($C63-$D63)/MAX(ABS($C63-$D63),1)=(M63-N63)/MAX(ABS(M63-N63),1),1,TRUE,0)</f>
        <v/>
      </c>
      <c r="P63" s="18"/>
      <c r="Q63" s="19"/>
      <c r="R63" s="33" t="str" cm="1">
        <f t="array" ref="R63">_xlfn.IFS($D63="","",AND(P63=$C63,Q63=$D63),3,($C63-$D63)/MAX(ABS($C63-$D63),1)=(P63-Q63)/MAX(ABS(P63-Q63),1),1,TRUE,0)</f>
        <v/>
      </c>
      <c r="S63" s="18"/>
      <c r="T63" s="19"/>
      <c r="U63" s="33" t="str" cm="1">
        <f t="array" ref="U63">_xlfn.IFS($D63="","",AND(S63=$C63,T63=$D63),3,($C63-$D63)/MAX(ABS($C63-$D63),1)=(S63-T63)/MAX(ABS(S63-T63),1),1,TRUE,0)</f>
        <v/>
      </c>
      <c r="V63" s="18"/>
      <c r="W63" s="19"/>
      <c r="X63" s="33" t="str" cm="1">
        <f t="array" ref="X63">_xlfn.IFS($D63="","",AND(V63=$C63,W63=$D63),3,($C63-$D63)/MAX(ABS($C63-$D63),1)=(V63-W63)/MAX(ABS(V63-W63),1),1,TRUE,0)</f>
        <v/>
      </c>
      <c r="Y63" s="18"/>
      <c r="Z63" s="19"/>
      <c r="AA63" s="33" t="str" cm="1">
        <f t="array" ref="AA63">_xlfn.IFS($D63="","",AND(Y63=$C63,Z63=$D63),3,($C63-$D63)/MAX(ABS($C63-$D63),1)=(Y63-Z63)/MAX(ABS(Y63-Z63),1),1,TRUE,0)</f>
        <v/>
      </c>
      <c r="AB63" s="18"/>
      <c r="AC63" s="19"/>
      <c r="AD63" s="33" t="str" cm="1">
        <f t="array" ref="AD63">_xlfn.IFS($D63="","",AND(AB63=$C63,AC63=$D63),3,($C63-$D63)/MAX(ABS($C63-$D63),1)=(AB63-AC63)/MAX(ABS(AB63-AC63),1),1,TRUE,0)</f>
        <v/>
      </c>
      <c r="AE63" s="18"/>
      <c r="AF63" s="19"/>
      <c r="AG63" s="33" t="str" cm="1">
        <f t="array" ref="AG63">_xlfn.IFS($D63="","",AND(AE63=$C63,AF63=$D63),3,($C63-$D63)/MAX(ABS($C63-$D63),1)=(AE63-AF63)/MAX(ABS(AE63-AF63),1),1,TRUE,0)</f>
        <v/>
      </c>
      <c r="AH63" s="18"/>
      <c r="AI63" s="19"/>
      <c r="AJ63" s="33" t="str" cm="1">
        <f t="array" ref="AJ63">_xlfn.IFS($D63="","",AND(AH63=$C63,AI63=$D63),3,($C63-$D63)/MAX(ABS($C63-$D63),1)=(AH63-AI63)/MAX(ABS(AH63-AI63),1),1,TRUE,0)</f>
        <v/>
      </c>
      <c r="AK63" s="18"/>
      <c r="AL63" s="19"/>
      <c r="AM63" s="33" t="str" cm="1">
        <f t="array" ref="AM63">_xlfn.IFS($D63="","",AND(AK63=$C63,AL63=$D63),3,($C63-$D63)/MAX(ABS($C63-$D63),1)=(AK63-AL63)/MAX(ABS(AK63-AL63),1),1,TRUE,0)</f>
        <v/>
      </c>
      <c r="AN63" s="18"/>
      <c r="AO63" s="19"/>
      <c r="AP63" s="33" t="str" cm="1">
        <f t="array" ref="AP63">_xlfn.IFS($D63="","",AND(AN63=$C63,AO63=$D63),3,($C63-$D63)/MAX(ABS($C63-$D63),1)=(AN63-AO63)/MAX(ABS(AN63-AO63),1),1,TRUE,0)</f>
        <v/>
      </c>
      <c r="AQ63" s="18"/>
      <c r="AR63" s="19"/>
      <c r="AS63" s="33" t="str" cm="1">
        <f t="array" ref="AS63">_xlfn.IFS($D63="","",AND(AQ63=$C63,AR63=$D63),3,($C63-$D63)/MAX(ABS($C63-$D63),1)=(AQ63-AR63)/MAX(ABS(AQ63-AR63),1),1,TRUE,0)</f>
        <v/>
      </c>
      <c r="AT63" s="18"/>
      <c r="AU63" s="19"/>
      <c r="AV63" s="33" t="str" cm="1">
        <f t="array" ref="AV63">_xlfn.IFS($D63="","",AND(AT63=$C63,AU63=$D63),3,($C63-$D63)/MAX(ABS($C63-$D63),1)=(AT63-AU63)/MAX(ABS(AT63-AU63),1),1,TRUE,0)</f>
        <v/>
      </c>
      <c r="AW63" s="18"/>
      <c r="AX63" s="19"/>
      <c r="AY63" s="33" t="str" cm="1">
        <f t="array" ref="AY63">_xlfn.IFS($D63="","",AND(AW63=$C63,AX63=$D63),3,($C63-$D63)/MAX(ABS($C63-$D63),1)=(AW63-AX63)/MAX(ABS(AW63-AX63),1),1,TRUE,0)</f>
        <v/>
      </c>
      <c r="AZ63" s="18"/>
      <c r="BA63" s="19"/>
      <c r="BB63" s="33" t="str" cm="1">
        <f t="array" ref="BB63">_xlfn.IFS($D63="","",AND(AZ63=$C63,BA63=$D63),3,($C63-$D63)/MAX(ABS($C63-$D63),1)=(AZ63-BA63)/MAX(ABS(AZ63-BA63),1),1,TRUE,0)</f>
        <v/>
      </c>
      <c r="BC63" s="18"/>
      <c r="BD63" s="19"/>
      <c r="BE63" s="33" t="str" cm="1">
        <f t="array" ref="BE63">_xlfn.IFS($D63="","",AND(BC63=$C63,BD63=$D63),3,($C63-$D63)/MAX(ABS($C63-$D63),1)=(BC63-BD63)/MAX(ABS(BC63-BD63),1),1,TRUE,0)</f>
        <v/>
      </c>
      <c r="BF63" s="18"/>
      <c r="BG63" s="19"/>
      <c r="BH63" s="33" t="str" cm="1">
        <f t="array" ref="BH63">_xlfn.IFS($D63="","",AND(BF63=$C63,BG63=$D63),3,($C63-$D63)/MAX(ABS($C63-$D63),1)=(BF63-BG63)/MAX(ABS(BF63-BG63),1),1,TRUE,0)</f>
        <v/>
      </c>
      <c r="BI63" s="18"/>
      <c r="BJ63" s="19"/>
      <c r="BK63" s="33" t="str" cm="1">
        <f t="array" ref="BK63">_xlfn.IFS($D63="","",AND(BI63=$C63,BJ63=$D63),3,($C63-$D63)/MAX(ABS($C63-$D63),1)=(BI63-BJ63)/MAX(ABS(BI63-BJ63),1),1,TRUE,0)</f>
        <v/>
      </c>
      <c r="BL63" s="18"/>
      <c r="BM63" s="19"/>
      <c r="BN63" s="33" t="str" cm="1">
        <f t="array" ref="BN63">_xlfn.IFS($D63="","",AND(BL63=$C63,BM63=$D63),3,($C63-$D63)/MAX(ABS($C63-$D63),1)=(BL63-BM63)/MAX(ABS(BL63-BM63),1),1,TRUE,0)</f>
        <v/>
      </c>
      <c r="BO63" s="18"/>
      <c r="BP63" s="19"/>
      <c r="BQ63" s="33" t="str" cm="1">
        <f t="array" ref="BQ63">_xlfn.IFS($D63="","",AND(BO63=$C63,BP63=$D63),3,($C63-$D63)/MAX(ABS($C63-$D63),1)=(BO63-BP63)/MAX(ABS(BO63-BP63),1),1,TRUE,0)</f>
        <v/>
      </c>
      <c r="BR63" s="18"/>
      <c r="BS63" s="19"/>
      <c r="BT63" s="33" t="str" cm="1">
        <f t="array" ref="BT63">_xlfn.IFS($D63="","",AND(BR63=$C63,BS63=$D63),3,($C63-$D63)/MAX(ABS($C63-$D63),1)=(BR63-BS63)/MAX(ABS(BR63-BS63),1),1,TRUE,0)</f>
        <v/>
      </c>
      <c r="BU63" s="18"/>
      <c r="BV63" s="19"/>
      <c r="BW63" s="33" t="str" cm="1">
        <f t="array" ref="BW63">_xlfn.IFS($D63="","",AND(BU63=$C63,BV63=$D63),3,($C63-$D63)/MAX(ABS($C63-$D63),1)=(BU63-BV63)/MAX(ABS(BU63-BV63),1),1,TRUE,0)</f>
        <v/>
      </c>
      <c r="BX63" s="18"/>
      <c r="BY63" s="19"/>
      <c r="BZ63" s="33" t="str" cm="1">
        <f t="array" ref="BZ63">_xlfn.IFS($D63="","",AND(BX63=$C63,BY63=$D63),3,($C63-$D63)/MAX(ABS($C63-$D63),1)=(BX63-BY63)/MAX(ABS(BX63-BY63),1),1,TRUE,0)</f>
        <v/>
      </c>
      <c r="CA63" s="18"/>
      <c r="CB63" s="19"/>
      <c r="CC63" s="33" t="str" cm="1">
        <f t="array" ref="CC63">_xlfn.IFS($D63="","",AND(CA63=$C63,CB63=$D63),3,($C63-$D63)/MAX(ABS($C63-$D63),1)=(CA63-CB63)/MAX(ABS(CA63-CB63),1),1,TRUE,0)</f>
        <v/>
      </c>
      <c r="CD63" s="18"/>
      <c r="CE63" s="19"/>
      <c r="CF63" s="33" t="str" cm="1">
        <f t="array" ref="CF63">_xlfn.IFS($D63="","",AND(CD63=$C63,CE63=$D63),3,($C63-$D63)/MAX(ABS($C63-$D63),1)=(CD63-CE63)/MAX(ABS(CD63-CE63),1),1,TRUE,0)</f>
        <v/>
      </c>
      <c r="CG63" s="18"/>
      <c r="CH63" s="19"/>
      <c r="CI63" s="33" t="str" cm="1">
        <f t="array" ref="CI63">_xlfn.IFS($D63="","",AND(CG63=$C63,CH63=$D63),3,($C63-$D63)/MAX(ABS($C63-$D63),1)=(CG63-CH63)/MAX(ABS(CG63-CH63),1),1,TRUE,0)</f>
        <v/>
      </c>
      <c r="CJ63" s="18"/>
      <c r="CK63" s="19"/>
      <c r="CL63" s="33" t="str" cm="1">
        <f t="array" ref="CL63">_xlfn.IFS($D63="","",AND(CJ63=$C63,CK63=$D63),3,($C63-$D63)/MAX(ABS($C63-$D63),1)=(CJ63-CK63)/MAX(ABS(CJ63-CK63),1),1,TRUE,0)</f>
        <v/>
      </c>
      <c r="CM63" s="18"/>
      <c r="CN63" s="19"/>
      <c r="CO63" s="33" t="str" cm="1">
        <f t="array" ref="CO63">_xlfn.IFS($D63="","",AND(CM63=$C63,CN63=$D63),3,($C63-$D63)/MAX(ABS($C63-$D63),1)=(CM63-CN63)/MAX(ABS(CM63-CN63),1),1,TRUE,0)</f>
        <v/>
      </c>
      <c r="CP63" s="18"/>
      <c r="CQ63" s="19"/>
      <c r="CR63" s="33" t="str" cm="1">
        <f t="array" ref="CR63">_xlfn.IFS($D63="","",AND(CP63=$C63,CQ63=$D63),3,($C63-$D63)/MAX(ABS($C63-$D63),1)=(CP63-CQ63)/MAX(ABS(CP63-CQ63),1),1,TRUE,0)</f>
        <v/>
      </c>
      <c r="CS63" s="18"/>
      <c r="CT63" s="19"/>
      <c r="CU63" s="33" t="str" cm="1">
        <f t="array" ref="CU63">_xlfn.IFS($D63="","",AND(CS63=$C63,CT63=$D63),3,($C63-$D63)/MAX(ABS($C63-$D63),1)=(CS63-CT63)/MAX(ABS(CS63-CT63),1),1,TRUE,0)</f>
        <v/>
      </c>
      <c r="CV63" s="18"/>
      <c r="CW63" s="19"/>
      <c r="CX63" s="33" t="str" cm="1">
        <f t="array" ref="CX63">_xlfn.IFS($D63="","",AND(CV63=$C63,CW63=$D63),3,($C63-$D63)/MAX(ABS($C63-$D63),1)=(CV63-CW63)/MAX(ABS(CV63-CW63),1),1,TRUE,0)</f>
        <v/>
      </c>
      <c r="CY63" s="18"/>
      <c r="CZ63" s="19"/>
      <c r="DA63" s="33" t="str" cm="1">
        <f t="array" ref="DA63">_xlfn.IFS($D63="","",AND(CY63=$C63,CZ63=$D63),3,($C63-$D63)/MAX(ABS($C63-$D63),1)=(CY63-CZ63)/MAX(ABS(CY63-CZ63),1),1,TRUE,0)</f>
        <v/>
      </c>
      <c r="DB63" s="37"/>
      <c r="DC63" s="38"/>
      <c r="DD63" s="33" t="str" cm="1">
        <f t="array" ref="DD63">_xlfn.IFS($D63="","",AND(DB63=$C63,DC63=$D63),3,($C63-$D63)/MAX(ABS($C63-$D63),1)=(DB63-DC63)/MAX(ABS(DB63-DC63),1),1,TRUE,0)</f>
        <v/>
      </c>
      <c r="DE63" s="18"/>
      <c r="DF63" s="19"/>
      <c r="DG63" s="33" t="str" cm="1">
        <f t="array" ref="DG63">_xlfn.IFS($D63="","",AND(DE63=$C63,DF63=$D63),3,($C63-$D63)/MAX(ABS($C63-$D63),1)=(DE63-DF63)/MAX(ABS(DE63-DF63),1),1,TRUE,0)</f>
        <v/>
      </c>
      <c r="DH63" s="18"/>
      <c r="DI63" s="19"/>
      <c r="DJ63" s="33" t="str" cm="1">
        <f t="array" ref="DJ63">_xlfn.IFS($D63="","",AND(DH63=$C63,DI63=$D63),3,($C63-$D63)/MAX(ABS($C63-$D63),1)=(DH63-DI63)/MAX(ABS(DH63-DI63),1),1,TRUE,0)</f>
        <v/>
      </c>
      <c r="DK63" s="18"/>
      <c r="DL63" s="19"/>
      <c r="DM63" s="33" t="str" cm="1">
        <f t="array" ref="DM63">_xlfn.IFS($D63="","",AND(DK63=$C63,DL63=$D63),3,($C63-$D63)/MAX(ABS($C63-$D63),1)=(DK63-DL63)/MAX(ABS(DK63-DL63),1),1,TRUE,0)</f>
        <v/>
      </c>
      <c r="DN63" s="18"/>
      <c r="DO63" s="19"/>
      <c r="DP63" s="33" t="str" cm="1">
        <f t="array" ref="DP63">_xlfn.IFS($D63="","",AND(DN63=$C63,DO63=$D63),3,($C63-$D63)/MAX(ABS($C63-$D63),1)=(DN63-DO63)/MAX(ABS(DN63-DO63),1),1,TRUE,0)</f>
        <v/>
      </c>
      <c r="DQ63" s="18"/>
      <c r="DR63" s="19"/>
      <c r="DS63" s="33" t="str" cm="1">
        <f t="array" ref="DS63">_xlfn.IFS($D63="","",AND(DQ63=$C63,DR63=$D63),3,($C63-$D63)/MAX(ABS($C63-$D63),1)=(DQ63-DR63)/MAX(ABS(DQ63-DR63),1),1,TRUE,0)</f>
        <v/>
      </c>
      <c r="DT63" s="18"/>
      <c r="DU63" s="19"/>
      <c r="DV63" s="33" t="str" cm="1">
        <f t="array" ref="DV63">_xlfn.IFS($D63="","",AND(DT63=$C63,DU63=$D63),3,($C63-$D63)/MAX(ABS($C63-$D63),1)=(DT63-DU63)/MAX(ABS(DT63-DU63),1),1,TRUE,0)</f>
        <v/>
      </c>
      <c r="DW63" s="18"/>
      <c r="DX63" s="19"/>
      <c r="DY63" s="33" t="str" cm="1">
        <f t="array" ref="DY63">_xlfn.IFS($D63="","",AND(DW63=$C63,DX63=$D63),3,($C63-$D63)/MAX(ABS($C63-$D63),1)=(DW63-DX63)/MAX(ABS(DW63-DX63),1),1,TRUE,0)</f>
        <v/>
      </c>
      <c r="DZ63" s="18"/>
      <c r="EA63" s="19"/>
      <c r="EB63" s="33" t="str" cm="1">
        <f t="array" ref="EB63">_xlfn.IFS($D63="","",AND(DZ63=$C63,EA63=$D63),3,($C63-$D63)/MAX(ABS($C63-$D63),1)=(DZ63-EA63)/MAX(ABS(DZ63-EA63),1),1,TRUE,0)</f>
        <v/>
      </c>
      <c r="EC63" s="18"/>
      <c r="ED63" s="19"/>
      <c r="EE63" s="33" t="str" cm="1">
        <f t="array" ref="EE63">_xlfn.IFS($D63="","",AND(EC63=$C63,ED63=$D63),3,($C63-$D63)/MAX(ABS($C63-$D63),1)=(EC63-ED63)/MAX(ABS(EC63-ED63),1),1,TRUE,0)</f>
        <v/>
      </c>
      <c r="EF63" s="18"/>
      <c r="EG63" s="19"/>
      <c r="EH63" s="33" t="str" cm="1">
        <f t="array" ref="EH63">_xlfn.IFS($D63="","",AND(EF63=$C63,EG63=$D63),3,($C63-$D63)/MAX(ABS($C63-$D63),1)=(EF63-EG63)/MAX(ABS(EF63-EG63),1),1,TRUE,0)</f>
        <v/>
      </c>
      <c r="EI63" s="50"/>
      <c r="EJ63" s="51"/>
      <c r="EK63" s="33" t="str" cm="1">
        <f t="array" ref="EK63">_xlfn.IFS($D63="","",AND(EI63=$C63,EJ63=$D63),3,($C63-$D63)/MAX(ABS($C63-$D63),1)=(EI63-EJ63)/MAX(ABS(EI63-EJ63),1),1,TRUE,0)</f>
        <v/>
      </c>
      <c r="EL63" s="18"/>
      <c r="EM63" s="19"/>
      <c r="EN63" s="33" t="str" cm="1">
        <f t="array" ref="EN63">_xlfn.IFS($D63="","",AND(EL63=$C63,EM63=$D63),3,($C63-$D63)/MAX(ABS($C63-$D63),1)=(EL63-EM63)/MAX(ABS(EL63-EM63),1),1,TRUE,0)</f>
        <v/>
      </c>
      <c r="EO63" s="18"/>
      <c r="EP63" s="19"/>
      <c r="EQ63" s="33" t="str" cm="1">
        <f t="array" ref="EQ63">_xlfn.IFS($D63="","",AND(EO63=$C63,EP63=$D63),3,($C63-$D63)/MAX(ABS($C63-$D63),1)=(EO63-EP63)/MAX(ABS(EO63-EP63),1),1,TRUE,0)</f>
        <v/>
      </c>
      <c r="ER63" s="18"/>
      <c r="ES63" s="19"/>
      <c r="ET63" s="33" t="str" cm="1">
        <f t="array" ref="ET63">_xlfn.IFS($D63="","",AND(ER63=$C63,ES63=$D63),3,($C63-$D63)/MAX(ABS($C63-$D63),1)=(ER63-ES63)/MAX(ABS(ER63-ES63),1),1,TRUE,0)</f>
        <v/>
      </c>
      <c r="EU63" s="18"/>
      <c r="EV63" s="19"/>
      <c r="EW63" s="33" t="str" cm="1">
        <f t="array" ref="EW63">_xlfn.IFS($D63="","",AND(EU63=$C63,EV63=$D63),3,($C63-$D63)/MAX(ABS($C63-$D63),1)=(EU63-EV63)/MAX(ABS(EU63-EV63),1),1,TRUE,0)</f>
        <v/>
      </c>
      <c r="EX63" s="18"/>
      <c r="EY63" s="19"/>
      <c r="EZ63" s="33" t="str" cm="1">
        <f t="array" ref="EZ63">_xlfn.IFS($D63="","",AND(EX63=$C63,EY63=$D63),3,($C63-$D63)/MAX(ABS($C63-$D63),1)=(EX63-EY63)/MAX(ABS(EX63-EY63),1),1,TRUE,0)</f>
        <v/>
      </c>
      <c r="FA63" s="18"/>
      <c r="FB63" s="19"/>
      <c r="FC63" s="33" t="str" cm="1">
        <f t="array" ref="FC63">_xlfn.IFS($D63="","",AND(FA63=$C63,FB63=$D63),3,($C63-$D63)/MAX(ABS($C63-$D63),1)=(FA63-FB63)/MAX(ABS(FA63-FB63),1),1,TRUE,0)</f>
        <v/>
      </c>
      <c r="FD63" s="18"/>
      <c r="FE63" s="19"/>
      <c r="FF63" s="33" t="str" cm="1">
        <f t="array" ref="FF63">_xlfn.IFS($D63="","",AND(FD63=$C63,FE63=$D63),3,($C63-$D63)/MAX(ABS($C63-$D63),1)=(FD63-FE63)/MAX(ABS(FD63-FE63),1),1,TRUE,0)</f>
        <v/>
      </c>
      <c r="FG63" s="18"/>
      <c r="FH63" s="19"/>
      <c r="FI63" s="33" t="str" cm="1">
        <f t="array" ref="FI63">_xlfn.IFS($D63="","",AND(FG63=$C63,FH63=$D63),3,($C63-$D63)/MAX(ABS($C63-$D63),1)=(FG63-FH63)/MAX(ABS(FG63-FH63),1),1,TRUE,0)</f>
        <v/>
      </c>
      <c r="FJ63" s="18"/>
      <c r="FK63" s="19"/>
      <c r="FL63" s="33" t="str" cm="1">
        <f t="array" ref="FL63">_xlfn.IFS($D63="","",AND(FJ63=$C63,FK63=$D63),3,($C63-$D63)/MAX(ABS($C63-$D63),1)=(FJ63-FK63)/MAX(ABS(FJ63-FK63),1),1,TRUE,0)</f>
        <v/>
      </c>
      <c r="FM63" s="18"/>
      <c r="FN63" s="19"/>
      <c r="FO63" s="33" t="str" cm="1">
        <f t="array" ref="FO63">_xlfn.IFS($D63="","",AND(FM63=$C63,FN63=$D63),3,($C63-$D63)/MAX(ABS($C63-$D63),1)=(FM63-FN63)/MAX(ABS(FM63-FN63),1),1,TRUE,0)</f>
        <v/>
      </c>
      <c r="FP63" s="18"/>
      <c r="FQ63" s="19"/>
      <c r="FR63" s="33" t="str" cm="1">
        <f t="array" ref="FR63">_xlfn.IFS($D63="","",AND(FP63=$C63,FQ63=$D63),3,($C63-$D63)/MAX(ABS($C63-$D63),1)=(FP63-FQ63)/MAX(ABS(FP63-FQ63),1),1,TRUE,0)</f>
        <v/>
      </c>
      <c r="FS63" s="18"/>
      <c r="FT63" s="19"/>
      <c r="FU63" s="33" t="str" cm="1">
        <f t="array" ref="FU63">_xlfn.IFS($D63="","",AND(FS63=$C63,FT63=$D63),3,($C63-$D63)/MAX(ABS($C63-$D63),1)=(FS63-FT63)/MAX(ABS(FS63-FT63),1),1,TRUE,0)</f>
        <v/>
      </c>
      <c r="FV63" s="18"/>
      <c r="FW63" s="19"/>
      <c r="FX63" s="33" t="str" cm="1">
        <f t="array" ref="FX63">_xlfn.IFS($D63="","",AND(FV63=$C63,FW63=$D63),3,($C63-$D63)/MAX(ABS($C63-$D63),1)=(FV63-FW63)/MAX(ABS(FV63-FW63),1),1,TRUE,0)</f>
        <v/>
      </c>
      <c r="FY63" s="18"/>
      <c r="FZ63" s="19"/>
      <c r="GA63" s="33" t="str" cm="1">
        <f t="array" ref="GA63">_xlfn.IFS($D63="","",AND(FY63=$C63,FZ63=$D63),3,($C63-$D63)/MAX(ABS($C63-$D63),1)=(FY63-FZ63)/MAX(ABS(FY63-FZ63),1),1,TRUE,0)</f>
        <v/>
      </c>
      <c r="GB63" s="18"/>
      <c r="GC63" s="19"/>
      <c r="GD63" s="33" t="str" cm="1">
        <f t="array" ref="GD63">_xlfn.IFS($D63="","",AND(GB63=$C63,GC63=$D63),3,($C63-$D63)/MAX(ABS($C63-$D63),1)=(GB63-GC63)/MAX(ABS(GB63-GC63),1),1,TRUE,0)</f>
        <v/>
      </c>
      <c r="GE63" s="52"/>
      <c r="GF63" s="19"/>
      <c r="GG63" s="33" t="str" cm="1">
        <f t="array" ref="GG63">_xlfn.IFS($D63="","",AND(GE63=$C63,GF63=$D63),3,($C63-$D63)/MAX(ABS($C63-$D63),1)=(GE63-GF63)/MAX(ABS(GE63-GF63),1),1,TRUE,0)</f>
        <v/>
      </c>
      <c r="GH63" s="18"/>
      <c r="GI63" s="19"/>
      <c r="GJ63" s="33" t="str" cm="1">
        <f t="array" ref="GJ63">_xlfn.IFS($D63="","",AND(GH63=$C63,GI63=$D63),3,($C63-$D63)/MAX(ABS($C63-$D63),1)=(GH63-GI63)/MAX(ABS(GH63-GI63),1),1,TRUE,0)</f>
        <v/>
      </c>
      <c r="GK63" s="18"/>
      <c r="GL63" s="19"/>
      <c r="GM63" s="33" t="str" cm="1">
        <f t="array" ref="GM63">_xlfn.IFS($D63="","",AND(GK63=$C63,GL63=$D63),3,($C63-$D63)/MAX(ABS($C63-$D63),1)=(GK63-GL63)/MAX(ABS(GK63-GL63),1),1,TRUE,0)</f>
        <v/>
      </c>
      <c r="GN63" s="18"/>
      <c r="GO63" s="19"/>
      <c r="GP63" s="33" t="str" cm="1">
        <f t="array" ref="GP63">_xlfn.IFS($D63="","",AND(GN63=$C63,GO63=$D63),3,($C63-$D63)/MAX(ABS($C63-$D63),1)=(GN63-GO63)/MAX(ABS(GN63-GO63),1),1,TRUE,0)</f>
        <v/>
      </c>
      <c r="GQ63" s="18"/>
      <c r="GR63" s="19"/>
      <c r="GS63" s="33" t="str" cm="1">
        <f t="array" ref="GS63">_xlfn.IFS($D63="","",AND(GQ63=$C63,GR63=$D63),3,($C63-$D63)/MAX(ABS($C63-$D63),1)=(GQ63-GR63)/MAX(ABS(GQ63-GR63),1),1,TRUE,0)</f>
        <v/>
      </c>
      <c r="GT63" s="18"/>
      <c r="GU63" s="19"/>
      <c r="GV63" s="33" t="str" cm="1">
        <f t="array" ref="GV63">_xlfn.IFS($D63="","",AND(GT63=$C63,GU63=$D63),3,($C63-$D63)/MAX(ABS($C63-$D63),1)=(GT63-GU63)/MAX(ABS(GT63-GU63),1),1,TRUE,0)</f>
        <v/>
      </c>
      <c r="GW63" s="18"/>
      <c r="GX63" s="19"/>
      <c r="GY63" s="33" t="str" cm="1">
        <f t="array" ref="GY63">_xlfn.IFS($D63="","",AND(GW63=$C63,GX63=$D63),3,($C63-$D63)/MAX(ABS($C63-$D63),1)=(GW63-GX63)/MAX(ABS(GW63-GX63),1),1,TRUE,0)</f>
        <v/>
      </c>
      <c r="GZ63" s="18"/>
      <c r="HA63" s="19"/>
      <c r="HB63" s="33" t="str" cm="1">
        <f t="array" ref="HB63">_xlfn.IFS($D63="","",AND(GZ63=$C63,HA63=$D63),3,($C63-$D63)/MAX(ABS($C63-$D63),1)=(GZ63-HA63)/MAX(ABS(GZ63-HA63),1),1,TRUE,0)</f>
        <v/>
      </c>
      <c r="HC63" s="18"/>
      <c r="HD63" s="19"/>
      <c r="HE63" s="33" t="str" cm="1">
        <f t="array" ref="HE63">_xlfn.IFS($D63="","",AND(HC63=$C63,HD63=$D63),3,($C63-$D63)/MAX(ABS($C63-$D63),1)=(HC63-HD63)/MAX(ABS(HC63-HD63),1),1,TRUE,0)</f>
        <v/>
      </c>
      <c r="HF63" s="18"/>
      <c r="HG63" s="19"/>
      <c r="HH63" s="33" t="str" cm="1">
        <f t="array" ref="HH63">_xlfn.IFS($D63="","",AND(HF63=$C63,HG63=$D63),3,($C63-$D63)/MAX(ABS($C63-$D63),1)=(HF63-HG63)/MAX(ABS(HF63-HG63),1),1,TRUE,0)</f>
        <v/>
      </c>
      <c r="HI63" s="18"/>
      <c r="HJ63" s="19"/>
      <c r="HK63" s="33" t="str" cm="1">
        <f t="array" ref="HK63">_xlfn.IFS($D63="","",AND(HI63=$C63,HJ63=$D63),3,($C63-$D63)/MAX(ABS($C63-$D63),1)=(HI63-HJ63)/MAX(ABS(HI63-HJ63),1),1,TRUE,0)</f>
        <v/>
      </c>
      <c r="HL63" s="18"/>
      <c r="HM63" s="19"/>
      <c r="HN63" s="33" t="str" cm="1">
        <f t="array" ref="HN63">_xlfn.IFS($D63="","",AND(HL63=$C63,HM63=$D63),3,($C63-$D63)/MAX(ABS($C63-$D63),1)=(HL63-HM63)/MAX(ABS(HL63-HM63),1),1,TRUE,0)</f>
        <v/>
      </c>
      <c r="HO63" s="18"/>
      <c r="HP63" s="19"/>
      <c r="HQ63" s="33" t="str" cm="1">
        <f t="array" ref="HQ63">_xlfn.IFS($D63="","",AND(HO63=$C63,HP63=$D63),3,($C63-$D63)/MAX(ABS($C63-$D63),1)=(HO63-HP63)/MAX(ABS(HO63-HP63),1),1,TRUE,0)</f>
        <v/>
      </c>
      <c r="HR63" s="18"/>
      <c r="HS63" s="19"/>
      <c r="HT63" s="33" t="str" cm="1">
        <f t="array" ref="HT63">_xlfn.IFS($D63="","",AND(HR63=$C63,HS63=$D63),3,($C63-$D63)/MAX(ABS($C63-$D63),1)=(HR63-HS63)/MAX(ABS(HR63-HS63),1),1,TRUE,0)</f>
        <v/>
      </c>
      <c r="HU63" s="18"/>
      <c r="HV63" s="19"/>
      <c r="HW63" s="33" t="str" cm="1">
        <f t="array" ref="HW63">_xlfn.IFS($D63="","",AND(HU63=$C63,HV63=$D63),3,($C63-$D63)/MAX(ABS($C63-$D63),1)=(HU63-HV63)/MAX(ABS(HU63-HV63),1),1,TRUE,0)</f>
        <v/>
      </c>
      <c r="HX63" s="18"/>
      <c r="HY63" s="19"/>
      <c r="HZ63" s="33" t="str" cm="1">
        <f t="array" ref="HZ63">_xlfn.IFS($D63="","",AND(HX63=$C63,HY63=$D63),3,($C63-$D63)/MAX(ABS($C63-$D63),1)=(HX63-HY63)/MAX(ABS(HX63-HY63),1),1,TRUE,0)</f>
        <v/>
      </c>
      <c r="IA63" s="18"/>
      <c r="IB63" s="19"/>
      <c r="IC63" s="33" t="str" cm="1">
        <f t="array" ref="IC63">_xlfn.IFS($D63="","",AND(IA63=$C63,IB63=$D63),3,($C63-$D63)/MAX(ABS($C63-$D63),1)=(IA63-IB63)/MAX(ABS(IA63-IB63),1),1,TRUE,0)</f>
        <v/>
      </c>
      <c r="ID63" s="18"/>
      <c r="IE63" s="19"/>
      <c r="IF63" s="33" t="str" cm="1">
        <f t="array" ref="IF63">_xlfn.IFS($D63="","",AND(ID63=$C63,IE63=$D63),3,($C63-$D63)/MAX(ABS($C63-$D63),1)=(ID63-IE63)/MAX(ABS(ID63-IE63),1),1,TRUE,0)</f>
        <v/>
      </c>
      <c r="IG63" s="18"/>
      <c r="IH63" s="19"/>
      <c r="II63" s="33" t="str" cm="1">
        <f t="array" ref="II63">_xlfn.IFS($D63="","",AND(IG63=$C63,IH63=$D63),3,($C63-$D63)/MAX(ABS($C63-$D63),1)=(IG63-IH63)/MAX(ABS(IG63-IH63),1),1,TRUE,0)</f>
        <v/>
      </c>
      <c r="IJ63" s="18"/>
      <c r="IK63" s="19"/>
      <c r="IL63" s="33" t="str" cm="1">
        <f t="array" ref="IL63">_xlfn.IFS($D63="","",AND(IJ63=$C63,IK63=$D63),3,($C63-$D63)/MAX(ABS($C63-$D63),1)=(IJ63-IK63)/MAX(ABS(IJ63-IK63),1),1,TRUE,0)</f>
        <v/>
      </c>
      <c r="IM63" s="18"/>
      <c r="IN63" s="19"/>
      <c r="IO63" s="33" t="str" cm="1">
        <f t="array" ref="IO63">_xlfn.IFS($D63="","",AND(IM63=$C63,IN63=$D63),3,($C63-$D63)/MAX(ABS($C63-$D63),1)=(IM63-IN63)/MAX(ABS(IM63-IN63),1),1,TRUE,0)</f>
        <v/>
      </c>
      <c r="IP63" s="18"/>
      <c r="IQ63" s="19"/>
      <c r="IR63" s="33" t="str" cm="1">
        <f t="array" ref="IR63">_xlfn.IFS($D63="","",AND(IP63=$C63,IQ63=$D63),3,($C63-$D63)/MAX(ABS($C63-$D63),1)=(IP63-IQ63)/MAX(ABS(IP63-IQ63),1),1,TRUE,0)</f>
        <v/>
      </c>
      <c r="IS63" s="18"/>
      <c r="IT63" s="19"/>
      <c r="IU63" s="33" t="str" cm="1">
        <f t="array" ref="IU63">_xlfn.IFS($D63="","",AND(IS63=$C63,IT63=$D63),3,($C63-$D63)/MAX(ABS($C63-$D63),1)=(IS63-IT63)/MAX(ABS(IS63-IT63),1),1,TRUE,0)</f>
        <v/>
      </c>
      <c r="IV63" s="18"/>
      <c r="IW63" s="19"/>
      <c r="IX63" s="33" t="str" cm="1">
        <f t="array" ref="IX63">_xlfn.IFS($D63="","",AND(IV63=$C63,IW63=$D63),3,($C63-$D63)/MAX(ABS($C63-$D63),1)=(IV63-IW63)/MAX(ABS(IV63-IW63),1),1,TRUE,0)</f>
        <v/>
      </c>
      <c r="IY63" s="18"/>
      <c r="IZ63" s="19"/>
      <c r="JA63" s="33" t="str" cm="1">
        <f t="array" ref="JA63">_xlfn.IFS($D63="","",AND(IY63=$C63,IZ63=$D63),3,($C63-$D63)/MAX(ABS($C63-$D63),1)=(IY63-IZ63)/MAX(ABS(IY63-IZ63),1),1,TRUE,0)</f>
        <v/>
      </c>
      <c r="JB63" s="18"/>
      <c r="JC63" s="19"/>
      <c r="JD63" s="33" t="str" cm="1">
        <f t="array" ref="JD63">_xlfn.IFS($D63="","",AND(JB63=$C63,JC63=$D63),3,($C63-$D63)/MAX(ABS($C63-$D63),1)=(JB63-JC63)/MAX(ABS(JB63-JC63),1),1,TRUE,0)</f>
        <v/>
      </c>
    </row>
    <row r="64" spans="1:264" ht="15" thickBot="1" x14ac:dyDescent="0.35">
      <c r="A64" s="22">
        <v>46199</v>
      </c>
      <c r="B64" s="28" t="s">
        <v>65</v>
      </c>
      <c r="C64" s="53" t="str" cm="1">
        <f t="array" ref="C64">_xlfn.LET(
_xlpm.x,_xlfn.XLOOKUP(1,(Scores_Fixtures[Date]=A64)*(Scores_Fixtures[Home.1]=B64),Scores_Fixtures[Score.1],""),
IF(_xlpm.x="","",_xlpm.x)
)</f>
        <v/>
      </c>
      <c r="D64" s="53" t="str" cm="1">
        <f t="array" ref="D64">_xlfn.LET(
_xlpm.x,_xlfn.XLOOKUP(1,(Scores_Fixtures[Date]=A64)*(Scores_Fixtures[Home.1]=B64),Scores_Fixtures[Score.2],""),
IF(_xlpm.x="","",_xlpm.x)
)</f>
        <v/>
      </c>
      <c r="E64" s="12" t="s">
        <v>46</v>
      </c>
      <c r="F64" s="15"/>
      <c r="G64" s="53"/>
      <c r="H64" s="53"/>
      <c r="I64" s="33" t="str" cm="1">
        <f t="array" ref="I64">_xlfn.IFS($D64="","",AND(G64=$C64,H64=$D64),3,($C64-$D64)/MAX(ABS($C64-$D64),1)=(G64-H64)/MAX(ABS(G64-H64),1),1,TRUE,0)</f>
        <v/>
      </c>
      <c r="J64" s="18"/>
      <c r="K64" s="19"/>
      <c r="L64" s="33" t="str" cm="1">
        <f t="array" ref="L64">_xlfn.IFS($D64="","",AND(J64=$C64,K64=$D64),3,($C64-$D64)/MAX(ABS($C64-$D64),1)=(J64-K64)/MAX(ABS(J64-K64),1),1,TRUE,0)</f>
        <v/>
      </c>
      <c r="M64" s="18"/>
      <c r="N64" s="19"/>
      <c r="O64" s="33" t="str" cm="1">
        <f t="array" ref="O64">_xlfn.IFS($D64="","",AND(M64=$C64,N64=$D64),3,($C64-$D64)/MAX(ABS($C64-$D64),1)=(M64-N64)/MAX(ABS(M64-N64),1),1,TRUE,0)</f>
        <v/>
      </c>
      <c r="P64" s="18"/>
      <c r="Q64" s="19"/>
      <c r="R64" s="33" t="str" cm="1">
        <f t="array" ref="R64">_xlfn.IFS($D64="","",AND(P64=$C64,Q64=$D64),3,($C64-$D64)/MAX(ABS($C64-$D64),1)=(P64-Q64)/MAX(ABS(P64-Q64),1),1,TRUE,0)</f>
        <v/>
      </c>
      <c r="S64" s="18"/>
      <c r="T64" s="19"/>
      <c r="U64" s="33" t="str" cm="1">
        <f t="array" ref="U64">_xlfn.IFS($D64="","",AND(S64=$C64,T64=$D64),3,($C64-$D64)/MAX(ABS($C64-$D64),1)=(S64-T64)/MAX(ABS(S64-T64),1),1,TRUE,0)</f>
        <v/>
      </c>
      <c r="V64" s="18"/>
      <c r="W64" s="19"/>
      <c r="X64" s="33" t="str" cm="1">
        <f t="array" ref="X64">_xlfn.IFS($D64="","",AND(V64=$C64,W64=$D64),3,($C64-$D64)/MAX(ABS($C64-$D64),1)=(V64-W64)/MAX(ABS(V64-W64),1),1,TRUE,0)</f>
        <v/>
      </c>
      <c r="Y64" s="18"/>
      <c r="Z64" s="19"/>
      <c r="AA64" s="33" t="str" cm="1">
        <f t="array" ref="AA64">_xlfn.IFS($D64="","",AND(Y64=$C64,Z64=$D64),3,($C64-$D64)/MAX(ABS($C64-$D64),1)=(Y64-Z64)/MAX(ABS(Y64-Z64),1),1,TRUE,0)</f>
        <v/>
      </c>
      <c r="AB64" s="18"/>
      <c r="AC64" s="19"/>
      <c r="AD64" s="33" t="str" cm="1">
        <f t="array" ref="AD64">_xlfn.IFS($D64="","",AND(AB64=$C64,AC64=$D64),3,($C64-$D64)/MAX(ABS($C64-$D64),1)=(AB64-AC64)/MAX(ABS(AB64-AC64),1),1,TRUE,0)</f>
        <v/>
      </c>
      <c r="AE64" s="18"/>
      <c r="AF64" s="19"/>
      <c r="AG64" s="33" t="str" cm="1">
        <f t="array" ref="AG64">_xlfn.IFS($D64="","",AND(AE64=$C64,AF64=$D64),3,($C64-$D64)/MAX(ABS($C64-$D64),1)=(AE64-AF64)/MAX(ABS(AE64-AF64),1),1,TRUE,0)</f>
        <v/>
      </c>
      <c r="AH64" s="18"/>
      <c r="AI64" s="19"/>
      <c r="AJ64" s="33" t="str" cm="1">
        <f t="array" ref="AJ64">_xlfn.IFS($D64="","",AND(AH64=$C64,AI64=$D64),3,($C64-$D64)/MAX(ABS($C64-$D64),1)=(AH64-AI64)/MAX(ABS(AH64-AI64),1),1,TRUE,0)</f>
        <v/>
      </c>
      <c r="AK64" s="18"/>
      <c r="AL64" s="19"/>
      <c r="AM64" s="33" t="str" cm="1">
        <f t="array" ref="AM64">_xlfn.IFS($D64="","",AND(AK64=$C64,AL64=$D64),3,($C64-$D64)/MAX(ABS($C64-$D64),1)=(AK64-AL64)/MAX(ABS(AK64-AL64),1),1,TRUE,0)</f>
        <v/>
      </c>
      <c r="AN64" s="18"/>
      <c r="AO64" s="19"/>
      <c r="AP64" s="33" t="str" cm="1">
        <f t="array" ref="AP64">_xlfn.IFS($D64="","",AND(AN64=$C64,AO64=$D64),3,($C64-$D64)/MAX(ABS($C64-$D64),1)=(AN64-AO64)/MAX(ABS(AN64-AO64),1),1,TRUE,0)</f>
        <v/>
      </c>
      <c r="AQ64" s="18"/>
      <c r="AR64" s="19"/>
      <c r="AS64" s="33" t="str" cm="1">
        <f t="array" ref="AS64">_xlfn.IFS($D64="","",AND(AQ64=$C64,AR64=$D64),3,($C64-$D64)/MAX(ABS($C64-$D64),1)=(AQ64-AR64)/MAX(ABS(AQ64-AR64),1),1,TRUE,0)</f>
        <v/>
      </c>
      <c r="AT64" s="18"/>
      <c r="AU64" s="19"/>
      <c r="AV64" s="33" t="str" cm="1">
        <f t="array" ref="AV64">_xlfn.IFS($D64="","",AND(AT64=$C64,AU64=$D64),3,($C64-$D64)/MAX(ABS($C64-$D64),1)=(AT64-AU64)/MAX(ABS(AT64-AU64),1),1,TRUE,0)</f>
        <v/>
      </c>
      <c r="AW64" s="18"/>
      <c r="AX64" s="19"/>
      <c r="AY64" s="33" t="str" cm="1">
        <f t="array" ref="AY64">_xlfn.IFS($D64="","",AND(AW64=$C64,AX64=$D64),3,($C64-$D64)/MAX(ABS($C64-$D64),1)=(AW64-AX64)/MAX(ABS(AW64-AX64),1),1,TRUE,0)</f>
        <v/>
      </c>
      <c r="AZ64" s="18"/>
      <c r="BA64" s="19"/>
      <c r="BB64" s="33" t="str" cm="1">
        <f t="array" ref="BB64">_xlfn.IFS($D64="","",AND(AZ64=$C64,BA64=$D64),3,($C64-$D64)/MAX(ABS($C64-$D64),1)=(AZ64-BA64)/MAX(ABS(AZ64-BA64),1),1,TRUE,0)</f>
        <v/>
      </c>
      <c r="BC64" s="18"/>
      <c r="BD64" s="19"/>
      <c r="BE64" s="33" t="str" cm="1">
        <f t="array" ref="BE64">_xlfn.IFS($D64="","",AND(BC64=$C64,BD64=$D64),3,($C64-$D64)/MAX(ABS($C64-$D64),1)=(BC64-BD64)/MAX(ABS(BC64-BD64),1),1,TRUE,0)</f>
        <v/>
      </c>
      <c r="BF64" s="18"/>
      <c r="BG64" s="19"/>
      <c r="BH64" s="33" t="str" cm="1">
        <f t="array" ref="BH64">_xlfn.IFS($D64="","",AND(BF64=$C64,BG64=$D64),3,($C64-$D64)/MAX(ABS($C64-$D64),1)=(BF64-BG64)/MAX(ABS(BF64-BG64),1),1,TRUE,0)</f>
        <v/>
      </c>
      <c r="BI64" s="18"/>
      <c r="BJ64" s="19"/>
      <c r="BK64" s="33" t="str" cm="1">
        <f t="array" ref="BK64">_xlfn.IFS($D64="","",AND(BI64=$C64,BJ64=$D64),3,($C64-$D64)/MAX(ABS($C64-$D64),1)=(BI64-BJ64)/MAX(ABS(BI64-BJ64),1),1,TRUE,0)</f>
        <v/>
      </c>
      <c r="BL64" s="18"/>
      <c r="BM64" s="19"/>
      <c r="BN64" s="33" t="str" cm="1">
        <f t="array" ref="BN64">_xlfn.IFS($D64="","",AND(BL64=$C64,BM64=$D64),3,($C64-$D64)/MAX(ABS($C64-$D64),1)=(BL64-BM64)/MAX(ABS(BL64-BM64),1),1,TRUE,0)</f>
        <v/>
      </c>
      <c r="BO64" s="18"/>
      <c r="BP64" s="19"/>
      <c r="BQ64" s="33" t="str" cm="1">
        <f t="array" ref="BQ64">_xlfn.IFS($D64="","",AND(BO64=$C64,BP64=$D64),3,($C64-$D64)/MAX(ABS($C64-$D64),1)=(BO64-BP64)/MAX(ABS(BO64-BP64),1),1,TRUE,0)</f>
        <v/>
      </c>
      <c r="BR64" s="18"/>
      <c r="BS64" s="19"/>
      <c r="BT64" s="33" t="str" cm="1">
        <f t="array" ref="BT64">_xlfn.IFS($D64="","",AND(BR64=$C64,BS64=$D64),3,($C64-$D64)/MAX(ABS($C64-$D64),1)=(BR64-BS64)/MAX(ABS(BR64-BS64),1),1,TRUE,0)</f>
        <v/>
      </c>
      <c r="BU64" s="18"/>
      <c r="BV64" s="19"/>
      <c r="BW64" s="33" t="str" cm="1">
        <f t="array" ref="BW64">_xlfn.IFS($D64="","",AND(BU64=$C64,BV64=$D64),3,($C64-$D64)/MAX(ABS($C64-$D64),1)=(BU64-BV64)/MAX(ABS(BU64-BV64),1),1,TRUE,0)</f>
        <v/>
      </c>
      <c r="BX64" s="18"/>
      <c r="BY64" s="19"/>
      <c r="BZ64" s="33" t="str" cm="1">
        <f t="array" ref="BZ64">_xlfn.IFS($D64="","",AND(BX64=$C64,BY64=$D64),3,($C64-$D64)/MAX(ABS($C64-$D64),1)=(BX64-BY64)/MAX(ABS(BX64-BY64),1),1,TRUE,0)</f>
        <v/>
      </c>
      <c r="CA64" s="18"/>
      <c r="CB64" s="19"/>
      <c r="CC64" s="33" t="str" cm="1">
        <f t="array" ref="CC64">_xlfn.IFS($D64="","",AND(CA64=$C64,CB64=$D64),3,($C64-$D64)/MAX(ABS($C64-$D64),1)=(CA64-CB64)/MAX(ABS(CA64-CB64),1),1,TRUE,0)</f>
        <v/>
      </c>
      <c r="CD64" s="18"/>
      <c r="CE64" s="19"/>
      <c r="CF64" s="33" t="str" cm="1">
        <f t="array" ref="CF64">_xlfn.IFS($D64="","",AND(CD64=$C64,CE64=$D64),3,($C64-$D64)/MAX(ABS($C64-$D64),1)=(CD64-CE64)/MAX(ABS(CD64-CE64),1),1,TRUE,0)</f>
        <v/>
      </c>
      <c r="CG64" s="18"/>
      <c r="CH64" s="19"/>
      <c r="CI64" s="33" t="str" cm="1">
        <f t="array" ref="CI64">_xlfn.IFS($D64="","",AND(CG64=$C64,CH64=$D64),3,($C64-$D64)/MAX(ABS($C64-$D64),1)=(CG64-CH64)/MAX(ABS(CG64-CH64),1),1,TRUE,0)</f>
        <v/>
      </c>
      <c r="CJ64" s="18"/>
      <c r="CK64" s="19"/>
      <c r="CL64" s="33" t="str" cm="1">
        <f t="array" ref="CL64">_xlfn.IFS($D64="","",AND(CJ64=$C64,CK64=$D64),3,($C64-$D64)/MAX(ABS($C64-$D64),1)=(CJ64-CK64)/MAX(ABS(CJ64-CK64),1),1,TRUE,0)</f>
        <v/>
      </c>
      <c r="CM64" s="18"/>
      <c r="CN64" s="19"/>
      <c r="CO64" s="33" t="str" cm="1">
        <f t="array" ref="CO64">_xlfn.IFS($D64="","",AND(CM64=$C64,CN64=$D64),3,($C64-$D64)/MAX(ABS($C64-$D64),1)=(CM64-CN64)/MAX(ABS(CM64-CN64),1),1,TRUE,0)</f>
        <v/>
      </c>
      <c r="CP64" s="18"/>
      <c r="CQ64" s="19"/>
      <c r="CR64" s="33" t="str" cm="1">
        <f t="array" ref="CR64">_xlfn.IFS($D64="","",AND(CP64=$C64,CQ64=$D64),3,($C64-$D64)/MAX(ABS($C64-$D64),1)=(CP64-CQ64)/MAX(ABS(CP64-CQ64),1),1,TRUE,0)</f>
        <v/>
      </c>
      <c r="CS64" s="18"/>
      <c r="CT64" s="19"/>
      <c r="CU64" s="33" t="str" cm="1">
        <f t="array" ref="CU64">_xlfn.IFS($D64="","",AND(CS64=$C64,CT64=$D64),3,($C64-$D64)/MAX(ABS($C64-$D64),1)=(CS64-CT64)/MAX(ABS(CS64-CT64),1),1,TRUE,0)</f>
        <v/>
      </c>
      <c r="CV64" s="18"/>
      <c r="CW64" s="19"/>
      <c r="CX64" s="33" t="str" cm="1">
        <f t="array" ref="CX64">_xlfn.IFS($D64="","",AND(CV64=$C64,CW64=$D64),3,($C64-$D64)/MAX(ABS($C64-$D64),1)=(CV64-CW64)/MAX(ABS(CV64-CW64),1),1,TRUE,0)</f>
        <v/>
      </c>
      <c r="CY64" s="18"/>
      <c r="CZ64" s="19"/>
      <c r="DA64" s="33" t="str" cm="1">
        <f t="array" ref="DA64">_xlfn.IFS($D64="","",AND(CY64=$C64,CZ64=$D64),3,($C64-$D64)/MAX(ABS($C64-$D64),1)=(CY64-CZ64)/MAX(ABS(CY64-CZ64),1),1,TRUE,0)</f>
        <v/>
      </c>
      <c r="DB64" s="37"/>
      <c r="DC64" s="38"/>
      <c r="DD64" s="33" t="str" cm="1">
        <f t="array" ref="DD64">_xlfn.IFS($D64="","",AND(DB64=$C64,DC64=$D64),3,($C64-$D64)/MAX(ABS($C64-$D64),1)=(DB64-DC64)/MAX(ABS(DB64-DC64),1),1,TRUE,0)</f>
        <v/>
      </c>
      <c r="DE64" s="18"/>
      <c r="DF64" s="19"/>
      <c r="DG64" s="33" t="str" cm="1">
        <f t="array" ref="DG64">_xlfn.IFS($D64="","",AND(DE64=$C64,DF64=$D64),3,($C64-$D64)/MAX(ABS($C64-$D64),1)=(DE64-DF64)/MAX(ABS(DE64-DF64),1),1,TRUE,0)</f>
        <v/>
      </c>
      <c r="DH64" s="18"/>
      <c r="DI64" s="19"/>
      <c r="DJ64" s="33" t="str" cm="1">
        <f t="array" ref="DJ64">_xlfn.IFS($D64="","",AND(DH64=$C64,DI64=$D64),3,($C64-$D64)/MAX(ABS($C64-$D64),1)=(DH64-DI64)/MAX(ABS(DH64-DI64),1),1,TRUE,0)</f>
        <v/>
      </c>
      <c r="DK64" s="18"/>
      <c r="DL64" s="19"/>
      <c r="DM64" s="33" t="str" cm="1">
        <f t="array" ref="DM64">_xlfn.IFS($D64="","",AND(DK64=$C64,DL64=$D64),3,($C64-$D64)/MAX(ABS($C64-$D64),1)=(DK64-DL64)/MAX(ABS(DK64-DL64),1),1,TRUE,0)</f>
        <v/>
      </c>
      <c r="DN64" s="18"/>
      <c r="DO64" s="19"/>
      <c r="DP64" s="33" t="str" cm="1">
        <f t="array" ref="DP64">_xlfn.IFS($D64="","",AND(DN64=$C64,DO64=$D64),3,($C64-$D64)/MAX(ABS($C64-$D64),1)=(DN64-DO64)/MAX(ABS(DN64-DO64),1),1,TRUE,0)</f>
        <v/>
      </c>
      <c r="DQ64" s="18"/>
      <c r="DR64" s="19"/>
      <c r="DS64" s="33" t="str" cm="1">
        <f t="array" ref="DS64">_xlfn.IFS($D64="","",AND(DQ64=$C64,DR64=$D64),3,($C64-$D64)/MAX(ABS($C64-$D64),1)=(DQ64-DR64)/MAX(ABS(DQ64-DR64),1),1,TRUE,0)</f>
        <v/>
      </c>
      <c r="DT64" s="18"/>
      <c r="DU64" s="19"/>
      <c r="DV64" s="33" t="str" cm="1">
        <f t="array" ref="DV64">_xlfn.IFS($D64="","",AND(DT64=$C64,DU64=$D64),3,($C64-$D64)/MAX(ABS($C64-$D64),1)=(DT64-DU64)/MAX(ABS(DT64-DU64),1),1,TRUE,0)</f>
        <v/>
      </c>
      <c r="DW64" s="18"/>
      <c r="DX64" s="19"/>
      <c r="DY64" s="33" t="str" cm="1">
        <f t="array" ref="DY64">_xlfn.IFS($D64="","",AND(DW64=$C64,DX64=$D64),3,($C64-$D64)/MAX(ABS($C64-$D64),1)=(DW64-DX64)/MAX(ABS(DW64-DX64),1),1,TRUE,0)</f>
        <v/>
      </c>
      <c r="DZ64" s="18"/>
      <c r="EA64" s="19"/>
      <c r="EB64" s="33" t="str" cm="1">
        <f t="array" ref="EB64">_xlfn.IFS($D64="","",AND(DZ64=$C64,EA64=$D64),3,($C64-$D64)/MAX(ABS($C64-$D64),1)=(DZ64-EA64)/MAX(ABS(DZ64-EA64),1),1,TRUE,0)</f>
        <v/>
      </c>
      <c r="EC64" s="18"/>
      <c r="ED64" s="19"/>
      <c r="EE64" s="33" t="str" cm="1">
        <f t="array" ref="EE64">_xlfn.IFS($D64="","",AND(EC64=$C64,ED64=$D64),3,($C64-$D64)/MAX(ABS($C64-$D64),1)=(EC64-ED64)/MAX(ABS(EC64-ED64),1),1,TRUE,0)</f>
        <v/>
      </c>
      <c r="EF64" s="18"/>
      <c r="EG64" s="19"/>
      <c r="EH64" s="33" t="str" cm="1">
        <f t="array" ref="EH64">_xlfn.IFS($D64="","",AND(EF64=$C64,EG64=$D64),3,($C64-$D64)/MAX(ABS($C64-$D64),1)=(EF64-EG64)/MAX(ABS(EF64-EG64),1),1,TRUE,0)</f>
        <v/>
      </c>
      <c r="EI64" s="50"/>
      <c r="EJ64" s="51"/>
      <c r="EK64" s="33" t="str" cm="1">
        <f t="array" ref="EK64">_xlfn.IFS($D64="","",AND(EI64=$C64,EJ64=$D64),3,($C64-$D64)/MAX(ABS($C64-$D64),1)=(EI64-EJ64)/MAX(ABS(EI64-EJ64),1),1,TRUE,0)</f>
        <v/>
      </c>
      <c r="EL64" s="18"/>
      <c r="EM64" s="19"/>
      <c r="EN64" s="33" t="str" cm="1">
        <f t="array" ref="EN64">_xlfn.IFS($D64="","",AND(EL64=$C64,EM64=$D64),3,($C64-$D64)/MAX(ABS($C64-$D64),1)=(EL64-EM64)/MAX(ABS(EL64-EM64),1),1,TRUE,0)</f>
        <v/>
      </c>
      <c r="EO64" s="18"/>
      <c r="EP64" s="19"/>
      <c r="EQ64" s="33" t="str" cm="1">
        <f t="array" ref="EQ64">_xlfn.IFS($D64="","",AND(EO64=$C64,EP64=$D64),3,($C64-$D64)/MAX(ABS($C64-$D64),1)=(EO64-EP64)/MAX(ABS(EO64-EP64),1),1,TRUE,0)</f>
        <v/>
      </c>
      <c r="ER64" s="18"/>
      <c r="ES64" s="19"/>
      <c r="ET64" s="33" t="str" cm="1">
        <f t="array" ref="ET64">_xlfn.IFS($D64="","",AND(ER64=$C64,ES64=$D64),3,($C64-$D64)/MAX(ABS($C64-$D64),1)=(ER64-ES64)/MAX(ABS(ER64-ES64),1),1,TRUE,0)</f>
        <v/>
      </c>
      <c r="EU64" s="18"/>
      <c r="EV64" s="19"/>
      <c r="EW64" s="33" t="str" cm="1">
        <f t="array" ref="EW64">_xlfn.IFS($D64="","",AND(EU64=$C64,EV64=$D64),3,($C64-$D64)/MAX(ABS($C64-$D64),1)=(EU64-EV64)/MAX(ABS(EU64-EV64),1),1,TRUE,0)</f>
        <v/>
      </c>
      <c r="EX64" s="18"/>
      <c r="EY64" s="19"/>
      <c r="EZ64" s="33" t="str" cm="1">
        <f t="array" ref="EZ64">_xlfn.IFS($D64="","",AND(EX64=$C64,EY64=$D64),3,($C64-$D64)/MAX(ABS($C64-$D64),1)=(EX64-EY64)/MAX(ABS(EX64-EY64),1),1,TRUE,0)</f>
        <v/>
      </c>
      <c r="FA64" s="18"/>
      <c r="FB64" s="19"/>
      <c r="FC64" s="33" t="str" cm="1">
        <f t="array" ref="FC64">_xlfn.IFS($D64="","",AND(FA64=$C64,FB64=$D64),3,($C64-$D64)/MAX(ABS($C64-$D64),1)=(FA64-FB64)/MAX(ABS(FA64-FB64),1),1,TRUE,0)</f>
        <v/>
      </c>
      <c r="FD64" s="18"/>
      <c r="FE64" s="19"/>
      <c r="FF64" s="33" t="str" cm="1">
        <f t="array" ref="FF64">_xlfn.IFS($D64="","",AND(FD64=$C64,FE64=$D64),3,($C64-$D64)/MAX(ABS($C64-$D64),1)=(FD64-FE64)/MAX(ABS(FD64-FE64),1),1,TRUE,0)</f>
        <v/>
      </c>
      <c r="FG64" s="18"/>
      <c r="FH64" s="19"/>
      <c r="FI64" s="33" t="str" cm="1">
        <f t="array" ref="FI64">_xlfn.IFS($D64="","",AND(FG64=$C64,FH64=$D64),3,($C64-$D64)/MAX(ABS($C64-$D64),1)=(FG64-FH64)/MAX(ABS(FG64-FH64),1),1,TRUE,0)</f>
        <v/>
      </c>
      <c r="FJ64" s="18"/>
      <c r="FK64" s="19"/>
      <c r="FL64" s="33" t="str" cm="1">
        <f t="array" ref="FL64">_xlfn.IFS($D64="","",AND(FJ64=$C64,FK64=$D64),3,($C64-$D64)/MAX(ABS($C64-$D64),1)=(FJ64-FK64)/MAX(ABS(FJ64-FK64),1),1,TRUE,0)</f>
        <v/>
      </c>
      <c r="FM64" s="18"/>
      <c r="FN64" s="19"/>
      <c r="FO64" s="33" t="str" cm="1">
        <f t="array" ref="FO64">_xlfn.IFS($D64="","",AND(FM64=$C64,FN64=$D64),3,($C64-$D64)/MAX(ABS($C64-$D64),1)=(FM64-FN64)/MAX(ABS(FM64-FN64),1),1,TRUE,0)</f>
        <v/>
      </c>
      <c r="FP64" s="18"/>
      <c r="FQ64" s="19"/>
      <c r="FR64" s="33" t="str" cm="1">
        <f t="array" ref="FR64">_xlfn.IFS($D64="","",AND(FP64=$C64,FQ64=$D64),3,($C64-$D64)/MAX(ABS($C64-$D64),1)=(FP64-FQ64)/MAX(ABS(FP64-FQ64),1),1,TRUE,0)</f>
        <v/>
      </c>
      <c r="FS64" s="18"/>
      <c r="FT64" s="19"/>
      <c r="FU64" s="33" t="str" cm="1">
        <f t="array" ref="FU64">_xlfn.IFS($D64="","",AND(FS64=$C64,FT64=$D64),3,($C64-$D64)/MAX(ABS($C64-$D64),1)=(FS64-FT64)/MAX(ABS(FS64-FT64),1),1,TRUE,0)</f>
        <v/>
      </c>
      <c r="FV64" s="18"/>
      <c r="FW64" s="19"/>
      <c r="FX64" s="33" t="str" cm="1">
        <f t="array" ref="FX64">_xlfn.IFS($D64="","",AND(FV64=$C64,FW64=$D64),3,($C64-$D64)/MAX(ABS($C64-$D64),1)=(FV64-FW64)/MAX(ABS(FV64-FW64),1),1,TRUE,0)</f>
        <v/>
      </c>
      <c r="FY64" s="18"/>
      <c r="FZ64" s="19"/>
      <c r="GA64" s="33" t="str" cm="1">
        <f t="array" ref="GA64">_xlfn.IFS($D64="","",AND(FY64=$C64,FZ64=$D64),3,($C64-$D64)/MAX(ABS($C64-$D64),1)=(FY64-FZ64)/MAX(ABS(FY64-FZ64),1),1,TRUE,0)</f>
        <v/>
      </c>
      <c r="GB64" s="18"/>
      <c r="GC64" s="19"/>
      <c r="GD64" s="33" t="str" cm="1">
        <f t="array" ref="GD64">_xlfn.IFS($D64="","",AND(GB64=$C64,GC64=$D64),3,($C64-$D64)/MAX(ABS($C64-$D64),1)=(GB64-GC64)/MAX(ABS(GB64-GC64),1),1,TRUE,0)</f>
        <v/>
      </c>
      <c r="GE64" s="52"/>
      <c r="GF64" s="19"/>
      <c r="GG64" s="33" t="str" cm="1">
        <f t="array" ref="GG64">_xlfn.IFS($D64="","",AND(GE64=$C64,GF64=$D64),3,($C64-$D64)/MAX(ABS($C64-$D64),1)=(GE64-GF64)/MAX(ABS(GE64-GF64),1),1,TRUE,0)</f>
        <v/>
      </c>
      <c r="GH64" s="18"/>
      <c r="GI64" s="19"/>
      <c r="GJ64" s="33" t="str" cm="1">
        <f t="array" ref="GJ64">_xlfn.IFS($D64="","",AND(GH64=$C64,GI64=$D64),3,($C64-$D64)/MAX(ABS($C64-$D64),1)=(GH64-GI64)/MAX(ABS(GH64-GI64),1),1,TRUE,0)</f>
        <v/>
      </c>
      <c r="GK64" s="18"/>
      <c r="GL64" s="19"/>
      <c r="GM64" s="33" t="str" cm="1">
        <f t="array" ref="GM64">_xlfn.IFS($D64="","",AND(GK64=$C64,GL64=$D64),3,($C64-$D64)/MAX(ABS($C64-$D64),1)=(GK64-GL64)/MAX(ABS(GK64-GL64),1),1,TRUE,0)</f>
        <v/>
      </c>
      <c r="GN64" s="18"/>
      <c r="GO64" s="19"/>
      <c r="GP64" s="33" t="str" cm="1">
        <f t="array" ref="GP64">_xlfn.IFS($D64="","",AND(GN64=$C64,GO64=$D64),3,($C64-$D64)/MAX(ABS($C64-$D64),1)=(GN64-GO64)/MAX(ABS(GN64-GO64),1),1,TRUE,0)</f>
        <v/>
      </c>
      <c r="GQ64" s="18"/>
      <c r="GR64" s="19"/>
      <c r="GS64" s="33" t="str" cm="1">
        <f t="array" ref="GS64">_xlfn.IFS($D64="","",AND(GQ64=$C64,GR64=$D64),3,($C64-$D64)/MAX(ABS($C64-$D64),1)=(GQ64-GR64)/MAX(ABS(GQ64-GR64),1),1,TRUE,0)</f>
        <v/>
      </c>
      <c r="GT64" s="18"/>
      <c r="GU64" s="19"/>
      <c r="GV64" s="33" t="str" cm="1">
        <f t="array" ref="GV64">_xlfn.IFS($D64="","",AND(GT64=$C64,GU64=$D64),3,($C64-$D64)/MAX(ABS($C64-$D64),1)=(GT64-GU64)/MAX(ABS(GT64-GU64),1),1,TRUE,0)</f>
        <v/>
      </c>
      <c r="GW64" s="18"/>
      <c r="GX64" s="19"/>
      <c r="GY64" s="33" t="str" cm="1">
        <f t="array" ref="GY64">_xlfn.IFS($D64="","",AND(GW64=$C64,GX64=$D64),3,($C64-$D64)/MAX(ABS($C64-$D64),1)=(GW64-GX64)/MAX(ABS(GW64-GX64),1),1,TRUE,0)</f>
        <v/>
      </c>
      <c r="GZ64" s="18"/>
      <c r="HA64" s="19"/>
      <c r="HB64" s="33" t="str" cm="1">
        <f t="array" ref="HB64">_xlfn.IFS($D64="","",AND(GZ64=$C64,HA64=$D64),3,($C64-$D64)/MAX(ABS($C64-$D64),1)=(GZ64-HA64)/MAX(ABS(GZ64-HA64),1),1,TRUE,0)</f>
        <v/>
      </c>
      <c r="HC64" s="18"/>
      <c r="HD64" s="19"/>
      <c r="HE64" s="33" t="str" cm="1">
        <f t="array" ref="HE64">_xlfn.IFS($D64="","",AND(HC64=$C64,HD64=$D64),3,($C64-$D64)/MAX(ABS($C64-$D64),1)=(HC64-HD64)/MAX(ABS(HC64-HD64),1),1,TRUE,0)</f>
        <v/>
      </c>
      <c r="HF64" s="18"/>
      <c r="HG64" s="19"/>
      <c r="HH64" s="33" t="str" cm="1">
        <f t="array" ref="HH64">_xlfn.IFS($D64="","",AND(HF64=$C64,HG64=$D64),3,($C64-$D64)/MAX(ABS($C64-$D64),1)=(HF64-HG64)/MAX(ABS(HF64-HG64),1),1,TRUE,0)</f>
        <v/>
      </c>
      <c r="HI64" s="18"/>
      <c r="HJ64" s="19"/>
      <c r="HK64" s="33" t="str" cm="1">
        <f t="array" ref="HK64">_xlfn.IFS($D64="","",AND(HI64=$C64,HJ64=$D64),3,($C64-$D64)/MAX(ABS($C64-$D64),1)=(HI64-HJ64)/MAX(ABS(HI64-HJ64),1),1,TRUE,0)</f>
        <v/>
      </c>
      <c r="HL64" s="18"/>
      <c r="HM64" s="19"/>
      <c r="HN64" s="33" t="str" cm="1">
        <f t="array" ref="HN64">_xlfn.IFS($D64="","",AND(HL64=$C64,HM64=$D64),3,($C64-$D64)/MAX(ABS($C64-$D64),1)=(HL64-HM64)/MAX(ABS(HL64-HM64),1),1,TRUE,0)</f>
        <v/>
      </c>
      <c r="HO64" s="18"/>
      <c r="HP64" s="19"/>
      <c r="HQ64" s="33" t="str" cm="1">
        <f t="array" ref="HQ64">_xlfn.IFS($D64="","",AND(HO64=$C64,HP64=$D64),3,($C64-$D64)/MAX(ABS($C64-$D64),1)=(HO64-HP64)/MAX(ABS(HO64-HP64),1),1,TRUE,0)</f>
        <v/>
      </c>
      <c r="HR64" s="18"/>
      <c r="HS64" s="19"/>
      <c r="HT64" s="33" t="str" cm="1">
        <f t="array" ref="HT64">_xlfn.IFS($D64="","",AND(HR64=$C64,HS64=$D64),3,($C64-$D64)/MAX(ABS($C64-$D64),1)=(HR64-HS64)/MAX(ABS(HR64-HS64),1),1,TRUE,0)</f>
        <v/>
      </c>
      <c r="HU64" s="18"/>
      <c r="HV64" s="19"/>
      <c r="HW64" s="33" t="str" cm="1">
        <f t="array" ref="HW64">_xlfn.IFS($D64="","",AND(HU64=$C64,HV64=$D64),3,($C64-$D64)/MAX(ABS($C64-$D64),1)=(HU64-HV64)/MAX(ABS(HU64-HV64),1),1,TRUE,0)</f>
        <v/>
      </c>
      <c r="HX64" s="18"/>
      <c r="HY64" s="19"/>
      <c r="HZ64" s="33" t="str" cm="1">
        <f t="array" ref="HZ64">_xlfn.IFS($D64="","",AND(HX64=$C64,HY64=$D64),3,($C64-$D64)/MAX(ABS($C64-$D64),1)=(HX64-HY64)/MAX(ABS(HX64-HY64),1),1,TRUE,0)</f>
        <v/>
      </c>
      <c r="IA64" s="18"/>
      <c r="IB64" s="19"/>
      <c r="IC64" s="33" t="str" cm="1">
        <f t="array" ref="IC64">_xlfn.IFS($D64="","",AND(IA64=$C64,IB64=$D64),3,($C64-$D64)/MAX(ABS($C64-$D64),1)=(IA64-IB64)/MAX(ABS(IA64-IB64),1),1,TRUE,0)</f>
        <v/>
      </c>
      <c r="ID64" s="18"/>
      <c r="IE64" s="19"/>
      <c r="IF64" s="33" t="str" cm="1">
        <f t="array" ref="IF64">_xlfn.IFS($D64="","",AND(ID64=$C64,IE64=$D64),3,($C64-$D64)/MAX(ABS($C64-$D64),1)=(ID64-IE64)/MAX(ABS(ID64-IE64),1),1,TRUE,0)</f>
        <v/>
      </c>
      <c r="IG64" s="18"/>
      <c r="IH64" s="19"/>
      <c r="II64" s="33" t="str" cm="1">
        <f t="array" ref="II64">_xlfn.IFS($D64="","",AND(IG64=$C64,IH64=$D64),3,($C64-$D64)/MAX(ABS($C64-$D64),1)=(IG64-IH64)/MAX(ABS(IG64-IH64),1),1,TRUE,0)</f>
        <v/>
      </c>
      <c r="IJ64" s="18"/>
      <c r="IK64" s="19"/>
      <c r="IL64" s="33" t="str" cm="1">
        <f t="array" ref="IL64">_xlfn.IFS($D64="","",AND(IJ64=$C64,IK64=$D64),3,($C64-$D64)/MAX(ABS($C64-$D64),1)=(IJ64-IK64)/MAX(ABS(IJ64-IK64),1),1,TRUE,0)</f>
        <v/>
      </c>
      <c r="IM64" s="18"/>
      <c r="IN64" s="19"/>
      <c r="IO64" s="33" t="str" cm="1">
        <f t="array" ref="IO64">_xlfn.IFS($D64="","",AND(IM64=$C64,IN64=$D64),3,($C64-$D64)/MAX(ABS($C64-$D64),1)=(IM64-IN64)/MAX(ABS(IM64-IN64),1),1,TRUE,0)</f>
        <v/>
      </c>
      <c r="IP64" s="18"/>
      <c r="IQ64" s="19"/>
      <c r="IR64" s="33" t="str" cm="1">
        <f t="array" ref="IR64">_xlfn.IFS($D64="","",AND(IP64=$C64,IQ64=$D64),3,($C64-$D64)/MAX(ABS($C64-$D64),1)=(IP64-IQ64)/MAX(ABS(IP64-IQ64),1),1,TRUE,0)</f>
        <v/>
      </c>
      <c r="IS64" s="18"/>
      <c r="IT64" s="19"/>
      <c r="IU64" s="33" t="str" cm="1">
        <f t="array" ref="IU64">_xlfn.IFS($D64="","",AND(IS64=$C64,IT64=$D64),3,($C64-$D64)/MAX(ABS($C64-$D64),1)=(IS64-IT64)/MAX(ABS(IS64-IT64),1),1,TRUE,0)</f>
        <v/>
      </c>
      <c r="IV64" s="18"/>
      <c r="IW64" s="19"/>
      <c r="IX64" s="33" t="str" cm="1">
        <f t="array" ref="IX64">_xlfn.IFS($D64="","",AND(IV64=$C64,IW64=$D64),3,($C64-$D64)/MAX(ABS($C64-$D64),1)=(IV64-IW64)/MAX(ABS(IV64-IW64),1),1,TRUE,0)</f>
        <v/>
      </c>
      <c r="IY64" s="18"/>
      <c r="IZ64" s="19"/>
      <c r="JA64" s="33" t="str" cm="1">
        <f t="array" ref="JA64">_xlfn.IFS($D64="","",AND(IY64=$C64,IZ64=$D64),3,($C64-$D64)/MAX(ABS($C64-$D64),1)=(IY64-IZ64)/MAX(ABS(IY64-IZ64),1),1,TRUE,0)</f>
        <v/>
      </c>
      <c r="JB64" s="18"/>
      <c r="JC64" s="19"/>
      <c r="JD64" s="33" t="str" cm="1">
        <f t="array" ref="JD64">_xlfn.IFS($D64="","",AND(JB64=$C64,JC64=$D64),3,($C64-$D64)/MAX(ABS($C64-$D64),1)=(JB64-JC64)/MAX(ABS(JB64-JC64),1),1,TRUE,0)</f>
        <v/>
      </c>
    </row>
    <row r="65" spans="1:264" ht="15" thickBot="1" x14ac:dyDescent="0.35">
      <c r="A65" s="22">
        <v>46200</v>
      </c>
      <c r="B65" s="28" t="s">
        <v>66</v>
      </c>
      <c r="C65" s="53" t="str" cm="1">
        <f t="array" ref="C65">_xlfn.LET(
_xlpm.x,_xlfn.XLOOKUP(1,(Scores_Fixtures[Date]=A65)*(Scores_Fixtures[Home.1]=B65),Scores_Fixtures[Score.1],""),
IF(_xlpm.x="","",_xlpm.x)
)</f>
        <v/>
      </c>
      <c r="D65" s="53" t="str" cm="1">
        <f t="array" ref="D65">_xlfn.LET(
_xlpm.x,_xlfn.XLOOKUP(1,(Scores_Fixtures[Date]=A65)*(Scores_Fixtures[Home.1]=B65),Scores_Fixtures[Score.2],""),
IF(_xlpm.x="","",_xlpm.x)
)</f>
        <v/>
      </c>
      <c r="E65" s="12" t="s">
        <v>44</v>
      </c>
      <c r="F65" s="15"/>
      <c r="G65" s="53"/>
      <c r="H65" s="53"/>
      <c r="I65" s="33" t="str" cm="1">
        <f t="array" ref="I65">_xlfn.IFS($D65="","",AND(G65=$C65,H65=$D65),3,($C65-$D65)/MAX(ABS($C65-$D65),1)=(G65-H65)/MAX(ABS(G65-H65),1),1,TRUE,0)</f>
        <v/>
      </c>
      <c r="J65" s="18"/>
      <c r="K65" s="19"/>
      <c r="L65" s="33" t="str" cm="1">
        <f t="array" ref="L65">_xlfn.IFS($D65="","",AND(J65=$C65,K65=$D65),3,($C65-$D65)/MAX(ABS($C65-$D65),1)=(J65-K65)/MAX(ABS(J65-K65),1),1,TRUE,0)</f>
        <v/>
      </c>
      <c r="M65" s="18"/>
      <c r="N65" s="19"/>
      <c r="O65" s="33" t="str" cm="1">
        <f t="array" ref="O65">_xlfn.IFS($D65="","",AND(M65=$C65,N65=$D65),3,($C65-$D65)/MAX(ABS($C65-$D65),1)=(M65-N65)/MAX(ABS(M65-N65),1),1,TRUE,0)</f>
        <v/>
      </c>
      <c r="P65" s="18"/>
      <c r="Q65" s="19"/>
      <c r="R65" s="33" t="str" cm="1">
        <f t="array" ref="R65">_xlfn.IFS($D65="","",AND(P65=$C65,Q65=$D65),3,($C65-$D65)/MAX(ABS($C65-$D65),1)=(P65-Q65)/MAX(ABS(P65-Q65),1),1,TRUE,0)</f>
        <v/>
      </c>
      <c r="S65" s="18"/>
      <c r="T65" s="19"/>
      <c r="U65" s="33" t="str" cm="1">
        <f t="array" ref="U65">_xlfn.IFS($D65="","",AND(S65=$C65,T65=$D65),3,($C65-$D65)/MAX(ABS($C65-$D65),1)=(S65-T65)/MAX(ABS(S65-T65),1),1,TRUE,0)</f>
        <v/>
      </c>
      <c r="V65" s="18"/>
      <c r="W65" s="19"/>
      <c r="X65" s="33" t="str" cm="1">
        <f t="array" ref="X65">_xlfn.IFS($D65="","",AND(V65=$C65,W65=$D65),3,($C65-$D65)/MAX(ABS($C65-$D65),1)=(V65-W65)/MAX(ABS(V65-W65),1),1,TRUE,0)</f>
        <v/>
      </c>
      <c r="Y65" s="18"/>
      <c r="Z65" s="19"/>
      <c r="AA65" s="33" t="str" cm="1">
        <f t="array" ref="AA65">_xlfn.IFS($D65="","",AND(Y65=$C65,Z65=$D65),3,($C65-$D65)/MAX(ABS($C65-$D65),1)=(Y65-Z65)/MAX(ABS(Y65-Z65),1),1,TRUE,0)</f>
        <v/>
      </c>
      <c r="AB65" s="18"/>
      <c r="AC65" s="19"/>
      <c r="AD65" s="33" t="str" cm="1">
        <f t="array" ref="AD65">_xlfn.IFS($D65="","",AND(AB65=$C65,AC65=$D65),3,($C65-$D65)/MAX(ABS($C65-$D65),1)=(AB65-AC65)/MAX(ABS(AB65-AC65),1),1,TRUE,0)</f>
        <v/>
      </c>
      <c r="AE65" s="18"/>
      <c r="AF65" s="19"/>
      <c r="AG65" s="33" t="str" cm="1">
        <f t="array" ref="AG65">_xlfn.IFS($D65="","",AND(AE65=$C65,AF65=$D65),3,($C65-$D65)/MAX(ABS($C65-$D65),1)=(AE65-AF65)/MAX(ABS(AE65-AF65),1),1,TRUE,0)</f>
        <v/>
      </c>
      <c r="AH65" s="18"/>
      <c r="AI65" s="19"/>
      <c r="AJ65" s="33" t="str" cm="1">
        <f t="array" ref="AJ65">_xlfn.IFS($D65="","",AND(AH65=$C65,AI65=$D65),3,($C65-$D65)/MAX(ABS($C65-$D65),1)=(AH65-AI65)/MAX(ABS(AH65-AI65),1),1,TRUE,0)</f>
        <v/>
      </c>
      <c r="AK65" s="18"/>
      <c r="AL65" s="19"/>
      <c r="AM65" s="33" t="str" cm="1">
        <f t="array" ref="AM65">_xlfn.IFS($D65="","",AND(AK65=$C65,AL65=$D65),3,($C65-$D65)/MAX(ABS($C65-$D65),1)=(AK65-AL65)/MAX(ABS(AK65-AL65),1),1,TRUE,0)</f>
        <v/>
      </c>
      <c r="AN65" s="18"/>
      <c r="AO65" s="19"/>
      <c r="AP65" s="33" t="str" cm="1">
        <f t="array" ref="AP65">_xlfn.IFS($D65="","",AND(AN65=$C65,AO65=$D65),3,($C65-$D65)/MAX(ABS($C65-$D65),1)=(AN65-AO65)/MAX(ABS(AN65-AO65),1),1,TRUE,0)</f>
        <v/>
      </c>
      <c r="AQ65" s="18"/>
      <c r="AR65" s="19"/>
      <c r="AS65" s="33" t="str" cm="1">
        <f t="array" ref="AS65">_xlfn.IFS($D65="","",AND(AQ65=$C65,AR65=$D65),3,($C65-$D65)/MAX(ABS($C65-$D65),1)=(AQ65-AR65)/MAX(ABS(AQ65-AR65),1),1,TRUE,0)</f>
        <v/>
      </c>
      <c r="AT65" s="18"/>
      <c r="AU65" s="19"/>
      <c r="AV65" s="33" t="str" cm="1">
        <f t="array" ref="AV65">_xlfn.IFS($D65="","",AND(AT65=$C65,AU65=$D65),3,($C65-$D65)/MAX(ABS($C65-$D65),1)=(AT65-AU65)/MAX(ABS(AT65-AU65),1),1,TRUE,0)</f>
        <v/>
      </c>
      <c r="AW65" s="18"/>
      <c r="AX65" s="19"/>
      <c r="AY65" s="33" t="str" cm="1">
        <f t="array" ref="AY65">_xlfn.IFS($D65="","",AND(AW65=$C65,AX65=$D65),3,($C65-$D65)/MAX(ABS($C65-$D65),1)=(AW65-AX65)/MAX(ABS(AW65-AX65),1),1,TRUE,0)</f>
        <v/>
      </c>
      <c r="AZ65" s="18"/>
      <c r="BA65" s="19"/>
      <c r="BB65" s="33" t="str" cm="1">
        <f t="array" ref="BB65">_xlfn.IFS($D65="","",AND(AZ65=$C65,BA65=$D65),3,($C65-$D65)/MAX(ABS($C65-$D65),1)=(AZ65-BA65)/MAX(ABS(AZ65-BA65),1),1,TRUE,0)</f>
        <v/>
      </c>
      <c r="BC65" s="18"/>
      <c r="BD65" s="19"/>
      <c r="BE65" s="33" t="str" cm="1">
        <f t="array" ref="BE65">_xlfn.IFS($D65="","",AND(BC65=$C65,BD65=$D65),3,($C65-$D65)/MAX(ABS($C65-$D65),1)=(BC65-BD65)/MAX(ABS(BC65-BD65),1),1,TRUE,0)</f>
        <v/>
      </c>
      <c r="BF65" s="18"/>
      <c r="BG65" s="19"/>
      <c r="BH65" s="33" t="str" cm="1">
        <f t="array" ref="BH65">_xlfn.IFS($D65="","",AND(BF65=$C65,BG65=$D65),3,($C65-$D65)/MAX(ABS($C65-$D65),1)=(BF65-BG65)/MAX(ABS(BF65-BG65),1),1,TRUE,0)</f>
        <v/>
      </c>
      <c r="BI65" s="18"/>
      <c r="BJ65" s="19"/>
      <c r="BK65" s="33" t="str" cm="1">
        <f t="array" ref="BK65">_xlfn.IFS($D65="","",AND(BI65=$C65,BJ65=$D65),3,($C65-$D65)/MAX(ABS($C65-$D65),1)=(BI65-BJ65)/MAX(ABS(BI65-BJ65),1),1,TRUE,0)</f>
        <v/>
      </c>
      <c r="BL65" s="18"/>
      <c r="BM65" s="19"/>
      <c r="BN65" s="33" t="str" cm="1">
        <f t="array" ref="BN65">_xlfn.IFS($D65="","",AND(BL65=$C65,BM65=$D65),3,($C65-$D65)/MAX(ABS($C65-$D65),1)=(BL65-BM65)/MAX(ABS(BL65-BM65),1),1,TRUE,0)</f>
        <v/>
      </c>
      <c r="BO65" s="18"/>
      <c r="BP65" s="19"/>
      <c r="BQ65" s="33" t="str" cm="1">
        <f t="array" ref="BQ65">_xlfn.IFS($D65="","",AND(BO65=$C65,BP65=$D65),3,($C65-$D65)/MAX(ABS($C65-$D65),1)=(BO65-BP65)/MAX(ABS(BO65-BP65),1),1,TRUE,0)</f>
        <v/>
      </c>
      <c r="BR65" s="18"/>
      <c r="BS65" s="19"/>
      <c r="BT65" s="33" t="str" cm="1">
        <f t="array" ref="BT65">_xlfn.IFS($D65="","",AND(BR65=$C65,BS65=$D65),3,($C65-$D65)/MAX(ABS($C65-$D65),1)=(BR65-BS65)/MAX(ABS(BR65-BS65),1),1,TRUE,0)</f>
        <v/>
      </c>
      <c r="BU65" s="18"/>
      <c r="BV65" s="19"/>
      <c r="BW65" s="33" t="str" cm="1">
        <f t="array" ref="BW65">_xlfn.IFS($D65="","",AND(BU65=$C65,BV65=$D65),3,($C65-$D65)/MAX(ABS($C65-$D65),1)=(BU65-BV65)/MAX(ABS(BU65-BV65),1),1,TRUE,0)</f>
        <v/>
      </c>
      <c r="BX65" s="18"/>
      <c r="BY65" s="19"/>
      <c r="BZ65" s="33" t="str" cm="1">
        <f t="array" ref="BZ65">_xlfn.IFS($D65="","",AND(BX65=$C65,BY65=$D65),3,($C65-$D65)/MAX(ABS($C65-$D65),1)=(BX65-BY65)/MAX(ABS(BX65-BY65),1),1,TRUE,0)</f>
        <v/>
      </c>
      <c r="CA65" s="18"/>
      <c r="CB65" s="19"/>
      <c r="CC65" s="33" t="str" cm="1">
        <f t="array" ref="CC65">_xlfn.IFS($D65="","",AND(CA65=$C65,CB65=$D65),3,($C65-$D65)/MAX(ABS($C65-$D65),1)=(CA65-CB65)/MAX(ABS(CA65-CB65),1),1,TRUE,0)</f>
        <v/>
      </c>
      <c r="CD65" s="18"/>
      <c r="CE65" s="19"/>
      <c r="CF65" s="33" t="str" cm="1">
        <f t="array" ref="CF65">_xlfn.IFS($D65="","",AND(CD65=$C65,CE65=$D65),3,($C65-$D65)/MAX(ABS($C65-$D65),1)=(CD65-CE65)/MAX(ABS(CD65-CE65),1),1,TRUE,0)</f>
        <v/>
      </c>
      <c r="CG65" s="18"/>
      <c r="CH65" s="19"/>
      <c r="CI65" s="33" t="str" cm="1">
        <f t="array" ref="CI65">_xlfn.IFS($D65="","",AND(CG65=$C65,CH65=$D65),3,($C65-$D65)/MAX(ABS($C65-$D65),1)=(CG65-CH65)/MAX(ABS(CG65-CH65),1),1,TRUE,0)</f>
        <v/>
      </c>
      <c r="CJ65" s="18"/>
      <c r="CK65" s="19"/>
      <c r="CL65" s="33" t="str" cm="1">
        <f t="array" ref="CL65">_xlfn.IFS($D65="","",AND(CJ65=$C65,CK65=$D65),3,($C65-$D65)/MAX(ABS($C65-$D65),1)=(CJ65-CK65)/MAX(ABS(CJ65-CK65),1),1,TRUE,0)</f>
        <v/>
      </c>
      <c r="CM65" s="18"/>
      <c r="CN65" s="19"/>
      <c r="CO65" s="33" t="str" cm="1">
        <f t="array" ref="CO65">_xlfn.IFS($D65="","",AND(CM65=$C65,CN65=$D65),3,($C65-$D65)/MAX(ABS($C65-$D65),1)=(CM65-CN65)/MAX(ABS(CM65-CN65),1),1,TRUE,0)</f>
        <v/>
      </c>
      <c r="CP65" s="18"/>
      <c r="CQ65" s="19"/>
      <c r="CR65" s="33" t="str" cm="1">
        <f t="array" ref="CR65">_xlfn.IFS($D65="","",AND(CP65=$C65,CQ65=$D65),3,($C65-$D65)/MAX(ABS($C65-$D65),1)=(CP65-CQ65)/MAX(ABS(CP65-CQ65),1),1,TRUE,0)</f>
        <v/>
      </c>
      <c r="CS65" s="18"/>
      <c r="CT65" s="19"/>
      <c r="CU65" s="33" t="str" cm="1">
        <f t="array" ref="CU65">_xlfn.IFS($D65="","",AND(CS65=$C65,CT65=$D65),3,($C65-$D65)/MAX(ABS($C65-$D65),1)=(CS65-CT65)/MAX(ABS(CS65-CT65),1),1,TRUE,0)</f>
        <v/>
      </c>
      <c r="CV65" s="18"/>
      <c r="CW65" s="19"/>
      <c r="CX65" s="33" t="str" cm="1">
        <f t="array" ref="CX65">_xlfn.IFS($D65="","",AND(CV65=$C65,CW65=$D65),3,($C65-$D65)/MAX(ABS($C65-$D65),1)=(CV65-CW65)/MAX(ABS(CV65-CW65),1),1,TRUE,0)</f>
        <v/>
      </c>
      <c r="CY65" s="18"/>
      <c r="CZ65" s="19"/>
      <c r="DA65" s="33" t="str" cm="1">
        <f t="array" ref="DA65">_xlfn.IFS($D65="","",AND(CY65=$C65,CZ65=$D65),3,($C65-$D65)/MAX(ABS($C65-$D65),1)=(CY65-CZ65)/MAX(ABS(CY65-CZ65),1),1,TRUE,0)</f>
        <v/>
      </c>
      <c r="DB65" s="37"/>
      <c r="DC65" s="38"/>
      <c r="DD65" s="33" t="str" cm="1">
        <f t="array" ref="DD65">_xlfn.IFS($D65="","",AND(DB65=$C65,DC65=$D65),3,($C65-$D65)/MAX(ABS($C65-$D65),1)=(DB65-DC65)/MAX(ABS(DB65-DC65),1),1,TRUE,0)</f>
        <v/>
      </c>
      <c r="DE65" s="18"/>
      <c r="DF65" s="19"/>
      <c r="DG65" s="33" t="str" cm="1">
        <f t="array" ref="DG65">_xlfn.IFS($D65="","",AND(DE65=$C65,DF65=$D65),3,($C65-$D65)/MAX(ABS($C65-$D65),1)=(DE65-DF65)/MAX(ABS(DE65-DF65),1),1,TRUE,0)</f>
        <v/>
      </c>
      <c r="DH65" s="18"/>
      <c r="DI65" s="19"/>
      <c r="DJ65" s="33" t="str" cm="1">
        <f t="array" ref="DJ65">_xlfn.IFS($D65="","",AND(DH65=$C65,DI65=$D65),3,($C65-$D65)/MAX(ABS($C65-$D65),1)=(DH65-DI65)/MAX(ABS(DH65-DI65),1),1,TRUE,0)</f>
        <v/>
      </c>
      <c r="DK65" s="18"/>
      <c r="DL65" s="19"/>
      <c r="DM65" s="33" t="str" cm="1">
        <f t="array" ref="DM65">_xlfn.IFS($D65="","",AND(DK65=$C65,DL65=$D65),3,($C65-$D65)/MAX(ABS($C65-$D65),1)=(DK65-DL65)/MAX(ABS(DK65-DL65),1),1,TRUE,0)</f>
        <v/>
      </c>
      <c r="DN65" s="18"/>
      <c r="DO65" s="19"/>
      <c r="DP65" s="33" t="str" cm="1">
        <f t="array" ref="DP65">_xlfn.IFS($D65="","",AND(DN65=$C65,DO65=$D65),3,($C65-$D65)/MAX(ABS($C65-$D65),1)=(DN65-DO65)/MAX(ABS(DN65-DO65),1),1,TRUE,0)</f>
        <v/>
      </c>
      <c r="DQ65" s="18"/>
      <c r="DR65" s="19"/>
      <c r="DS65" s="33" t="str" cm="1">
        <f t="array" ref="DS65">_xlfn.IFS($D65="","",AND(DQ65=$C65,DR65=$D65),3,($C65-$D65)/MAX(ABS($C65-$D65),1)=(DQ65-DR65)/MAX(ABS(DQ65-DR65),1),1,TRUE,0)</f>
        <v/>
      </c>
      <c r="DT65" s="18"/>
      <c r="DU65" s="19"/>
      <c r="DV65" s="33" t="str" cm="1">
        <f t="array" ref="DV65">_xlfn.IFS($D65="","",AND(DT65=$C65,DU65=$D65),3,($C65-$D65)/MAX(ABS($C65-$D65),1)=(DT65-DU65)/MAX(ABS(DT65-DU65),1),1,TRUE,0)</f>
        <v/>
      </c>
      <c r="DW65" s="18"/>
      <c r="DX65" s="19"/>
      <c r="DY65" s="33" t="str" cm="1">
        <f t="array" ref="DY65">_xlfn.IFS($D65="","",AND(DW65=$C65,DX65=$D65),3,($C65-$D65)/MAX(ABS($C65-$D65),1)=(DW65-DX65)/MAX(ABS(DW65-DX65),1),1,TRUE,0)</f>
        <v/>
      </c>
      <c r="DZ65" s="18"/>
      <c r="EA65" s="19"/>
      <c r="EB65" s="33" t="str" cm="1">
        <f t="array" ref="EB65">_xlfn.IFS($D65="","",AND(DZ65=$C65,EA65=$D65),3,($C65-$D65)/MAX(ABS($C65-$D65),1)=(DZ65-EA65)/MAX(ABS(DZ65-EA65),1),1,TRUE,0)</f>
        <v/>
      </c>
      <c r="EC65" s="18"/>
      <c r="ED65" s="19"/>
      <c r="EE65" s="33" t="str" cm="1">
        <f t="array" ref="EE65">_xlfn.IFS($D65="","",AND(EC65=$C65,ED65=$D65),3,($C65-$D65)/MAX(ABS($C65-$D65),1)=(EC65-ED65)/MAX(ABS(EC65-ED65),1),1,TRUE,0)</f>
        <v/>
      </c>
      <c r="EF65" s="18"/>
      <c r="EG65" s="19"/>
      <c r="EH65" s="33" t="str" cm="1">
        <f t="array" ref="EH65">_xlfn.IFS($D65="","",AND(EF65=$C65,EG65=$D65),3,($C65-$D65)/MAX(ABS($C65-$D65),1)=(EF65-EG65)/MAX(ABS(EF65-EG65),1),1,TRUE,0)</f>
        <v/>
      </c>
      <c r="EI65" s="50"/>
      <c r="EJ65" s="51"/>
      <c r="EK65" s="33" t="str" cm="1">
        <f t="array" ref="EK65">_xlfn.IFS($D65="","",AND(EI65=$C65,EJ65=$D65),3,($C65-$D65)/MAX(ABS($C65-$D65),1)=(EI65-EJ65)/MAX(ABS(EI65-EJ65),1),1,TRUE,0)</f>
        <v/>
      </c>
      <c r="EL65" s="18"/>
      <c r="EM65" s="19"/>
      <c r="EN65" s="33" t="str" cm="1">
        <f t="array" ref="EN65">_xlfn.IFS($D65="","",AND(EL65=$C65,EM65=$D65),3,($C65-$D65)/MAX(ABS($C65-$D65),1)=(EL65-EM65)/MAX(ABS(EL65-EM65),1),1,TRUE,0)</f>
        <v/>
      </c>
      <c r="EO65" s="18"/>
      <c r="EP65" s="19"/>
      <c r="EQ65" s="33" t="str" cm="1">
        <f t="array" ref="EQ65">_xlfn.IFS($D65="","",AND(EO65=$C65,EP65=$D65),3,($C65-$D65)/MAX(ABS($C65-$D65),1)=(EO65-EP65)/MAX(ABS(EO65-EP65),1),1,TRUE,0)</f>
        <v/>
      </c>
      <c r="ER65" s="18"/>
      <c r="ES65" s="19"/>
      <c r="ET65" s="33" t="str" cm="1">
        <f t="array" ref="ET65">_xlfn.IFS($D65="","",AND(ER65=$C65,ES65=$D65),3,($C65-$D65)/MAX(ABS($C65-$D65),1)=(ER65-ES65)/MAX(ABS(ER65-ES65),1),1,TRUE,0)</f>
        <v/>
      </c>
      <c r="EU65" s="18"/>
      <c r="EV65" s="19"/>
      <c r="EW65" s="33" t="str" cm="1">
        <f t="array" ref="EW65">_xlfn.IFS($D65="","",AND(EU65=$C65,EV65=$D65),3,($C65-$D65)/MAX(ABS($C65-$D65),1)=(EU65-EV65)/MAX(ABS(EU65-EV65),1),1,TRUE,0)</f>
        <v/>
      </c>
      <c r="EX65" s="18"/>
      <c r="EY65" s="19"/>
      <c r="EZ65" s="33" t="str" cm="1">
        <f t="array" ref="EZ65">_xlfn.IFS($D65="","",AND(EX65=$C65,EY65=$D65),3,($C65-$D65)/MAX(ABS($C65-$D65),1)=(EX65-EY65)/MAX(ABS(EX65-EY65),1),1,TRUE,0)</f>
        <v/>
      </c>
      <c r="FA65" s="18"/>
      <c r="FB65" s="19"/>
      <c r="FC65" s="33" t="str" cm="1">
        <f t="array" ref="FC65">_xlfn.IFS($D65="","",AND(FA65=$C65,FB65=$D65),3,($C65-$D65)/MAX(ABS($C65-$D65),1)=(FA65-FB65)/MAX(ABS(FA65-FB65),1),1,TRUE,0)</f>
        <v/>
      </c>
      <c r="FD65" s="18"/>
      <c r="FE65" s="19"/>
      <c r="FF65" s="33" t="str" cm="1">
        <f t="array" ref="FF65">_xlfn.IFS($D65="","",AND(FD65=$C65,FE65=$D65),3,($C65-$D65)/MAX(ABS($C65-$D65),1)=(FD65-FE65)/MAX(ABS(FD65-FE65),1),1,TRUE,0)</f>
        <v/>
      </c>
      <c r="FG65" s="18"/>
      <c r="FH65" s="19"/>
      <c r="FI65" s="33" t="str" cm="1">
        <f t="array" ref="FI65">_xlfn.IFS($D65="","",AND(FG65=$C65,FH65=$D65),3,($C65-$D65)/MAX(ABS($C65-$D65),1)=(FG65-FH65)/MAX(ABS(FG65-FH65),1),1,TRUE,0)</f>
        <v/>
      </c>
      <c r="FJ65" s="18"/>
      <c r="FK65" s="19"/>
      <c r="FL65" s="33" t="str" cm="1">
        <f t="array" ref="FL65">_xlfn.IFS($D65="","",AND(FJ65=$C65,FK65=$D65),3,($C65-$D65)/MAX(ABS($C65-$D65),1)=(FJ65-FK65)/MAX(ABS(FJ65-FK65),1),1,TRUE,0)</f>
        <v/>
      </c>
      <c r="FM65" s="18"/>
      <c r="FN65" s="19"/>
      <c r="FO65" s="33" t="str" cm="1">
        <f t="array" ref="FO65">_xlfn.IFS($D65="","",AND(FM65=$C65,FN65=$D65),3,($C65-$D65)/MAX(ABS($C65-$D65),1)=(FM65-FN65)/MAX(ABS(FM65-FN65),1),1,TRUE,0)</f>
        <v/>
      </c>
      <c r="FP65" s="18"/>
      <c r="FQ65" s="19"/>
      <c r="FR65" s="33" t="str" cm="1">
        <f t="array" ref="FR65">_xlfn.IFS($D65="","",AND(FP65=$C65,FQ65=$D65),3,($C65-$D65)/MAX(ABS($C65-$D65),1)=(FP65-FQ65)/MAX(ABS(FP65-FQ65),1),1,TRUE,0)</f>
        <v/>
      </c>
      <c r="FS65" s="18"/>
      <c r="FT65" s="19"/>
      <c r="FU65" s="33" t="str" cm="1">
        <f t="array" ref="FU65">_xlfn.IFS($D65="","",AND(FS65=$C65,FT65=$D65),3,($C65-$D65)/MAX(ABS($C65-$D65),1)=(FS65-FT65)/MAX(ABS(FS65-FT65),1),1,TRUE,0)</f>
        <v/>
      </c>
      <c r="FV65" s="18"/>
      <c r="FW65" s="19"/>
      <c r="FX65" s="33" t="str" cm="1">
        <f t="array" ref="FX65">_xlfn.IFS($D65="","",AND(FV65=$C65,FW65=$D65),3,($C65-$D65)/MAX(ABS($C65-$D65),1)=(FV65-FW65)/MAX(ABS(FV65-FW65),1),1,TRUE,0)</f>
        <v/>
      </c>
      <c r="FY65" s="18"/>
      <c r="FZ65" s="19"/>
      <c r="GA65" s="33" t="str" cm="1">
        <f t="array" ref="GA65">_xlfn.IFS($D65="","",AND(FY65=$C65,FZ65=$D65),3,($C65-$D65)/MAX(ABS($C65-$D65),1)=(FY65-FZ65)/MAX(ABS(FY65-FZ65),1),1,TRUE,0)</f>
        <v/>
      </c>
      <c r="GB65" s="18"/>
      <c r="GC65" s="19"/>
      <c r="GD65" s="33" t="str" cm="1">
        <f t="array" ref="GD65">_xlfn.IFS($D65="","",AND(GB65=$C65,GC65=$D65),3,($C65-$D65)/MAX(ABS($C65-$D65),1)=(GB65-GC65)/MAX(ABS(GB65-GC65),1),1,TRUE,0)</f>
        <v/>
      </c>
      <c r="GE65" s="52"/>
      <c r="GF65" s="19"/>
      <c r="GG65" s="33" t="str" cm="1">
        <f t="array" ref="GG65">_xlfn.IFS($D65="","",AND(GE65=$C65,GF65=$D65),3,($C65-$D65)/MAX(ABS($C65-$D65),1)=(GE65-GF65)/MAX(ABS(GE65-GF65),1),1,TRUE,0)</f>
        <v/>
      </c>
      <c r="GH65" s="18"/>
      <c r="GI65" s="19"/>
      <c r="GJ65" s="33" t="str" cm="1">
        <f t="array" ref="GJ65">_xlfn.IFS($D65="","",AND(GH65=$C65,GI65=$D65),3,($C65-$D65)/MAX(ABS($C65-$D65),1)=(GH65-GI65)/MAX(ABS(GH65-GI65),1),1,TRUE,0)</f>
        <v/>
      </c>
      <c r="GK65" s="18"/>
      <c r="GL65" s="19"/>
      <c r="GM65" s="33" t="str" cm="1">
        <f t="array" ref="GM65">_xlfn.IFS($D65="","",AND(GK65=$C65,GL65=$D65),3,($C65-$D65)/MAX(ABS($C65-$D65),1)=(GK65-GL65)/MAX(ABS(GK65-GL65),1),1,TRUE,0)</f>
        <v/>
      </c>
      <c r="GN65" s="18"/>
      <c r="GO65" s="19"/>
      <c r="GP65" s="33" t="str" cm="1">
        <f t="array" ref="GP65">_xlfn.IFS($D65="","",AND(GN65=$C65,GO65=$D65),3,($C65-$D65)/MAX(ABS($C65-$D65),1)=(GN65-GO65)/MAX(ABS(GN65-GO65),1),1,TRUE,0)</f>
        <v/>
      </c>
      <c r="GQ65" s="18"/>
      <c r="GR65" s="19"/>
      <c r="GS65" s="33" t="str" cm="1">
        <f t="array" ref="GS65">_xlfn.IFS($D65="","",AND(GQ65=$C65,GR65=$D65),3,($C65-$D65)/MAX(ABS($C65-$D65),1)=(GQ65-GR65)/MAX(ABS(GQ65-GR65),1),1,TRUE,0)</f>
        <v/>
      </c>
      <c r="GT65" s="18"/>
      <c r="GU65" s="19"/>
      <c r="GV65" s="33" t="str" cm="1">
        <f t="array" ref="GV65">_xlfn.IFS($D65="","",AND(GT65=$C65,GU65=$D65),3,($C65-$D65)/MAX(ABS($C65-$D65),1)=(GT65-GU65)/MAX(ABS(GT65-GU65),1),1,TRUE,0)</f>
        <v/>
      </c>
      <c r="GW65" s="18"/>
      <c r="GX65" s="19"/>
      <c r="GY65" s="33" t="str" cm="1">
        <f t="array" ref="GY65">_xlfn.IFS($D65="","",AND(GW65=$C65,GX65=$D65),3,($C65-$D65)/MAX(ABS($C65-$D65),1)=(GW65-GX65)/MAX(ABS(GW65-GX65),1),1,TRUE,0)</f>
        <v/>
      </c>
      <c r="GZ65" s="18"/>
      <c r="HA65" s="19"/>
      <c r="HB65" s="33" t="str" cm="1">
        <f t="array" ref="HB65">_xlfn.IFS($D65="","",AND(GZ65=$C65,HA65=$D65),3,($C65-$D65)/MAX(ABS($C65-$D65),1)=(GZ65-HA65)/MAX(ABS(GZ65-HA65),1),1,TRUE,0)</f>
        <v/>
      </c>
      <c r="HC65" s="18"/>
      <c r="HD65" s="19"/>
      <c r="HE65" s="33" t="str" cm="1">
        <f t="array" ref="HE65">_xlfn.IFS($D65="","",AND(HC65=$C65,HD65=$D65),3,($C65-$D65)/MAX(ABS($C65-$D65),1)=(HC65-HD65)/MAX(ABS(HC65-HD65),1),1,TRUE,0)</f>
        <v/>
      </c>
      <c r="HF65" s="18"/>
      <c r="HG65" s="19"/>
      <c r="HH65" s="33" t="str" cm="1">
        <f t="array" ref="HH65">_xlfn.IFS($D65="","",AND(HF65=$C65,HG65=$D65),3,($C65-$D65)/MAX(ABS($C65-$D65),1)=(HF65-HG65)/MAX(ABS(HF65-HG65),1),1,TRUE,0)</f>
        <v/>
      </c>
      <c r="HI65" s="18"/>
      <c r="HJ65" s="19"/>
      <c r="HK65" s="33" t="str" cm="1">
        <f t="array" ref="HK65">_xlfn.IFS($D65="","",AND(HI65=$C65,HJ65=$D65),3,($C65-$D65)/MAX(ABS($C65-$D65),1)=(HI65-HJ65)/MAX(ABS(HI65-HJ65),1),1,TRUE,0)</f>
        <v/>
      </c>
      <c r="HL65" s="18"/>
      <c r="HM65" s="19"/>
      <c r="HN65" s="33" t="str" cm="1">
        <f t="array" ref="HN65">_xlfn.IFS($D65="","",AND(HL65=$C65,HM65=$D65),3,($C65-$D65)/MAX(ABS($C65-$D65),1)=(HL65-HM65)/MAX(ABS(HL65-HM65),1),1,TRUE,0)</f>
        <v/>
      </c>
      <c r="HO65" s="18"/>
      <c r="HP65" s="19"/>
      <c r="HQ65" s="33" t="str" cm="1">
        <f t="array" ref="HQ65">_xlfn.IFS($D65="","",AND(HO65=$C65,HP65=$D65),3,($C65-$D65)/MAX(ABS($C65-$D65),1)=(HO65-HP65)/MAX(ABS(HO65-HP65),1),1,TRUE,0)</f>
        <v/>
      </c>
      <c r="HR65" s="18"/>
      <c r="HS65" s="19"/>
      <c r="HT65" s="33" t="str" cm="1">
        <f t="array" ref="HT65">_xlfn.IFS($D65="","",AND(HR65=$C65,HS65=$D65),3,($C65-$D65)/MAX(ABS($C65-$D65),1)=(HR65-HS65)/MAX(ABS(HR65-HS65),1),1,TRUE,0)</f>
        <v/>
      </c>
      <c r="HU65" s="18"/>
      <c r="HV65" s="19"/>
      <c r="HW65" s="33" t="str" cm="1">
        <f t="array" ref="HW65">_xlfn.IFS($D65="","",AND(HU65=$C65,HV65=$D65),3,($C65-$D65)/MAX(ABS($C65-$D65),1)=(HU65-HV65)/MAX(ABS(HU65-HV65),1),1,TRUE,0)</f>
        <v/>
      </c>
      <c r="HX65" s="18"/>
      <c r="HY65" s="19"/>
      <c r="HZ65" s="33" t="str" cm="1">
        <f t="array" ref="HZ65">_xlfn.IFS($D65="","",AND(HX65=$C65,HY65=$D65),3,($C65-$D65)/MAX(ABS($C65-$D65),1)=(HX65-HY65)/MAX(ABS(HX65-HY65),1),1,TRUE,0)</f>
        <v/>
      </c>
      <c r="IA65" s="18"/>
      <c r="IB65" s="19"/>
      <c r="IC65" s="33" t="str" cm="1">
        <f t="array" ref="IC65">_xlfn.IFS($D65="","",AND(IA65=$C65,IB65=$D65),3,($C65-$D65)/MAX(ABS($C65-$D65),1)=(IA65-IB65)/MAX(ABS(IA65-IB65),1),1,TRUE,0)</f>
        <v/>
      </c>
      <c r="ID65" s="18"/>
      <c r="IE65" s="19"/>
      <c r="IF65" s="33" t="str" cm="1">
        <f t="array" ref="IF65">_xlfn.IFS($D65="","",AND(ID65=$C65,IE65=$D65),3,($C65-$D65)/MAX(ABS($C65-$D65),1)=(ID65-IE65)/MAX(ABS(ID65-IE65),1),1,TRUE,0)</f>
        <v/>
      </c>
      <c r="IG65" s="18"/>
      <c r="IH65" s="19"/>
      <c r="II65" s="33" t="str" cm="1">
        <f t="array" ref="II65">_xlfn.IFS($D65="","",AND(IG65=$C65,IH65=$D65),3,($C65-$D65)/MAX(ABS($C65-$D65),1)=(IG65-IH65)/MAX(ABS(IG65-IH65),1),1,TRUE,0)</f>
        <v/>
      </c>
      <c r="IJ65" s="18"/>
      <c r="IK65" s="19"/>
      <c r="IL65" s="33" t="str" cm="1">
        <f t="array" ref="IL65">_xlfn.IFS($D65="","",AND(IJ65=$C65,IK65=$D65),3,($C65-$D65)/MAX(ABS($C65-$D65),1)=(IJ65-IK65)/MAX(ABS(IJ65-IK65),1),1,TRUE,0)</f>
        <v/>
      </c>
      <c r="IM65" s="18"/>
      <c r="IN65" s="19"/>
      <c r="IO65" s="33" t="str" cm="1">
        <f t="array" ref="IO65">_xlfn.IFS($D65="","",AND(IM65=$C65,IN65=$D65),3,($C65-$D65)/MAX(ABS($C65-$D65),1)=(IM65-IN65)/MAX(ABS(IM65-IN65),1),1,TRUE,0)</f>
        <v/>
      </c>
      <c r="IP65" s="18"/>
      <c r="IQ65" s="19"/>
      <c r="IR65" s="33" t="str" cm="1">
        <f t="array" ref="IR65">_xlfn.IFS($D65="","",AND(IP65=$C65,IQ65=$D65),3,($C65-$D65)/MAX(ABS($C65-$D65),1)=(IP65-IQ65)/MAX(ABS(IP65-IQ65),1),1,TRUE,0)</f>
        <v/>
      </c>
      <c r="IS65" s="18"/>
      <c r="IT65" s="19"/>
      <c r="IU65" s="33" t="str" cm="1">
        <f t="array" ref="IU65">_xlfn.IFS($D65="","",AND(IS65=$C65,IT65=$D65),3,($C65-$D65)/MAX(ABS($C65-$D65),1)=(IS65-IT65)/MAX(ABS(IS65-IT65),1),1,TRUE,0)</f>
        <v/>
      </c>
      <c r="IV65" s="18"/>
      <c r="IW65" s="19"/>
      <c r="IX65" s="33" t="str" cm="1">
        <f t="array" ref="IX65">_xlfn.IFS($D65="","",AND(IV65=$C65,IW65=$D65),3,($C65-$D65)/MAX(ABS($C65-$D65),1)=(IV65-IW65)/MAX(ABS(IV65-IW65),1),1,TRUE,0)</f>
        <v/>
      </c>
      <c r="IY65" s="18"/>
      <c r="IZ65" s="19"/>
      <c r="JA65" s="33" t="str" cm="1">
        <f t="array" ref="JA65">_xlfn.IFS($D65="","",AND(IY65=$C65,IZ65=$D65),3,($C65-$D65)/MAX(ABS($C65-$D65),1)=(IY65-IZ65)/MAX(ABS(IY65-IZ65),1),1,TRUE,0)</f>
        <v/>
      </c>
      <c r="JB65" s="18"/>
      <c r="JC65" s="19"/>
      <c r="JD65" s="33" t="str" cm="1">
        <f t="array" ref="JD65">_xlfn.IFS($D65="","",AND(JB65=$C65,JC65=$D65),3,($C65-$D65)/MAX(ABS($C65-$D65),1)=(JB65-JC65)/MAX(ABS(JB65-JC65),1),1,TRUE,0)</f>
        <v/>
      </c>
    </row>
    <row r="66" spans="1:264" ht="15" thickBot="1" x14ac:dyDescent="0.35">
      <c r="A66" s="22">
        <v>46200</v>
      </c>
      <c r="B66" s="28" t="s">
        <v>53</v>
      </c>
      <c r="C66" s="53" t="str" cm="1">
        <f t="array" ref="C66">_xlfn.LET(
_xlpm.x,_xlfn.XLOOKUP(1,(Scores_Fixtures[Date]=A66)*(Scores_Fixtures[Home.1]=B66),Scores_Fixtures[Score.1],""),
IF(_xlpm.x="","",_xlpm.x)
)</f>
        <v/>
      </c>
      <c r="D66" s="53" t="str" cm="1">
        <f t="array" ref="D66">_xlfn.LET(
_xlpm.x,_xlfn.XLOOKUP(1,(Scores_Fixtures[Date]=A66)*(Scores_Fixtures[Home.1]=B66),Scores_Fixtures[Score.2],""),
IF(_xlpm.x="","",_xlpm.x)
)</f>
        <v/>
      </c>
      <c r="E66" s="12" t="s">
        <v>14</v>
      </c>
      <c r="F66" s="15"/>
      <c r="G66" s="53"/>
      <c r="H66" s="53"/>
      <c r="I66" s="33" t="str" cm="1">
        <f t="array" ref="I66">_xlfn.IFS($D66="","",AND(G66=$C66,H66=$D66),3,($C66-$D66)/MAX(ABS($C66-$D66),1)=(G66-H66)/MAX(ABS(G66-H66),1),1,TRUE,0)</f>
        <v/>
      </c>
      <c r="J66" s="18"/>
      <c r="K66" s="19"/>
      <c r="L66" s="33" t="str" cm="1">
        <f t="array" ref="L66">_xlfn.IFS($D66="","",AND(J66=$C66,K66=$D66),3,($C66-$D66)/MAX(ABS($C66-$D66),1)=(J66-K66)/MAX(ABS(J66-K66),1),1,TRUE,0)</f>
        <v/>
      </c>
      <c r="M66" s="18"/>
      <c r="N66" s="19"/>
      <c r="O66" s="33" t="str" cm="1">
        <f t="array" ref="O66">_xlfn.IFS($D66="","",AND(M66=$C66,N66=$D66),3,($C66-$D66)/MAX(ABS($C66-$D66),1)=(M66-N66)/MAX(ABS(M66-N66),1),1,TRUE,0)</f>
        <v/>
      </c>
      <c r="P66" s="18"/>
      <c r="Q66" s="19"/>
      <c r="R66" s="33" t="str" cm="1">
        <f t="array" ref="R66">_xlfn.IFS($D66="","",AND(P66=$C66,Q66=$D66),3,($C66-$D66)/MAX(ABS($C66-$D66),1)=(P66-Q66)/MAX(ABS(P66-Q66),1),1,TRUE,0)</f>
        <v/>
      </c>
      <c r="S66" s="18"/>
      <c r="T66" s="19"/>
      <c r="U66" s="33" t="str" cm="1">
        <f t="array" ref="U66">_xlfn.IFS($D66="","",AND(S66=$C66,T66=$D66),3,($C66-$D66)/MAX(ABS($C66-$D66),1)=(S66-T66)/MAX(ABS(S66-T66),1),1,TRUE,0)</f>
        <v/>
      </c>
      <c r="V66" s="18"/>
      <c r="W66" s="19"/>
      <c r="X66" s="33" t="str" cm="1">
        <f t="array" ref="X66">_xlfn.IFS($D66="","",AND(V66=$C66,W66=$D66),3,($C66-$D66)/MAX(ABS($C66-$D66),1)=(V66-W66)/MAX(ABS(V66-W66),1),1,TRUE,0)</f>
        <v/>
      </c>
      <c r="Y66" s="18"/>
      <c r="Z66" s="19"/>
      <c r="AA66" s="33" t="str" cm="1">
        <f t="array" ref="AA66">_xlfn.IFS($D66="","",AND(Y66=$C66,Z66=$D66),3,($C66-$D66)/MAX(ABS($C66-$D66),1)=(Y66-Z66)/MAX(ABS(Y66-Z66),1),1,TRUE,0)</f>
        <v/>
      </c>
      <c r="AB66" s="18"/>
      <c r="AC66" s="19"/>
      <c r="AD66" s="33" t="str" cm="1">
        <f t="array" ref="AD66">_xlfn.IFS($D66="","",AND(AB66=$C66,AC66=$D66),3,($C66-$D66)/MAX(ABS($C66-$D66),1)=(AB66-AC66)/MAX(ABS(AB66-AC66),1),1,TRUE,0)</f>
        <v/>
      </c>
      <c r="AE66" s="18"/>
      <c r="AF66" s="19"/>
      <c r="AG66" s="33" t="str" cm="1">
        <f t="array" ref="AG66">_xlfn.IFS($D66="","",AND(AE66=$C66,AF66=$D66),3,($C66-$D66)/MAX(ABS($C66-$D66),1)=(AE66-AF66)/MAX(ABS(AE66-AF66),1),1,TRUE,0)</f>
        <v/>
      </c>
      <c r="AH66" s="18"/>
      <c r="AI66" s="19"/>
      <c r="AJ66" s="33" t="str" cm="1">
        <f t="array" ref="AJ66">_xlfn.IFS($D66="","",AND(AH66=$C66,AI66=$D66),3,($C66-$D66)/MAX(ABS($C66-$D66),1)=(AH66-AI66)/MAX(ABS(AH66-AI66),1),1,TRUE,0)</f>
        <v/>
      </c>
      <c r="AK66" s="18"/>
      <c r="AL66" s="19"/>
      <c r="AM66" s="33" t="str" cm="1">
        <f t="array" ref="AM66">_xlfn.IFS($D66="","",AND(AK66=$C66,AL66=$D66),3,($C66-$D66)/MAX(ABS($C66-$D66),1)=(AK66-AL66)/MAX(ABS(AK66-AL66),1),1,TRUE,0)</f>
        <v/>
      </c>
      <c r="AN66" s="18"/>
      <c r="AO66" s="19"/>
      <c r="AP66" s="33" t="str" cm="1">
        <f t="array" ref="AP66">_xlfn.IFS($D66="","",AND(AN66=$C66,AO66=$D66),3,($C66-$D66)/MAX(ABS($C66-$D66),1)=(AN66-AO66)/MAX(ABS(AN66-AO66),1),1,TRUE,0)</f>
        <v/>
      </c>
      <c r="AQ66" s="18"/>
      <c r="AR66" s="19"/>
      <c r="AS66" s="33" t="str" cm="1">
        <f t="array" ref="AS66">_xlfn.IFS($D66="","",AND(AQ66=$C66,AR66=$D66),3,($C66-$D66)/MAX(ABS($C66-$D66),1)=(AQ66-AR66)/MAX(ABS(AQ66-AR66),1),1,TRUE,0)</f>
        <v/>
      </c>
      <c r="AT66" s="18"/>
      <c r="AU66" s="19"/>
      <c r="AV66" s="33" t="str" cm="1">
        <f t="array" ref="AV66">_xlfn.IFS($D66="","",AND(AT66=$C66,AU66=$D66),3,($C66-$D66)/MAX(ABS($C66-$D66),1)=(AT66-AU66)/MAX(ABS(AT66-AU66),1),1,TRUE,0)</f>
        <v/>
      </c>
      <c r="AW66" s="18"/>
      <c r="AX66" s="19"/>
      <c r="AY66" s="33" t="str" cm="1">
        <f t="array" ref="AY66">_xlfn.IFS($D66="","",AND(AW66=$C66,AX66=$D66),3,($C66-$D66)/MAX(ABS($C66-$D66),1)=(AW66-AX66)/MAX(ABS(AW66-AX66),1),1,TRUE,0)</f>
        <v/>
      </c>
      <c r="AZ66" s="18"/>
      <c r="BA66" s="19"/>
      <c r="BB66" s="33" t="str" cm="1">
        <f t="array" ref="BB66">_xlfn.IFS($D66="","",AND(AZ66=$C66,BA66=$D66),3,($C66-$D66)/MAX(ABS($C66-$D66),1)=(AZ66-BA66)/MAX(ABS(AZ66-BA66),1),1,TRUE,0)</f>
        <v/>
      </c>
      <c r="BC66" s="18"/>
      <c r="BD66" s="19"/>
      <c r="BE66" s="33" t="str" cm="1">
        <f t="array" ref="BE66">_xlfn.IFS($D66="","",AND(BC66=$C66,BD66=$D66),3,($C66-$D66)/MAX(ABS($C66-$D66),1)=(BC66-BD66)/MAX(ABS(BC66-BD66),1),1,TRUE,0)</f>
        <v/>
      </c>
      <c r="BF66" s="18"/>
      <c r="BG66" s="19"/>
      <c r="BH66" s="33" t="str" cm="1">
        <f t="array" ref="BH66">_xlfn.IFS($D66="","",AND(BF66=$C66,BG66=$D66),3,($C66-$D66)/MAX(ABS($C66-$D66),1)=(BF66-BG66)/MAX(ABS(BF66-BG66),1),1,TRUE,0)</f>
        <v/>
      </c>
      <c r="BI66" s="18"/>
      <c r="BJ66" s="19"/>
      <c r="BK66" s="33" t="str" cm="1">
        <f t="array" ref="BK66">_xlfn.IFS($D66="","",AND(BI66=$C66,BJ66=$D66),3,($C66-$D66)/MAX(ABS($C66-$D66),1)=(BI66-BJ66)/MAX(ABS(BI66-BJ66),1),1,TRUE,0)</f>
        <v/>
      </c>
      <c r="BL66" s="18"/>
      <c r="BM66" s="19"/>
      <c r="BN66" s="33" t="str" cm="1">
        <f t="array" ref="BN66">_xlfn.IFS($D66="","",AND(BL66=$C66,BM66=$D66),3,($C66-$D66)/MAX(ABS($C66-$D66),1)=(BL66-BM66)/MAX(ABS(BL66-BM66),1),1,TRUE,0)</f>
        <v/>
      </c>
      <c r="BO66" s="18"/>
      <c r="BP66" s="19"/>
      <c r="BQ66" s="33" t="str" cm="1">
        <f t="array" ref="BQ66">_xlfn.IFS($D66="","",AND(BO66=$C66,BP66=$D66),3,($C66-$D66)/MAX(ABS($C66-$D66),1)=(BO66-BP66)/MAX(ABS(BO66-BP66),1),1,TRUE,0)</f>
        <v/>
      </c>
      <c r="BR66" s="18"/>
      <c r="BS66" s="19"/>
      <c r="BT66" s="33" t="str" cm="1">
        <f t="array" ref="BT66">_xlfn.IFS($D66="","",AND(BR66=$C66,BS66=$D66),3,($C66-$D66)/MAX(ABS($C66-$D66),1)=(BR66-BS66)/MAX(ABS(BR66-BS66),1),1,TRUE,0)</f>
        <v/>
      </c>
      <c r="BU66" s="18"/>
      <c r="BV66" s="19"/>
      <c r="BW66" s="33" t="str" cm="1">
        <f t="array" ref="BW66">_xlfn.IFS($D66="","",AND(BU66=$C66,BV66=$D66),3,($C66-$D66)/MAX(ABS($C66-$D66),1)=(BU66-BV66)/MAX(ABS(BU66-BV66),1),1,TRUE,0)</f>
        <v/>
      </c>
      <c r="BX66" s="18"/>
      <c r="BY66" s="19"/>
      <c r="BZ66" s="33" t="str" cm="1">
        <f t="array" ref="BZ66">_xlfn.IFS($D66="","",AND(BX66=$C66,BY66=$D66),3,($C66-$D66)/MAX(ABS($C66-$D66),1)=(BX66-BY66)/MAX(ABS(BX66-BY66),1),1,TRUE,0)</f>
        <v/>
      </c>
      <c r="CA66" s="18"/>
      <c r="CB66" s="19"/>
      <c r="CC66" s="33" t="str" cm="1">
        <f t="array" ref="CC66">_xlfn.IFS($D66="","",AND(CA66=$C66,CB66=$D66),3,($C66-$D66)/MAX(ABS($C66-$D66),1)=(CA66-CB66)/MAX(ABS(CA66-CB66),1),1,TRUE,0)</f>
        <v/>
      </c>
      <c r="CD66" s="18"/>
      <c r="CE66" s="19"/>
      <c r="CF66" s="33" t="str" cm="1">
        <f t="array" ref="CF66">_xlfn.IFS($D66="","",AND(CD66=$C66,CE66=$D66),3,($C66-$D66)/MAX(ABS($C66-$D66),1)=(CD66-CE66)/MAX(ABS(CD66-CE66),1),1,TRUE,0)</f>
        <v/>
      </c>
      <c r="CG66" s="18"/>
      <c r="CH66" s="19"/>
      <c r="CI66" s="33" t="str" cm="1">
        <f t="array" ref="CI66">_xlfn.IFS($D66="","",AND(CG66=$C66,CH66=$D66),3,($C66-$D66)/MAX(ABS($C66-$D66),1)=(CG66-CH66)/MAX(ABS(CG66-CH66),1),1,TRUE,0)</f>
        <v/>
      </c>
      <c r="CJ66" s="18"/>
      <c r="CK66" s="19"/>
      <c r="CL66" s="33" t="str" cm="1">
        <f t="array" ref="CL66">_xlfn.IFS($D66="","",AND(CJ66=$C66,CK66=$D66),3,($C66-$D66)/MAX(ABS($C66-$D66),1)=(CJ66-CK66)/MAX(ABS(CJ66-CK66),1),1,TRUE,0)</f>
        <v/>
      </c>
      <c r="CM66" s="18"/>
      <c r="CN66" s="19"/>
      <c r="CO66" s="33" t="str" cm="1">
        <f t="array" ref="CO66">_xlfn.IFS($D66="","",AND(CM66=$C66,CN66=$D66),3,($C66-$D66)/MAX(ABS($C66-$D66),1)=(CM66-CN66)/MAX(ABS(CM66-CN66),1),1,TRUE,0)</f>
        <v/>
      </c>
      <c r="CP66" s="18"/>
      <c r="CQ66" s="19"/>
      <c r="CR66" s="33" t="str" cm="1">
        <f t="array" ref="CR66">_xlfn.IFS($D66="","",AND(CP66=$C66,CQ66=$D66),3,($C66-$D66)/MAX(ABS($C66-$D66),1)=(CP66-CQ66)/MAX(ABS(CP66-CQ66),1),1,TRUE,0)</f>
        <v/>
      </c>
      <c r="CS66" s="18"/>
      <c r="CT66" s="19"/>
      <c r="CU66" s="33" t="str" cm="1">
        <f t="array" ref="CU66">_xlfn.IFS($D66="","",AND(CS66=$C66,CT66=$D66),3,($C66-$D66)/MAX(ABS($C66-$D66),1)=(CS66-CT66)/MAX(ABS(CS66-CT66),1),1,TRUE,0)</f>
        <v/>
      </c>
      <c r="CV66" s="18"/>
      <c r="CW66" s="19"/>
      <c r="CX66" s="33" t="str" cm="1">
        <f t="array" ref="CX66">_xlfn.IFS($D66="","",AND(CV66=$C66,CW66=$D66),3,($C66-$D66)/MAX(ABS($C66-$D66),1)=(CV66-CW66)/MAX(ABS(CV66-CW66),1),1,TRUE,0)</f>
        <v/>
      </c>
      <c r="CY66" s="18"/>
      <c r="CZ66" s="19"/>
      <c r="DA66" s="33" t="str" cm="1">
        <f t="array" ref="DA66">_xlfn.IFS($D66="","",AND(CY66=$C66,CZ66=$D66),3,($C66-$D66)/MAX(ABS($C66-$D66),1)=(CY66-CZ66)/MAX(ABS(CY66-CZ66),1),1,TRUE,0)</f>
        <v/>
      </c>
      <c r="DB66" s="37"/>
      <c r="DC66" s="38"/>
      <c r="DD66" s="33" t="str" cm="1">
        <f t="array" ref="DD66">_xlfn.IFS($D66="","",AND(DB66=$C66,DC66=$D66),3,($C66-$D66)/MAX(ABS($C66-$D66),1)=(DB66-DC66)/MAX(ABS(DB66-DC66),1),1,TRUE,0)</f>
        <v/>
      </c>
      <c r="DE66" s="18"/>
      <c r="DF66" s="19"/>
      <c r="DG66" s="33" t="str" cm="1">
        <f t="array" ref="DG66">_xlfn.IFS($D66="","",AND(DE66=$C66,DF66=$D66),3,($C66-$D66)/MAX(ABS($C66-$D66),1)=(DE66-DF66)/MAX(ABS(DE66-DF66),1),1,TRUE,0)</f>
        <v/>
      </c>
      <c r="DH66" s="18"/>
      <c r="DI66" s="19"/>
      <c r="DJ66" s="33" t="str" cm="1">
        <f t="array" ref="DJ66">_xlfn.IFS($D66="","",AND(DH66=$C66,DI66=$D66),3,($C66-$D66)/MAX(ABS($C66-$D66),1)=(DH66-DI66)/MAX(ABS(DH66-DI66),1),1,TRUE,0)</f>
        <v/>
      </c>
      <c r="DK66" s="18"/>
      <c r="DL66" s="19"/>
      <c r="DM66" s="33" t="str" cm="1">
        <f t="array" ref="DM66">_xlfn.IFS($D66="","",AND(DK66=$C66,DL66=$D66),3,($C66-$D66)/MAX(ABS($C66-$D66),1)=(DK66-DL66)/MAX(ABS(DK66-DL66),1),1,TRUE,0)</f>
        <v/>
      </c>
      <c r="DN66" s="18"/>
      <c r="DO66" s="19"/>
      <c r="DP66" s="33" t="str" cm="1">
        <f t="array" ref="DP66">_xlfn.IFS($D66="","",AND(DN66=$C66,DO66=$D66),3,($C66-$D66)/MAX(ABS($C66-$D66),1)=(DN66-DO66)/MAX(ABS(DN66-DO66),1),1,TRUE,0)</f>
        <v/>
      </c>
      <c r="DQ66" s="18"/>
      <c r="DR66" s="19"/>
      <c r="DS66" s="33" t="str" cm="1">
        <f t="array" ref="DS66">_xlfn.IFS($D66="","",AND(DQ66=$C66,DR66=$D66),3,($C66-$D66)/MAX(ABS($C66-$D66),1)=(DQ66-DR66)/MAX(ABS(DQ66-DR66),1),1,TRUE,0)</f>
        <v/>
      </c>
      <c r="DT66" s="18"/>
      <c r="DU66" s="19"/>
      <c r="DV66" s="33" t="str" cm="1">
        <f t="array" ref="DV66">_xlfn.IFS($D66="","",AND(DT66=$C66,DU66=$D66),3,($C66-$D66)/MAX(ABS($C66-$D66),1)=(DT66-DU66)/MAX(ABS(DT66-DU66),1),1,TRUE,0)</f>
        <v/>
      </c>
      <c r="DW66" s="18"/>
      <c r="DX66" s="19"/>
      <c r="DY66" s="33" t="str" cm="1">
        <f t="array" ref="DY66">_xlfn.IFS($D66="","",AND(DW66=$C66,DX66=$D66),3,($C66-$D66)/MAX(ABS($C66-$D66),1)=(DW66-DX66)/MAX(ABS(DW66-DX66),1),1,TRUE,0)</f>
        <v/>
      </c>
      <c r="DZ66" s="18"/>
      <c r="EA66" s="19"/>
      <c r="EB66" s="33" t="str" cm="1">
        <f t="array" ref="EB66">_xlfn.IFS($D66="","",AND(DZ66=$C66,EA66=$D66),3,($C66-$D66)/MAX(ABS($C66-$D66),1)=(DZ66-EA66)/MAX(ABS(DZ66-EA66),1),1,TRUE,0)</f>
        <v/>
      </c>
      <c r="EC66" s="18"/>
      <c r="ED66" s="19"/>
      <c r="EE66" s="33" t="str" cm="1">
        <f t="array" ref="EE66">_xlfn.IFS($D66="","",AND(EC66=$C66,ED66=$D66),3,($C66-$D66)/MAX(ABS($C66-$D66),1)=(EC66-ED66)/MAX(ABS(EC66-ED66),1),1,TRUE,0)</f>
        <v/>
      </c>
      <c r="EF66" s="18"/>
      <c r="EG66" s="19"/>
      <c r="EH66" s="33" t="str" cm="1">
        <f t="array" ref="EH66">_xlfn.IFS($D66="","",AND(EF66=$C66,EG66=$D66),3,($C66-$D66)/MAX(ABS($C66-$D66),1)=(EF66-EG66)/MAX(ABS(EF66-EG66),1),1,TRUE,0)</f>
        <v/>
      </c>
      <c r="EI66" s="50"/>
      <c r="EJ66" s="51"/>
      <c r="EK66" s="33" t="str" cm="1">
        <f t="array" ref="EK66">_xlfn.IFS($D66="","",AND(EI66=$C66,EJ66=$D66),3,($C66-$D66)/MAX(ABS($C66-$D66),1)=(EI66-EJ66)/MAX(ABS(EI66-EJ66),1),1,TRUE,0)</f>
        <v/>
      </c>
      <c r="EL66" s="18"/>
      <c r="EM66" s="19"/>
      <c r="EN66" s="33" t="str" cm="1">
        <f t="array" ref="EN66">_xlfn.IFS($D66="","",AND(EL66=$C66,EM66=$D66),3,($C66-$D66)/MAX(ABS($C66-$D66),1)=(EL66-EM66)/MAX(ABS(EL66-EM66),1),1,TRUE,0)</f>
        <v/>
      </c>
      <c r="EO66" s="18"/>
      <c r="EP66" s="19"/>
      <c r="EQ66" s="33" t="str" cm="1">
        <f t="array" ref="EQ66">_xlfn.IFS($D66="","",AND(EO66=$C66,EP66=$D66),3,($C66-$D66)/MAX(ABS($C66-$D66),1)=(EO66-EP66)/MAX(ABS(EO66-EP66),1),1,TRUE,0)</f>
        <v/>
      </c>
      <c r="ER66" s="18"/>
      <c r="ES66" s="19"/>
      <c r="ET66" s="33" t="str" cm="1">
        <f t="array" ref="ET66">_xlfn.IFS($D66="","",AND(ER66=$C66,ES66=$D66),3,($C66-$D66)/MAX(ABS($C66-$D66),1)=(ER66-ES66)/MAX(ABS(ER66-ES66),1),1,TRUE,0)</f>
        <v/>
      </c>
      <c r="EU66" s="18"/>
      <c r="EV66" s="19"/>
      <c r="EW66" s="33" t="str" cm="1">
        <f t="array" ref="EW66">_xlfn.IFS($D66="","",AND(EU66=$C66,EV66=$D66),3,($C66-$D66)/MAX(ABS($C66-$D66),1)=(EU66-EV66)/MAX(ABS(EU66-EV66),1),1,TRUE,0)</f>
        <v/>
      </c>
      <c r="EX66" s="18"/>
      <c r="EY66" s="19"/>
      <c r="EZ66" s="33" t="str" cm="1">
        <f t="array" ref="EZ66">_xlfn.IFS($D66="","",AND(EX66=$C66,EY66=$D66),3,($C66-$D66)/MAX(ABS($C66-$D66),1)=(EX66-EY66)/MAX(ABS(EX66-EY66),1),1,TRUE,0)</f>
        <v/>
      </c>
      <c r="FA66" s="18"/>
      <c r="FB66" s="19"/>
      <c r="FC66" s="33" t="str" cm="1">
        <f t="array" ref="FC66">_xlfn.IFS($D66="","",AND(FA66=$C66,FB66=$D66),3,($C66-$D66)/MAX(ABS($C66-$D66),1)=(FA66-FB66)/MAX(ABS(FA66-FB66),1),1,TRUE,0)</f>
        <v/>
      </c>
      <c r="FD66" s="18"/>
      <c r="FE66" s="19"/>
      <c r="FF66" s="33" t="str" cm="1">
        <f t="array" ref="FF66">_xlfn.IFS($D66="","",AND(FD66=$C66,FE66=$D66),3,($C66-$D66)/MAX(ABS($C66-$D66),1)=(FD66-FE66)/MAX(ABS(FD66-FE66),1),1,TRUE,0)</f>
        <v/>
      </c>
      <c r="FG66" s="18"/>
      <c r="FH66" s="19"/>
      <c r="FI66" s="33" t="str" cm="1">
        <f t="array" ref="FI66">_xlfn.IFS($D66="","",AND(FG66=$C66,FH66=$D66),3,($C66-$D66)/MAX(ABS($C66-$D66),1)=(FG66-FH66)/MAX(ABS(FG66-FH66),1),1,TRUE,0)</f>
        <v/>
      </c>
      <c r="FJ66" s="18"/>
      <c r="FK66" s="19"/>
      <c r="FL66" s="33" t="str" cm="1">
        <f t="array" ref="FL66">_xlfn.IFS($D66="","",AND(FJ66=$C66,FK66=$D66),3,($C66-$D66)/MAX(ABS($C66-$D66),1)=(FJ66-FK66)/MAX(ABS(FJ66-FK66),1),1,TRUE,0)</f>
        <v/>
      </c>
      <c r="FM66" s="18"/>
      <c r="FN66" s="19"/>
      <c r="FO66" s="33" t="str" cm="1">
        <f t="array" ref="FO66">_xlfn.IFS($D66="","",AND(FM66=$C66,FN66=$D66),3,($C66-$D66)/MAX(ABS($C66-$D66),1)=(FM66-FN66)/MAX(ABS(FM66-FN66),1),1,TRUE,0)</f>
        <v/>
      </c>
      <c r="FP66" s="18"/>
      <c r="FQ66" s="19"/>
      <c r="FR66" s="33" t="str" cm="1">
        <f t="array" ref="FR66">_xlfn.IFS($D66="","",AND(FP66=$C66,FQ66=$D66),3,($C66-$D66)/MAX(ABS($C66-$D66),1)=(FP66-FQ66)/MAX(ABS(FP66-FQ66),1),1,TRUE,0)</f>
        <v/>
      </c>
      <c r="FS66" s="18"/>
      <c r="FT66" s="19"/>
      <c r="FU66" s="33" t="str" cm="1">
        <f t="array" ref="FU66">_xlfn.IFS($D66="","",AND(FS66=$C66,FT66=$D66),3,($C66-$D66)/MAX(ABS($C66-$D66),1)=(FS66-FT66)/MAX(ABS(FS66-FT66),1),1,TRUE,0)</f>
        <v/>
      </c>
      <c r="FV66" s="18"/>
      <c r="FW66" s="19"/>
      <c r="FX66" s="33" t="str" cm="1">
        <f t="array" ref="FX66">_xlfn.IFS($D66="","",AND(FV66=$C66,FW66=$D66),3,($C66-$D66)/MAX(ABS($C66-$D66),1)=(FV66-FW66)/MAX(ABS(FV66-FW66),1),1,TRUE,0)</f>
        <v/>
      </c>
      <c r="FY66" s="18"/>
      <c r="FZ66" s="19"/>
      <c r="GA66" s="33" t="str" cm="1">
        <f t="array" ref="GA66">_xlfn.IFS($D66="","",AND(FY66=$C66,FZ66=$D66),3,($C66-$D66)/MAX(ABS($C66-$D66),1)=(FY66-FZ66)/MAX(ABS(FY66-FZ66),1),1,TRUE,0)</f>
        <v/>
      </c>
      <c r="GB66" s="18"/>
      <c r="GC66" s="19"/>
      <c r="GD66" s="33" t="str" cm="1">
        <f t="array" ref="GD66">_xlfn.IFS($D66="","",AND(GB66=$C66,GC66=$D66),3,($C66-$D66)/MAX(ABS($C66-$D66),1)=(GB66-GC66)/MAX(ABS(GB66-GC66),1),1,TRUE,0)</f>
        <v/>
      </c>
      <c r="GE66" s="52"/>
      <c r="GF66" s="19"/>
      <c r="GG66" s="33" t="str" cm="1">
        <f t="array" ref="GG66">_xlfn.IFS($D66="","",AND(GE66=$C66,GF66=$D66),3,($C66-$D66)/MAX(ABS($C66-$D66),1)=(GE66-GF66)/MAX(ABS(GE66-GF66),1),1,TRUE,0)</f>
        <v/>
      </c>
      <c r="GH66" s="18"/>
      <c r="GI66" s="19"/>
      <c r="GJ66" s="33" t="str" cm="1">
        <f t="array" ref="GJ66">_xlfn.IFS($D66="","",AND(GH66=$C66,GI66=$D66),3,($C66-$D66)/MAX(ABS($C66-$D66),1)=(GH66-GI66)/MAX(ABS(GH66-GI66),1),1,TRUE,0)</f>
        <v/>
      </c>
      <c r="GK66" s="18"/>
      <c r="GL66" s="19"/>
      <c r="GM66" s="33" t="str" cm="1">
        <f t="array" ref="GM66">_xlfn.IFS($D66="","",AND(GK66=$C66,GL66=$D66),3,($C66-$D66)/MAX(ABS($C66-$D66),1)=(GK66-GL66)/MAX(ABS(GK66-GL66),1),1,TRUE,0)</f>
        <v/>
      </c>
      <c r="GN66" s="18"/>
      <c r="GO66" s="19"/>
      <c r="GP66" s="33" t="str" cm="1">
        <f t="array" ref="GP66">_xlfn.IFS($D66="","",AND(GN66=$C66,GO66=$D66),3,($C66-$D66)/MAX(ABS($C66-$D66),1)=(GN66-GO66)/MAX(ABS(GN66-GO66),1),1,TRUE,0)</f>
        <v/>
      </c>
      <c r="GQ66" s="18"/>
      <c r="GR66" s="19"/>
      <c r="GS66" s="33" t="str" cm="1">
        <f t="array" ref="GS66">_xlfn.IFS($D66="","",AND(GQ66=$C66,GR66=$D66),3,($C66-$D66)/MAX(ABS($C66-$D66),1)=(GQ66-GR66)/MAX(ABS(GQ66-GR66),1),1,TRUE,0)</f>
        <v/>
      </c>
      <c r="GT66" s="18"/>
      <c r="GU66" s="19"/>
      <c r="GV66" s="33" t="str" cm="1">
        <f t="array" ref="GV66">_xlfn.IFS($D66="","",AND(GT66=$C66,GU66=$D66),3,($C66-$D66)/MAX(ABS($C66-$D66),1)=(GT66-GU66)/MAX(ABS(GT66-GU66),1),1,TRUE,0)</f>
        <v/>
      </c>
      <c r="GW66" s="18"/>
      <c r="GX66" s="19"/>
      <c r="GY66" s="33" t="str" cm="1">
        <f t="array" ref="GY66">_xlfn.IFS($D66="","",AND(GW66=$C66,GX66=$D66),3,($C66-$D66)/MAX(ABS($C66-$D66),1)=(GW66-GX66)/MAX(ABS(GW66-GX66),1),1,TRUE,0)</f>
        <v/>
      </c>
      <c r="GZ66" s="18"/>
      <c r="HA66" s="19"/>
      <c r="HB66" s="33" t="str" cm="1">
        <f t="array" ref="HB66">_xlfn.IFS($D66="","",AND(GZ66=$C66,HA66=$D66),3,($C66-$D66)/MAX(ABS($C66-$D66),1)=(GZ66-HA66)/MAX(ABS(GZ66-HA66),1),1,TRUE,0)</f>
        <v/>
      </c>
      <c r="HC66" s="18"/>
      <c r="HD66" s="19"/>
      <c r="HE66" s="33" t="str" cm="1">
        <f t="array" ref="HE66">_xlfn.IFS($D66="","",AND(HC66=$C66,HD66=$D66),3,($C66-$D66)/MAX(ABS($C66-$D66),1)=(HC66-HD66)/MAX(ABS(HC66-HD66),1),1,TRUE,0)</f>
        <v/>
      </c>
      <c r="HF66" s="18"/>
      <c r="HG66" s="19"/>
      <c r="HH66" s="33" t="str" cm="1">
        <f t="array" ref="HH66">_xlfn.IFS($D66="","",AND(HF66=$C66,HG66=$D66),3,($C66-$D66)/MAX(ABS($C66-$D66),1)=(HF66-HG66)/MAX(ABS(HF66-HG66),1),1,TRUE,0)</f>
        <v/>
      </c>
      <c r="HI66" s="18"/>
      <c r="HJ66" s="19"/>
      <c r="HK66" s="33" t="str" cm="1">
        <f t="array" ref="HK66">_xlfn.IFS($D66="","",AND(HI66=$C66,HJ66=$D66),3,($C66-$D66)/MAX(ABS($C66-$D66),1)=(HI66-HJ66)/MAX(ABS(HI66-HJ66),1),1,TRUE,0)</f>
        <v/>
      </c>
      <c r="HL66" s="18"/>
      <c r="HM66" s="19"/>
      <c r="HN66" s="33" t="str" cm="1">
        <f t="array" ref="HN66">_xlfn.IFS($D66="","",AND(HL66=$C66,HM66=$D66),3,($C66-$D66)/MAX(ABS($C66-$D66),1)=(HL66-HM66)/MAX(ABS(HL66-HM66),1),1,TRUE,0)</f>
        <v/>
      </c>
      <c r="HO66" s="18"/>
      <c r="HP66" s="19"/>
      <c r="HQ66" s="33" t="str" cm="1">
        <f t="array" ref="HQ66">_xlfn.IFS($D66="","",AND(HO66=$C66,HP66=$D66),3,($C66-$D66)/MAX(ABS($C66-$D66),1)=(HO66-HP66)/MAX(ABS(HO66-HP66),1),1,TRUE,0)</f>
        <v/>
      </c>
      <c r="HR66" s="18"/>
      <c r="HS66" s="19"/>
      <c r="HT66" s="33" t="str" cm="1">
        <f t="array" ref="HT66">_xlfn.IFS($D66="","",AND(HR66=$C66,HS66=$D66),3,($C66-$D66)/MAX(ABS($C66-$D66),1)=(HR66-HS66)/MAX(ABS(HR66-HS66),1),1,TRUE,0)</f>
        <v/>
      </c>
      <c r="HU66" s="18"/>
      <c r="HV66" s="19"/>
      <c r="HW66" s="33" t="str" cm="1">
        <f t="array" ref="HW66">_xlfn.IFS($D66="","",AND(HU66=$C66,HV66=$D66),3,($C66-$D66)/MAX(ABS($C66-$D66),1)=(HU66-HV66)/MAX(ABS(HU66-HV66),1),1,TRUE,0)</f>
        <v/>
      </c>
      <c r="HX66" s="18"/>
      <c r="HY66" s="19"/>
      <c r="HZ66" s="33" t="str" cm="1">
        <f t="array" ref="HZ66">_xlfn.IFS($D66="","",AND(HX66=$C66,HY66=$D66),3,($C66-$D66)/MAX(ABS($C66-$D66),1)=(HX66-HY66)/MAX(ABS(HX66-HY66),1),1,TRUE,0)</f>
        <v/>
      </c>
      <c r="IA66" s="18"/>
      <c r="IB66" s="19"/>
      <c r="IC66" s="33" t="str" cm="1">
        <f t="array" ref="IC66">_xlfn.IFS($D66="","",AND(IA66=$C66,IB66=$D66),3,($C66-$D66)/MAX(ABS($C66-$D66),1)=(IA66-IB66)/MAX(ABS(IA66-IB66),1),1,TRUE,0)</f>
        <v/>
      </c>
      <c r="ID66" s="18"/>
      <c r="IE66" s="19"/>
      <c r="IF66" s="33" t="str" cm="1">
        <f t="array" ref="IF66">_xlfn.IFS($D66="","",AND(ID66=$C66,IE66=$D66),3,($C66-$D66)/MAX(ABS($C66-$D66),1)=(ID66-IE66)/MAX(ABS(ID66-IE66),1),1,TRUE,0)</f>
        <v/>
      </c>
      <c r="IG66" s="18"/>
      <c r="IH66" s="19"/>
      <c r="II66" s="33" t="str" cm="1">
        <f t="array" ref="II66">_xlfn.IFS($D66="","",AND(IG66=$C66,IH66=$D66),3,($C66-$D66)/MAX(ABS($C66-$D66),1)=(IG66-IH66)/MAX(ABS(IG66-IH66),1),1,TRUE,0)</f>
        <v/>
      </c>
      <c r="IJ66" s="18"/>
      <c r="IK66" s="19"/>
      <c r="IL66" s="33" t="str" cm="1">
        <f t="array" ref="IL66">_xlfn.IFS($D66="","",AND(IJ66=$C66,IK66=$D66),3,($C66-$D66)/MAX(ABS($C66-$D66),1)=(IJ66-IK66)/MAX(ABS(IJ66-IK66),1),1,TRUE,0)</f>
        <v/>
      </c>
      <c r="IM66" s="18"/>
      <c r="IN66" s="19"/>
      <c r="IO66" s="33" t="str" cm="1">
        <f t="array" ref="IO66">_xlfn.IFS($D66="","",AND(IM66=$C66,IN66=$D66),3,($C66-$D66)/MAX(ABS($C66-$D66),1)=(IM66-IN66)/MAX(ABS(IM66-IN66),1),1,TRUE,0)</f>
        <v/>
      </c>
      <c r="IP66" s="18"/>
      <c r="IQ66" s="19"/>
      <c r="IR66" s="33" t="str" cm="1">
        <f t="array" ref="IR66">_xlfn.IFS($D66="","",AND(IP66=$C66,IQ66=$D66),3,($C66-$D66)/MAX(ABS($C66-$D66),1)=(IP66-IQ66)/MAX(ABS(IP66-IQ66),1),1,TRUE,0)</f>
        <v/>
      </c>
      <c r="IS66" s="18"/>
      <c r="IT66" s="19"/>
      <c r="IU66" s="33" t="str" cm="1">
        <f t="array" ref="IU66">_xlfn.IFS($D66="","",AND(IS66=$C66,IT66=$D66),3,($C66-$D66)/MAX(ABS($C66-$D66),1)=(IS66-IT66)/MAX(ABS(IS66-IT66),1),1,TRUE,0)</f>
        <v/>
      </c>
      <c r="IV66" s="18"/>
      <c r="IW66" s="19"/>
      <c r="IX66" s="33" t="str" cm="1">
        <f t="array" ref="IX66">_xlfn.IFS($D66="","",AND(IV66=$C66,IW66=$D66),3,($C66-$D66)/MAX(ABS($C66-$D66),1)=(IV66-IW66)/MAX(ABS(IV66-IW66),1),1,TRUE,0)</f>
        <v/>
      </c>
      <c r="IY66" s="18"/>
      <c r="IZ66" s="19"/>
      <c r="JA66" s="33" t="str" cm="1">
        <f t="array" ref="JA66">_xlfn.IFS($D66="","",AND(IY66=$C66,IZ66=$D66),3,($C66-$D66)/MAX(ABS($C66-$D66),1)=(IY66-IZ66)/MAX(ABS(IY66-IZ66),1),1,TRUE,0)</f>
        <v/>
      </c>
      <c r="JB66" s="18"/>
      <c r="JC66" s="19"/>
      <c r="JD66" s="33" t="str" cm="1">
        <f t="array" ref="JD66">_xlfn.IFS($D66="","",AND(JB66=$C66,JC66=$D66),3,($C66-$D66)/MAX(ABS($C66-$D66),1)=(JB66-JC66)/MAX(ABS(JB66-JC66),1),1,TRUE,0)</f>
        <v/>
      </c>
    </row>
    <row r="67" spans="1:264" ht="15" thickBot="1" x14ac:dyDescent="0.35">
      <c r="A67" s="22">
        <v>46200</v>
      </c>
      <c r="B67" s="28" t="s">
        <v>67</v>
      </c>
      <c r="C67" s="53" t="str" cm="1">
        <f t="array" ref="C67">_xlfn.LET(
_xlpm.x,_xlfn.XLOOKUP(1,(Scores_Fixtures[Date]=A67)*(Scores_Fixtures[Home.1]=B67),Scores_Fixtures[Score.1],""),
IF(_xlpm.x="","",_xlpm.x)
)</f>
        <v/>
      </c>
      <c r="D67" s="53" t="str" cm="1">
        <f t="array" ref="D67">_xlfn.LET(
_xlpm.x,_xlfn.XLOOKUP(1,(Scores_Fixtures[Date]=A67)*(Scores_Fixtures[Home.1]=B67),Scores_Fixtures[Score.2],""),
IF(_xlpm.x="","",_xlpm.x)
)</f>
        <v/>
      </c>
      <c r="E67" s="12" t="s">
        <v>45</v>
      </c>
      <c r="F67" s="15"/>
      <c r="G67" s="53"/>
      <c r="H67" s="53"/>
      <c r="I67" s="33" t="str" cm="1">
        <f t="array" ref="I67">_xlfn.IFS($D67="","",AND(G67=$C67,H67=$D67),3,($C67-$D67)/MAX(ABS($C67-$D67),1)=(G67-H67)/MAX(ABS(G67-H67),1),1,TRUE,0)</f>
        <v/>
      </c>
      <c r="J67" s="18"/>
      <c r="K67" s="19"/>
      <c r="L67" s="33" t="str" cm="1">
        <f t="array" ref="L67">_xlfn.IFS($D67="","",AND(J67=$C67,K67=$D67),3,($C67-$D67)/MAX(ABS($C67-$D67),1)=(J67-K67)/MAX(ABS(J67-K67),1),1,TRUE,0)</f>
        <v/>
      </c>
      <c r="M67" s="18"/>
      <c r="N67" s="19"/>
      <c r="O67" s="33" t="str" cm="1">
        <f t="array" ref="O67">_xlfn.IFS($D67="","",AND(M67=$C67,N67=$D67),3,($C67-$D67)/MAX(ABS($C67-$D67),1)=(M67-N67)/MAX(ABS(M67-N67),1),1,TRUE,0)</f>
        <v/>
      </c>
      <c r="P67" s="18"/>
      <c r="Q67" s="19"/>
      <c r="R67" s="33" t="str" cm="1">
        <f t="array" ref="R67">_xlfn.IFS($D67="","",AND(P67=$C67,Q67=$D67),3,($C67-$D67)/MAX(ABS($C67-$D67),1)=(P67-Q67)/MAX(ABS(P67-Q67),1),1,TRUE,0)</f>
        <v/>
      </c>
      <c r="S67" s="18"/>
      <c r="T67" s="19"/>
      <c r="U67" s="33" t="str" cm="1">
        <f t="array" ref="U67">_xlfn.IFS($D67="","",AND(S67=$C67,T67=$D67),3,($C67-$D67)/MAX(ABS($C67-$D67),1)=(S67-T67)/MAX(ABS(S67-T67),1),1,TRUE,0)</f>
        <v/>
      </c>
      <c r="V67" s="18"/>
      <c r="W67" s="19"/>
      <c r="X67" s="33" t="str" cm="1">
        <f t="array" ref="X67">_xlfn.IFS($D67="","",AND(V67=$C67,W67=$D67),3,($C67-$D67)/MAX(ABS($C67-$D67),1)=(V67-W67)/MAX(ABS(V67-W67),1),1,TRUE,0)</f>
        <v/>
      </c>
      <c r="Y67" s="18"/>
      <c r="Z67" s="19"/>
      <c r="AA67" s="33" t="str" cm="1">
        <f t="array" ref="AA67">_xlfn.IFS($D67="","",AND(Y67=$C67,Z67=$D67),3,($C67-$D67)/MAX(ABS($C67-$D67),1)=(Y67-Z67)/MAX(ABS(Y67-Z67),1),1,TRUE,0)</f>
        <v/>
      </c>
      <c r="AB67" s="18"/>
      <c r="AC67" s="19"/>
      <c r="AD67" s="33" t="str" cm="1">
        <f t="array" ref="AD67">_xlfn.IFS($D67="","",AND(AB67=$C67,AC67=$D67),3,($C67-$D67)/MAX(ABS($C67-$D67),1)=(AB67-AC67)/MAX(ABS(AB67-AC67),1),1,TRUE,0)</f>
        <v/>
      </c>
      <c r="AE67" s="18"/>
      <c r="AF67" s="19"/>
      <c r="AG67" s="33" t="str" cm="1">
        <f t="array" ref="AG67">_xlfn.IFS($D67="","",AND(AE67=$C67,AF67=$D67),3,($C67-$D67)/MAX(ABS($C67-$D67),1)=(AE67-AF67)/MAX(ABS(AE67-AF67),1),1,TRUE,0)</f>
        <v/>
      </c>
      <c r="AH67" s="18"/>
      <c r="AI67" s="19"/>
      <c r="AJ67" s="33" t="str" cm="1">
        <f t="array" ref="AJ67">_xlfn.IFS($D67="","",AND(AH67=$C67,AI67=$D67),3,($C67-$D67)/MAX(ABS($C67-$D67),1)=(AH67-AI67)/MAX(ABS(AH67-AI67),1),1,TRUE,0)</f>
        <v/>
      </c>
      <c r="AK67" s="18"/>
      <c r="AL67" s="19"/>
      <c r="AM67" s="33" t="str" cm="1">
        <f t="array" ref="AM67">_xlfn.IFS($D67="","",AND(AK67=$C67,AL67=$D67),3,($C67-$D67)/MAX(ABS($C67-$D67),1)=(AK67-AL67)/MAX(ABS(AK67-AL67),1),1,TRUE,0)</f>
        <v/>
      </c>
      <c r="AN67" s="18"/>
      <c r="AO67" s="19"/>
      <c r="AP67" s="33" t="str" cm="1">
        <f t="array" ref="AP67">_xlfn.IFS($D67="","",AND(AN67=$C67,AO67=$D67),3,($C67-$D67)/MAX(ABS($C67-$D67),1)=(AN67-AO67)/MAX(ABS(AN67-AO67),1),1,TRUE,0)</f>
        <v/>
      </c>
      <c r="AQ67" s="18"/>
      <c r="AR67" s="19"/>
      <c r="AS67" s="33" t="str" cm="1">
        <f t="array" ref="AS67">_xlfn.IFS($D67="","",AND(AQ67=$C67,AR67=$D67),3,($C67-$D67)/MAX(ABS($C67-$D67),1)=(AQ67-AR67)/MAX(ABS(AQ67-AR67),1),1,TRUE,0)</f>
        <v/>
      </c>
      <c r="AT67" s="18"/>
      <c r="AU67" s="19"/>
      <c r="AV67" s="33" t="str" cm="1">
        <f t="array" ref="AV67">_xlfn.IFS($D67="","",AND(AT67=$C67,AU67=$D67),3,($C67-$D67)/MAX(ABS($C67-$D67),1)=(AT67-AU67)/MAX(ABS(AT67-AU67),1),1,TRUE,0)</f>
        <v/>
      </c>
      <c r="AW67" s="18"/>
      <c r="AX67" s="19"/>
      <c r="AY67" s="33" t="str" cm="1">
        <f t="array" ref="AY67">_xlfn.IFS($D67="","",AND(AW67=$C67,AX67=$D67),3,($C67-$D67)/MAX(ABS($C67-$D67),1)=(AW67-AX67)/MAX(ABS(AW67-AX67),1),1,TRUE,0)</f>
        <v/>
      </c>
      <c r="AZ67" s="18"/>
      <c r="BA67" s="19"/>
      <c r="BB67" s="33" t="str" cm="1">
        <f t="array" ref="BB67">_xlfn.IFS($D67="","",AND(AZ67=$C67,BA67=$D67),3,($C67-$D67)/MAX(ABS($C67-$D67),1)=(AZ67-BA67)/MAX(ABS(AZ67-BA67),1),1,TRUE,0)</f>
        <v/>
      </c>
      <c r="BC67" s="18"/>
      <c r="BD67" s="19"/>
      <c r="BE67" s="33" t="str" cm="1">
        <f t="array" ref="BE67">_xlfn.IFS($D67="","",AND(BC67=$C67,BD67=$D67),3,($C67-$D67)/MAX(ABS($C67-$D67),1)=(BC67-BD67)/MAX(ABS(BC67-BD67),1),1,TRUE,0)</f>
        <v/>
      </c>
      <c r="BF67" s="18"/>
      <c r="BG67" s="19"/>
      <c r="BH67" s="33" t="str" cm="1">
        <f t="array" ref="BH67">_xlfn.IFS($D67="","",AND(BF67=$C67,BG67=$D67),3,($C67-$D67)/MAX(ABS($C67-$D67),1)=(BF67-BG67)/MAX(ABS(BF67-BG67),1),1,TRUE,0)</f>
        <v/>
      </c>
      <c r="BI67" s="18"/>
      <c r="BJ67" s="19"/>
      <c r="BK67" s="33" t="str" cm="1">
        <f t="array" ref="BK67">_xlfn.IFS($D67="","",AND(BI67=$C67,BJ67=$D67),3,($C67-$D67)/MAX(ABS($C67-$D67),1)=(BI67-BJ67)/MAX(ABS(BI67-BJ67),1),1,TRUE,0)</f>
        <v/>
      </c>
      <c r="BL67" s="18"/>
      <c r="BM67" s="19"/>
      <c r="BN67" s="33" t="str" cm="1">
        <f t="array" ref="BN67">_xlfn.IFS($D67="","",AND(BL67=$C67,BM67=$D67),3,($C67-$D67)/MAX(ABS($C67-$D67),1)=(BL67-BM67)/MAX(ABS(BL67-BM67),1),1,TRUE,0)</f>
        <v/>
      </c>
      <c r="BO67" s="18"/>
      <c r="BP67" s="19"/>
      <c r="BQ67" s="33" t="str" cm="1">
        <f t="array" ref="BQ67">_xlfn.IFS($D67="","",AND(BO67=$C67,BP67=$D67),3,($C67-$D67)/MAX(ABS($C67-$D67),1)=(BO67-BP67)/MAX(ABS(BO67-BP67),1),1,TRUE,0)</f>
        <v/>
      </c>
      <c r="BR67" s="18"/>
      <c r="BS67" s="19"/>
      <c r="BT67" s="33" t="str" cm="1">
        <f t="array" ref="BT67">_xlfn.IFS($D67="","",AND(BR67=$C67,BS67=$D67),3,($C67-$D67)/MAX(ABS($C67-$D67),1)=(BR67-BS67)/MAX(ABS(BR67-BS67),1),1,TRUE,0)</f>
        <v/>
      </c>
      <c r="BU67" s="18"/>
      <c r="BV67" s="19"/>
      <c r="BW67" s="33" t="str" cm="1">
        <f t="array" ref="BW67">_xlfn.IFS($D67="","",AND(BU67=$C67,BV67=$D67),3,($C67-$D67)/MAX(ABS($C67-$D67),1)=(BU67-BV67)/MAX(ABS(BU67-BV67),1),1,TRUE,0)</f>
        <v/>
      </c>
      <c r="BX67" s="18"/>
      <c r="BY67" s="19"/>
      <c r="BZ67" s="33" t="str" cm="1">
        <f t="array" ref="BZ67">_xlfn.IFS($D67="","",AND(BX67=$C67,BY67=$D67),3,($C67-$D67)/MAX(ABS($C67-$D67),1)=(BX67-BY67)/MAX(ABS(BX67-BY67),1),1,TRUE,0)</f>
        <v/>
      </c>
      <c r="CA67" s="18"/>
      <c r="CB67" s="19"/>
      <c r="CC67" s="33" t="str" cm="1">
        <f t="array" ref="CC67">_xlfn.IFS($D67="","",AND(CA67=$C67,CB67=$D67),3,($C67-$D67)/MAX(ABS($C67-$D67),1)=(CA67-CB67)/MAX(ABS(CA67-CB67),1),1,TRUE,0)</f>
        <v/>
      </c>
      <c r="CD67" s="18"/>
      <c r="CE67" s="19"/>
      <c r="CF67" s="33" t="str" cm="1">
        <f t="array" ref="CF67">_xlfn.IFS($D67="","",AND(CD67=$C67,CE67=$D67),3,($C67-$D67)/MAX(ABS($C67-$D67),1)=(CD67-CE67)/MAX(ABS(CD67-CE67),1),1,TRUE,0)</f>
        <v/>
      </c>
      <c r="CG67" s="18"/>
      <c r="CH67" s="19"/>
      <c r="CI67" s="33" t="str" cm="1">
        <f t="array" ref="CI67">_xlfn.IFS($D67="","",AND(CG67=$C67,CH67=$D67),3,($C67-$D67)/MAX(ABS($C67-$D67),1)=(CG67-CH67)/MAX(ABS(CG67-CH67),1),1,TRUE,0)</f>
        <v/>
      </c>
      <c r="CJ67" s="18"/>
      <c r="CK67" s="19"/>
      <c r="CL67" s="33" t="str" cm="1">
        <f t="array" ref="CL67">_xlfn.IFS($D67="","",AND(CJ67=$C67,CK67=$D67),3,($C67-$D67)/MAX(ABS($C67-$D67),1)=(CJ67-CK67)/MAX(ABS(CJ67-CK67),1),1,TRUE,0)</f>
        <v/>
      </c>
      <c r="CM67" s="18"/>
      <c r="CN67" s="19"/>
      <c r="CO67" s="33" t="str" cm="1">
        <f t="array" ref="CO67">_xlfn.IFS($D67="","",AND(CM67=$C67,CN67=$D67),3,($C67-$D67)/MAX(ABS($C67-$D67),1)=(CM67-CN67)/MAX(ABS(CM67-CN67),1),1,TRUE,0)</f>
        <v/>
      </c>
      <c r="CP67" s="18"/>
      <c r="CQ67" s="19"/>
      <c r="CR67" s="33" t="str" cm="1">
        <f t="array" ref="CR67">_xlfn.IFS($D67="","",AND(CP67=$C67,CQ67=$D67),3,($C67-$D67)/MAX(ABS($C67-$D67),1)=(CP67-CQ67)/MAX(ABS(CP67-CQ67),1),1,TRUE,0)</f>
        <v/>
      </c>
      <c r="CS67" s="18"/>
      <c r="CT67" s="19"/>
      <c r="CU67" s="33" t="str" cm="1">
        <f t="array" ref="CU67">_xlfn.IFS($D67="","",AND(CS67=$C67,CT67=$D67),3,($C67-$D67)/MAX(ABS($C67-$D67),1)=(CS67-CT67)/MAX(ABS(CS67-CT67),1),1,TRUE,0)</f>
        <v/>
      </c>
      <c r="CV67" s="18"/>
      <c r="CW67" s="19"/>
      <c r="CX67" s="33" t="str" cm="1">
        <f t="array" ref="CX67">_xlfn.IFS($D67="","",AND(CV67=$C67,CW67=$D67),3,($C67-$D67)/MAX(ABS($C67-$D67),1)=(CV67-CW67)/MAX(ABS(CV67-CW67),1),1,TRUE,0)</f>
        <v/>
      </c>
      <c r="CY67" s="18"/>
      <c r="CZ67" s="19"/>
      <c r="DA67" s="33" t="str" cm="1">
        <f t="array" ref="DA67">_xlfn.IFS($D67="","",AND(CY67=$C67,CZ67=$D67),3,($C67-$D67)/MAX(ABS($C67-$D67),1)=(CY67-CZ67)/MAX(ABS(CY67-CZ67),1),1,TRUE,0)</f>
        <v/>
      </c>
      <c r="DB67" s="37"/>
      <c r="DC67" s="38"/>
      <c r="DD67" s="33" t="str" cm="1">
        <f t="array" ref="DD67">_xlfn.IFS($D67="","",AND(DB67=$C67,DC67=$D67),3,($C67-$D67)/MAX(ABS($C67-$D67),1)=(DB67-DC67)/MAX(ABS(DB67-DC67),1),1,TRUE,0)</f>
        <v/>
      </c>
      <c r="DE67" s="18"/>
      <c r="DF67" s="19"/>
      <c r="DG67" s="33" t="str" cm="1">
        <f t="array" ref="DG67">_xlfn.IFS($D67="","",AND(DE67=$C67,DF67=$D67),3,($C67-$D67)/MAX(ABS($C67-$D67),1)=(DE67-DF67)/MAX(ABS(DE67-DF67),1),1,TRUE,0)</f>
        <v/>
      </c>
      <c r="DH67" s="18"/>
      <c r="DI67" s="19"/>
      <c r="DJ67" s="33" t="str" cm="1">
        <f t="array" ref="DJ67">_xlfn.IFS($D67="","",AND(DH67=$C67,DI67=$D67),3,($C67-$D67)/MAX(ABS($C67-$D67),1)=(DH67-DI67)/MAX(ABS(DH67-DI67),1),1,TRUE,0)</f>
        <v/>
      </c>
      <c r="DK67" s="18"/>
      <c r="DL67" s="19"/>
      <c r="DM67" s="33" t="str" cm="1">
        <f t="array" ref="DM67">_xlfn.IFS($D67="","",AND(DK67=$C67,DL67=$D67),3,($C67-$D67)/MAX(ABS($C67-$D67),1)=(DK67-DL67)/MAX(ABS(DK67-DL67),1),1,TRUE,0)</f>
        <v/>
      </c>
      <c r="DN67" s="18"/>
      <c r="DO67" s="19"/>
      <c r="DP67" s="33" t="str" cm="1">
        <f t="array" ref="DP67">_xlfn.IFS($D67="","",AND(DN67=$C67,DO67=$D67),3,($C67-$D67)/MAX(ABS($C67-$D67),1)=(DN67-DO67)/MAX(ABS(DN67-DO67),1),1,TRUE,0)</f>
        <v/>
      </c>
      <c r="DQ67" s="18"/>
      <c r="DR67" s="19"/>
      <c r="DS67" s="33" t="str" cm="1">
        <f t="array" ref="DS67">_xlfn.IFS($D67="","",AND(DQ67=$C67,DR67=$D67),3,($C67-$D67)/MAX(ABS($C67-$D67),1)=(DQ67-DR67)/MAX(ABS(DQ67-DR67),1),1,TRUE,0)</f>
        <v/>
      </c>
      <c r="DT67" s="18"/>
      <c r="DU67" s="19"/>
      <c r="DV67" s="33" t="str" cm="1">
        <f t="array" ref="DV67">_xlfn.IFS($D67="","",AND(DT67=$C67,DU67=$D67),3,($C67-$D67)/MAX(ABS($C67-$D67),1)=(DT67-DU67)/MAX(ABS(DT67-DU67),1),1,TRUE,0)</f>
        <v/>
      </c>
      <c r="DW67" s="18"/>
      <c r="DX67" s="19"/>
      <c r="DY67" s="33" t="str" cm="1">
        <f t="array" ref="DY67">_xlfn.IFS($D67="","",AND(DW67=$C67,DX67=$D67),3,($C67-$D67)/MAX(ABS($C67-$D67),1)=(DW67-DX67)/MAX(ABS(DW67-DX67),1),1,TRUE,0)</f>
        <v/>
      </c>
      <c r="DZ67" s="18"/>
      <c r="EA67" s="19"/>
      <c r="EB67" s="33" t="str" cm="1">
        <f t="array" ref="EB67">_xlfn.IFS($D67="","",AND(DZ67=$C67,EA67=$D67),3,($C67-$D67)/MAX(ABS($C67-$D67),1)=(DZ67-EA67)/MAX(ABS(DZ67-EA67),1),1,TRUE,0)</f>
        <v/>
      </c>
      <c r="EC67" s="18"/>
      <c r="ED67" s="19"/>
      <c r="EE67" s="33" t="str" cm="1">
        <f t="array" ref="EE67">_xlfn.IFS($D67="","",AND(EC67=$C67,ED67=$D67),3,($C67-$D67)/MAX(ABS($C67-$D67),1)=(EC67-ED67)/MAX(ABS(EC67-ED67),1),1,TRUE,0)</f>
        <v/>
      </c>
      <c r="EF67" s="18"/>
      <c r="EG67" s="19"/>
      <c r="EH67" s="33" t="str" cm="1">
        <f t="array" ref="EH67">_xlfn.IFS($D67="","",AND(EF67=$C67,EG67=$D67),3,($C67-$D67)/MAX(ABS($C67-$D67),1)=(EF67-EG67)/MAX(ABS(EF67-EG67),1),1,TRUE,0)</f>
        <v/>
      </c>
      <c r="EI67" s="50"/>
      <c r="EJ67" s="51"/>
      <c r="EK67" s="33" t="str" cm="1">
        <f t="array" ref="EK67">_xlfn.IFS($D67="","",AND(EI67=$C67,EJ67=$D67),3,($C67-$D67)/MAX(ABS($C67-$D67),1)=(EI67-EJ67)/MAX(ABS(EI67-EJ67),1),1,TRUE,0)</f>
        <v/>
      </c>
      <c r="EL67" s="18"/>
      <c r="EM67" s="19"/>
      <c r="EN67" s="33" t="str" cm="1">
        <f t="array" ref="EN67">_xlfn.IFS($D67="","",AND(EL67=$C67,EM67=$D67),3,($C67-$D67)/MAX(ABS($C67-$D67),1)=(EL67-EM67)/MAX(ABS(EL67-EM67),1),1,TRUE,0)</f>
        <v/>
      </c>
      <c r="EO67" s="18"/>
      <c r="EP67" s="19"/>
      <c r="EQ67" s="33" t="str" cm="1">
        <f t="array" ref="EQ67">_xlfn.IFS($D67="","",AND(EO67=$C67,EP67=$D67),3,($C67-$D67)/MAX(ABS($C67-$D67),1)=(EO67-EP67)/MAX(ABS(EO67-EP67),1),1,TRUE,0)</f>
        <v/>
      </c>
      <c r="ER67" s="18"/>
      <c r="ES67" s="19"/>
      <c r="ET67" s="33" t="str" cm="1">
        <f t="array" ref="ET67">_xlfn.IFS($D67="","",AND(ER67=$C67,ES67=$D67),3,($C67-$D67)/MAX(ABS($C67-$D67),1)=(ER67-ES67)/MAX(ABS(ER67-ES67),1),1,TRUE,0)</f>
        <v/>
      </c>
      <c r="EU67" s="18"/>
      <c r="EV67" s="19"/>
      <c r="EW67" s="33" t="str" cm="1">
        <f t="array" ref="EW67">_xlfn.IFS($D67="","",AND(EU67=$C67,EV67=$D67),3,($C67-$D67)/MAX(ABS($C67-$D67),1)=(EU67-EV67)/MAX(ABS(EU67-EV67),1),1,TRUE,0)</f>
        <v/>
      </c>
      <c r="EX67" s="18"/>
      <c r="EY67" s="19"/>
      <c r="EZ67" s="33" t="str" cm="1">
        <f t="array" ref="EZ67">_xlfn.IFS($D67="","",AND(EX67=$C67,EY67=$D67),3,($C67-$D67)/MAX(ABS($C67-$D67),1)=(EX67-EY67)/MAX(ABS(EX67-EY67),1),1,TRUE,0)</f>
        <v/>
      </c>
      <c r="FA67" s="18"/>
      <c r="FB67" s="19"/>
      <c r="FC67" s="33" t="str" cm="1">
        <f t="array" ref="FC67">_xlfn.IFS($D67="","",AND(FA67=$C67,FB67=$D67),3,($C67-$D67)/MAX(ABS($C67-$D67),1)=(FA67-FB67)/MAX(ABS(FA67-FB67),1),1,TRUE,0)</f>
        <v/>
      </c>
      <c r="FD67" s="18"/>
      <c r="FE67" s="19"/>
      <c r="FF67" s="33" t="str" cm="1">
        <f t="array" ref="FF67">_xlfn.IFS($D67="","",AND(FD67=$C67,FE67=$D67),3,($C67-$D67)/MAX(ABS($C67-$D67),1)=(FD67-FE67)/MAX(ABS(FD67-FE67),1),1,TRUE,0)</f>
        <v/>
      </c>
      <c r="FG67" s="18"/>
      <c r="FH67" s="19"/>
      <c r="FI67" s="33" t="str" cm="1">
        <f t="array" ref="FI67">_xlfn.IFS($D67="","",AND(FG67=$C67,FH67=$D67),3,($C67-$D67)/MAX(ABS($C67-$D67),1)=(FG67-FH67)/MAX(ABS(FG67-FH67),1),1,TRUE,0)</f>
        <v/>
      </c>
      <c r="FJ67" s="18"/>
      <c r="FK67" s="19"/>
      <c r="FL67" s="33" t="str" cm="1">
        <f t="array" ref="FL67">_xlfn.IFS($D67="","",AND(FJ67=$C67,FK67=$D67),3,($C67-$D67)/MAX(ABS($C67-$D67),1)=(FJ67-FK67)/MAX(ABS(FJ67-FK67),1),1,TRUE,0)</f>
        <v/>
      </c>
      <c r="FM67" s="18"/>
      <c r="FN67" s="19"/>
      <c r="FO67" s="33" t="str" cm="1">
        <f t="array" ref="FO67">_xlfn.IFS($D67="","",AND(FM67=$C67,FN67=$D67),3,($C67-$D67)/MAX(ABS($C67-$D67),1)=(FM67-FN67)/MAX(ABS(FM67-FN67),1),1,TRUE,0)</f>
        <v/>
      </c>
      <c r="FP67" s="18"/>
      <c r="FQ67" s="19"/>
      <c r="FR67" s="33" t="str" cm="1">
        <f t="array" ref="FR67">_xlfn.IFS($D67="","",AND(FP67=$C67,FQ67=$D67),3,($C67-$D67)/MAX(ABS($C67-$D67),1)=(FP67-FQ67)/MAX(ABS(FP67-FQ67),1),1,TRUE,0)</f>
        <v/>
      </c>
      <c r="FS67" s="18"/>
      <c r="FT67" s="19"/>
      <c r="FU67" s="33" t="str" cm="1">
        <f t="array" ref="FU67">_xlfn.IFS($D67="","",AND(FS67=$C67,FT67=$D67),3,($C67-$D67)/MAX(ABS($C67-$D67),1)=(FS67-FT67)/MAX(ABS(FS67-FT67),1),1,TRUE,0)</f>
        <v/>
      </c>
      <c r="FV67" s="18"/>
      <c r="FW67" s="19"/>
      <c r="FX67" s="33" t="str" cm="1">
        <f t="array" ref="FX67">_xlfn.IFS($D67="","",AND(FV67=$C67,FW67=$D67),3,($C67-$D67)/MAX(ABS($C67-$D67),1)=(FV67-FW67)/MAX(ABS(FV67-FW67),1),1,TRUE,0)</f>
        <v/>
      </c>
      <c r="FY67" s="18"/>
      <c r="FZ67" s="19"/>
      <c r="GA67" s="33" t="str" cm="1">
        <f t="array" ref="GA67">_xlfn.IFS($D67="","",AND(FY67=$C67,FZ67=$D67),3,($C67-$D67)/MAX(ABS($C67-$D67),1)=(FY67-FZ67)/MAX(ABS(FY67-FZ67),1),1,TRUE,0)</f>
        <v/>
      </c>
      <c r="GB67" s="18"/>
      <c r="GC67" s="19"/>
      <c r="GD67" s="33" t="str" cm="1">
        <f t="array" ref="GD67">_xlfn.IFS($D67="","",AND(GB67=$C67,GC67=$D67),3,($C67-$D67)/MAX(ABS($C67-$D67),1)=(GB67-GC67)/MAX(ABS(GB67-GC67),1),1,TRUE,0)</f>
        <v/>
      </c>
      <c r="GE67" s="52"/>
      <c r="GF67" s="19"/>
      <c r="GG67" s="33" t="str" cm="1">
        <f t="array" ref="GG67">_xlfn.IFS($D67="","",AND(GE67=$C67,GF67=$D67),3,($C67-$D67)/MAX(ABS($C67-$D67),1)=(GE67-GF67)/MAX(ABS(GE67-GF67),1),1,TRUE,0)</f>
        <v/>
      </c>
      <c r="GH67" s="18"/>
      <c r="GI67" s="19"/>
      <c r="GJ67" s="33" t="str" cm="1">
        <f t="array" ref="GJ67">_xlfn.IFS($D67="","",AND(GH67=$C67,GI67=$D67),3,($C67-$D67)/MAX(ABS($C67-$D67),1)=(GH67-GI67)/MAX(ABS(GH67-GI67),1),1,TRUE,0)</f>
        <v/>
      </c>
      <c r="GK67" s="18"/>
      <c r="GL67" s="19"/>
      <c r="GM67" s="33" t="str" cm="1">
        <f t="array" ref="GM67">_xlfn.IFS($D67="","",AND(GK67=$C67,GL67=$D67),3,($C67-$D67)/MAX(ABS($C67-$D67),1)=(GK67-GL67)/MAX(ABS(GK67-GL67),1),1,TRUE,0)</f>
        <v/>
      </c>
      <c r="GN67" s="18"/>
      <c r="GO67" s="19"/>
      <c r="GP67" s="33" t="str" cm="1">
        <f t="array" ref="GP67">_xlfn.IFS($D67="","",AND(GN67=$C67,GO67=$D67),3,($C67-$D67)/MAX(ABS($C67-$D67),1)=(GN67-GO67)/MAX(ABS(GN67-GO67),1),1,TRUE,0)</f>
        <v/>
      </c>
      <c r="GQ67" s="18"/>
      <c r="GR67" s="19"/>
      <c r="GS67" s="33" t="str" cm="1">
        <f t="array" ref="GS67">_xlfn.IFS($D67="","",AND(GQ67=$C67,GR67=$D67),3,($C67-$D67)/MAX(ABS($C67-$D67),1)=(GQ67-GR67)/MAX(ABS(GQ67-GR67),1),1,TRUE,0)</f>
        <v/>
      </c>
      <c r="GT67" s="18"/>
      <c r="GU67" s="19"/>
      <c r="GV67" s="33" t="str" cm="1">
        <f t="array" ref="GV67">_xlfn.IFS($D67="","",AND(GT67=$C67,GU67=$D67),3,($C67-$D67)/MAX(ABS($C67-$D67),1)=(GT67-GU67)/MAX(ABS(GT67-GU67),1),1,TRUE,0)</f>
        <v/>
      </c>
      <c r="GW67" s="18"/>
      <c r="GX67" s="19"/>
      <c r="GY67" s="33" t="str" cm="1">
        <f t="array" ref="GY67">_xlfn.IFS($D67="","",AND(GW67=$C67,GX67=$D67),3,($C67-$D67)/MAX(ABS($C67-$D67),1)=(GW67-GX67)/MAX(ABS(GW67-GX67),1),1,TRUE,0)</f>
        <v/>
      </c>
      <c r="GZ67" s="18"/>
      <c r="HA67" s="19"/>
      <c r="HB67" s="33" t="str" cm="1">
        <f t="array" ref="HB67">_xlfn.IFS($D67="","",AND(GZ67=$C67,HA67=$D67),3,($C67-$D67)/MAX(ABS($C67-$D67),1)=(GZ67-HA67)/MAX(ABS(GZ67-HA67),1),1,TRUE,0)</f>
        <v/>
      </c>
      <c r="HC67" s="18"/>
      <c r="HD67" s="19"/>
      <c r="HE67" s="33" t="str" cm="1">
        <f t="array" ref="HE67">_xlfn.IFS($D67="","",AND(HC67=$C67,HD67=$D67),3,($C67-$D67)/MAX(ABS($C67-$D67),1)=(HC67-HD67)/MAX(ABS(HC67-HD67),1),1,TRUE,0)</f>
        <v/>
      </c>
      <c r="HF67" s="18"/>
      <c r="HG67" s="19"/>
      <c r="HH67" s="33" t="str" cm="1">
        <f t="array" ref="HH67">_xlfn.IFS($D67="","",AND(HF67=$C67,HG67=$D67),3,($C67-$D67)/MAX(ABS($C67-$D67),1)=(HF67-HG67)/MAX(ABS(HF67-HG67),1),1,TRUE,0)</f>
        <v/>
      </c>
      <c r="HI67" s="18"/>
      <c r="HJ67" s="19"/>
      <c r="HK67" s="33" t="str" cm="1">
        <f t="array" ref="HK67">_xlfn.IFS($D67="","",AND(HI67=$C67,HJ67=$D67),3,($C67-$D67)/MAX(ABS($C67-$D67),1)=(HI67-HJ67)/MAX(ABS(HI67-HJ67),1),1,TRUE,0)</f>
        <v/>
      </c>
      <c r="HL67" s="18"/>
      <c r="HM67" s="19"/>
      <c r="HN67" s="33" t="str" cm="1">
        <f t="array" ref="HN67">_xlfn.IFS($D67="","",AND(HL67=$C67,HM67=$D67),3,($C67-$D67)/MAX(ABS($C67-$D67),1)=(HL67-HM67)/MAX(ABS(HL67-HM67),1),1,TRUE,0)</f>
        <v/>
      </c>
      <c r="HO67" s="18"/>
      <c r="HP67" s="19"/>
      <c r="HQ67" s="33" t="str" cm="1">
        <f t="array" ref="HQ67">_xlfn.IFS($D67="","",AND(HO67=$C67,HP67=$D67),3,($C67-$D67)/MAX(ABS($C67-$D67),1)=(HO67-HP67)/MAX(ABS(HO67-HP67),1),1,TRUE,0)</f>
        <v/>
      </c>
      <c r="HR67" s="18"/>
      <c r="HS67" s="19"/>
      <c r="HT67" s="33" t="str" cm="1">
        <f t="array" ref="HT67">_xlfn.IFS($D67="","",AND(HR67=$C67,HS67=$D67),3,($C67-$D67)/MAX(ABS($C67-$D67),1)=(HR67-HS67)/MAX(ABS(HR67-HS67),1),1,TRUE,0)</f>
        <v/>
      </c>
      <c r="HU67" s="18"/>
      <c r="HV67" s="19"/>
      <c r="HW67" s="33" t="str" cm="1">
        <f t="array" ref="HW67">_xlfn.IFS($D67="","",AND(HU67=$C67,HV67=$D67),3,($C67-$D67)/MAX(ABS($C67-$D67),1)=(HU67-HV67)/MAX(ABS(HU67-HV67),1),1,TRUE,0)</f>
        <v/>
      </c>
      <c r="HX67" s="18"/>
      <c r="HY67" s="19"/>
      <c r="HZ67" s="33" t="str" cm="1">
        <f t="array" ref="HZ67">_xlfn.IFS($D67="","",AND(HX67=$C67,HY67=$D67),3,($C67-$D67)/MAX(ABS($C67-$D67),1)=(HX67-HY67)/MAX(ABS(HX67-HY67),1),1,TRUE,0)</f>
        <v/>
      </c>
      <c r="IA67" s="18"/>
      <c r="IB67" s="19"/>
      <c r="IC67" s="33" t="str" cm="1">
        <f t="array" ref="IC67">_xlfn.IFS($D67="","",AND(IA67=$C67,IB67=$D67),3,($C67-$D67)/MAX(ABS($C67-$D67),1)=(IA67-IB67)/MAX(ABS(IA67-IB67),1),1,TRUE,0)</f>
        <v/>
      </c>
      <c r="ID67" s="18"/>
      <c r="IE67" s="19"/>
      <c r="IF67" s="33" t="str" cm="1">
        <f t="array" ref="IF67">_xlfn.IFS($D67="","",AND(ID67=$C67,IE67=$D67),3,($C67-$D67)/MAX(ABS($C67-$D67),1)=(ID67-IE67)/MAX(ABS(ID67-IE67),1),1,TRUE,0)</f>
        <v/>
      </c>
      <c r="IG67" s="18"/>
      <c r="IH67" s="19"/>
      <c r="II67" s="33" t="str" cm="1">
        <f t="array" ref="II67">_xlfn.IFS($D67="","",AND(IG67=$C67,IH67=$D67),3,($C67-$D67)/MAX(ABS($C67-$D67),1)=(IG67-IH67)/MAX(ABS(IG67-IH67),1),1,TRUE,0)</f>
        <v/>
      </c>
      <c r="IJ67" s="18"/>
      <c r="IK67" s="19"/>
      <c r="IL67" s="33" t="str" cm="1">
        <f t="array" ref="IL67">_xlfn.IFS($D67="","",AND(IJ67=$C67,IK67=$D67),3,($C67-$D67)/MAX(ABS($C67-$D67),1)=(IJ67-IK67)/MAX(ABS(IJ67-IK67),1),1,TRUE,0)</f>
        <v/>
      </c>
      <c r="IM67" s="18"/>
      <c r="IN67" s="19"/>
      <c r="IO67" s="33" t="str" cm="1">
        <f t="array" ref="IO67">_xlfn.IFS($D67="","",AND(IM67=$C67,IN67=$D67),3,($C67-$D67)/MAX(ABS($C67-$D67),1)=(IM67-IN67)/MAX(ABS(IM67-IN67),1),1,TRUE,0)</f>
        <v/>
      </c>
      <c r="IP67" s="18"/>
      <c r="IQ67" s="19"/>
      <c r="IR67" s="33" t="str" cm="1">
        <f t="array" ref="IR67">_xlfn.IFS($D67="","",AND(IP67=$C67,IQ67=$D67),3,($C67-$D67)/MAX(ABS($C67-$D67),1)=(IP67-IQ67)/MAX(ABS(IP67-IQ67),1),1,TRUE,0)</f>
        <v/>
      </c>
      <c r="IS67" s="18"/>
      <c r="IT67" s="19"/>
      <c r="IU67" s="33" t="str" cm="1">
        <f t="array" ref="IU67">_xlfn.IFS($D67="","",AND(IS67=$C67,IT67=$D67),3,($C67-$D67)/MAX(ABS($C67-$D67),1)=(IS67-IT67)/MAX(ABS(IS67-IT67),1),1,TRUE,0)</f>
        <v/>
      </c>
      <c r="IV67" s="18"/>
      <c r="IW67" s="19"/>
      <c r="IX67" s="33" t="str" cm="1">
        <f t="array" ref="IX67">_xlfn.IFS($D67="","",AND(IV67=$C67,IW67=$D67),3,($C67-$D67)/MAX(ABS($C67-$D67),1)=(IV67-IW67)/MAX(ABS(IV67-IW67),1),1,TRUE,0)</f>
        <v/>
      </c>
      <c r="IY67" s="18"/>
      <c r="IZ67" s="19"/>
      <c r="JA67" s="33" t="str" cm="1">
        <f t="array" ref="JA67">_xlfn.IFS($D67="","",AND(IY67=$C67,IZ67=$D67),3,($C67-$D67)/MAX(ABS($C67-$D67),1)=(IY67-IZ67)/MAX(ABS(IY67-IZ67),1),1,TRUE,0)</f>
        <v/>
      </c>
      <c r="JB67" s="18"/>
      <c r="JC67" s="19"/>
      <c r="JD67" s="33" t="str" cm="1">
        <f t="array" ref="JD67">_xlfn.IFS($D67="","",AND(JB67=$C67,JC67=$D67),3,($C67-$D67)/MAX(ABS($C67-$D67),1)=(JB67-JC67)/MAX(ABS(JB67-JC67),1),1,TRUE,0)</f>
        <v/>
      </c>
    </row>
    <row r="68" spans="1:264" ht="15" thickBot="1" x14ac:dyDescent="0.35">
      <c r="A68" s="22">
        <v>46200</v>
      </c>
      <c r="B68" s="28" t="s">
        <v>54</v>
      </c>
      <c r="C68" s="53" t="str" cm="1">
        <f t="array" ref="C68">_xlfn.LET(
_xlpm.x,_xlfn.XLOOKUP(1,(Scores_Fixtures[Date]=A68)*(Scores_Fixtures[Home.1]=B68),Scores_Fixtures[Score.1],""),
IF(_xlpm.x="","",_xlpm.x)
)</f>
        <v/>
      </c>
      <c r="D68" s="53" t="str" cm="1">
        <f t="array" ref="D68">_xlfn.LET(
_xlpm.x,_xlfn.XLOOKUP(1,(Scores_Fixtures[Date]=A68)*(Scores_Fixtures[Home.1]=B68),Scores_Fixtures[Score.2],""),
IF(_xlpm.x="","",_xlpm.x)
)</f>
        <v/>
      </c>
      <c r="E68" s="12" t="s">
        <v>15</v>
      </c>
      <c r="F68" s="15"/>
      <c r="G68" s="53"/>
      <c r="H68" s="53"/>
      <c r="I68" s="33" t="str" cm="1">
        <f t="array" ref="I68">_xlfn.IFS($D68="","",AND(G68=$C68,H68=$D68),3,($C68-$D68)/MAX(ABS($C68-$D68),1)=(G68-H68)/MAX(ABS(G68-H68),1),1,TRUE,0)</f>
        <v/>
      </c>
      <c r="J68" s="18"/>
      <c r="K68" s="19"/>
      <c r="L68" s="33" t="str" cm="1">
        <f t="array" ref="L68">_xlfn.IFS($D68="","",AND(J68=$C68,K68=$D68),3,($C68-$D68)/MAX(ABS($C68-$D68),1)=(J68-K68)/MAX(ABS(J68-K68),1),1,TRUE,0)</f>
        <v/>
      </c>
      <c r="M68" s="18"/>
      <c r="N68" s="19"/>
      <c r="O68" s="33" t="str" cm="1">
        <f t="array" ref="O68">_xlfn.IFS($D68="","",AND(M68=$C68,N68=$D68),3,($C68-$D68)/MAX(ABS($C68-$D68),1)=(M68-N68)/MAX(ABS(M68-N68),1),1,TRUE,0)</f>
        <v/>
      </c>
      <c r="P68" s="18"/>
      <c r="Q68" s="19"/>
      <c r="R68" s="33" t="str" cm="1">
        <f t="array" ref="R68">_xlfn.IFS($D68="","",AND(P68=$C68,Q68=$D68),3,($C68-$D68)/MAX(ABS($C68-$D68),1)=(P68-Q68)/MAX(ABS(P68-Q68),1),1,TRUE,0)</f>
        <v/>
      </c>
      <c r="S68" s="18"/>
      <c r="T68" s="19"/>
      <c r="U68" s="33" t="str" cm="1">
        <f t="array" ref="U68">_xlfn.IFS($D68="","",AND(S68=$C68,T68=$D68),3,($C68-$D68)/MAX(ABS($C68-$D68),1)=(S68-T68)/MAX(ABS(S68-T68),1),1,TRUE,0)</f>
        <v/>
      </c>
      <c r="V68" s="18"/>
      <c r="W68" s="19"/>
      <c r="X68" s="33" t="str" cm="1">
        <f t="array" ref="X68">_xlfn.IFS($D68="","",AND(V68=$C68,W68=$D68),3,($C68-$D68)/MAX(ABS($C68-$D68),1)=(V68-W68)/MAX(ABS(V68-W68),1),1,TRUE,0)</f>
        <v/>
      </c>
      <c r="Y68" s="18"/>
      <c r="Z68" s="19"/>
      <c r="AA68" s="33" t="str" cm="1">
        <f t="array" ref="AA68">_xlfn.IFS($D68="","",AND(Y68=$C68,Z68=$D68),3,($C68-$D68)/MAX(ABS($C68-$D68),1)=(Y68-Z68)/MAX(ABS(Y68-Z68),1),1,TRUE,0)</f>
        <v/>
      </c>
      <c r="AB68" s="18"/>
      <c r="AC68" s="19"/>
      <c r="AD68" s="33" t="str" cm="1">
        <f t="array" ref="AD68">_xlfn.IFS($D68="","",AND(AB68=$C68,AC68=$D68),3,($C68-$D68)/MAX(ABS($C68-$D68),1)=(AB68-AC68)/MAX(ABS(AB68-AC68),1),1,TRUE,0)</f>
        <v/>
      </c>
      <c r="AE68" s="18"/>
      <c r="AF68" s="19"/>
      <c r="AG68" s="33" t="str" cm="1">
        <f t="array" ref="AG68">_xlfn.IFS($D68="","",AND(AE68=$C68,AF68=$D68),3,($C68-$D68)/MAX(ABS($C68-$D68),1)=(AE68-AF68)/MAX(ABS(AE68-AF68),1),1,TRUE,0)</f>
        <v/>
      </c>
      <c r="AH68" s="18"/>
      <c r="AI68" s="19"/>
      <c r="AJ68" s="33" t="str" cm="1">
        <f t="array" ref="AJ68">_xlfn.IFS($D68="","",AND(AH68=$C68,AI68=$D68),3,($C68-$D68)/MAX(ABS($C68-$D68),1)=(AH68-AI68)/MAX(ABS(AH68-AI68),1),1,TRUE,0)</f>
        <v/>
      </c>
      <c r="AK68" s="18"/>
      <c r="AL68" s="19"/>
      <c r="AM68" s="33" t="str" cm="1">
        <f t="array" ref="AM68">_xlfn.IFS($D68="","",AND(AK68=$C68,AL68=$D68),3,($C68-$D68)/MAX(ABS($C68-$D68),1)=(AK68-AL68)/MAX(ABS(AK68-AL68),1),1,TRUE,0)</f>
        <v/>
      </c>
      <c r="AN68" s="18"/>
      <c r="AO68" s="19"/>
      <c r="AP68" s="33" t="str" cm="1">
        <f t="array" ref="AP68">_xlfn.IFS($D68="","",AND(AN68=$C68,AO68=$D68),3,($C68-$D68)/MAX(ABS($C68-$D68),1)=(AN68-AO68)/MAX(ABS(AN68-AO68),1),1,TRUE,0)</f>
        <v/>
      </c>
      <c r="AQ68" s="18"/>
      <c r="AR68" s="19"/>
      <c r="AS68" s="33" t="str" cm="1">
        <f t="array" ref="AS68">_xlfn.IFS($D68="","",AND(AQ68=$C68,AR68=$D68),3,($C68-$D68)/MAX(ABS($C68-$D68),1)=(AQ68-AR68)/MAX(ABS(AQ68-AR68),1),1,TRUE,0)</f>
        <v/>
      </c>
      <c r="AT68" s="18"/>
      <c r="AU68" s="19"/>
      <c r="AV68" s="33" t="str" cm="1">
        <f t="array" ref="AV68">_xlfn.IFS($D68="","",AND(AT68=$C68,AU68=$D68),3,($C68-$D68)/MAX(ABS($C68-$D68),1)=(AT68-AU68)/MAX(ABS(AT68-AU68),1),1,TRUE,0)</f>
        <v/>
      </c>
      <c r="AW68" s="18"/>
      <c r="AX68" s="19"/>
      <c r="AY68" s="33" t="str" cm="1">
        <f t="array" ref="AY68">_xlfn.IFS($D68="","",AND(AW68=$C68,AX68=$D68),3,($C68-$D68)/MAX(ABS($C68-$D68),1)=(AW68-AX68)/MAX(ABS(AW68-AX68),1),1,TRUE,0)</f>
        <v/>
      </c>
      <c r="AZ68" s="18"/>
      <c r="BA68" s="19"/>
      <c r="BB68" s="33" t="str" cm="1">
        <f t="array" ref="BB68">_xlfn.IFS($D68="","",AND(AZ68=$C68,BA68=$D68),3,($C68-$D68)/MAX(ABS($C68-$D68),1)=(AZ68-BA68)/MAX(ABS(AZ68-BA68),1),1,TRUE,0)</f>
        <v/>
      </c>
      <c r="BC68" s="18"/>
      <c r="BD68" s="19"/>
      <c r="BE68" s="33" t="str" cm="1">
        <f t="array" ref="BE68">_xlfn.IFS($D68="","",AND(BC68=$C68,BD68=$D68),3,($C68-$D68)/MAX(ABS($C68-$D68),1)=(BC68-BD68)/MAX(ABS(BC68-BD68),1),1,TRUE,0)</f>
        <v/>
      </c>
      <c r="BF68" s="18"/>
      <c r="BG68" s="19"/>
      <c r="BH68" s="33" t="str" cm="1">
        <f t="array" ref="BH68">_xlfn.IFS($D68="","",AND(BF68=$C68,BG68=$D68),3,($C68-$D68)/MAX(ABS($C68-$D68),1)=(BF68-BG68)/MAX(ABS(BF68-BG68),1),1,TRUE,0)</f>
        <v/>
      </c>
      <c r="BI68" s="18"/>
      <c r="BJ68" s="19"/>
      <c r="BK68" s="33" t="str" cm="1">
        <f t="array" ref="BK68">_xlfn.IFS($D68="","",AND(BI68=$C68,BJ68=$D68),3,($C68-$D68)/MAX(ABS($C68-$D68),1)=(BI68-BJ68)/MAX(ABS(BI68-BJ68),1),1,TRUE,0)</f>
        <v/>
      </c>
      <c r="BL68" s="18"/>
      <c r="BM68" s="19"/>
      <c r="BN68" s="33" t="str" cm="1">
        <f t="array" ref="BN68">_xlfn.IFS($D68="","",AND(BL68=$C68,BM68=$D68),3,($C68-$D68)/MAX(ABS($C68-$D68),1)=(BL68-BM68)/MAX(ABS(BL68-BM68),1),1,TRUE,0)</f>
        <v/>
      </c>
      <c r="BO68" s="18"/>
      <c r="BP68" s="19"/>
      <c r="BQ68" s="33" t="str" cm="1">
        <f t="array" ref="BQ68">_xlfn.IFS($D68="","",AND(BO68=$C68,BP68=$D68),3,($C68-$D68)/MAX(ABS($C68-$D68),1)=(BO68-BP68)/MAX(ABS(BO68-BP68),1),1,TRUE,0)</f>
        <v/>
      </c>
      <c r="BR68" s="18"/>
      <c r="BS68" s="19"/>
      <c r="BT68" s="33" t="str" cm="1">
        <f t="array" ref="BT68">_xlfn.IFS($D68="","",AND(BR68=$C68,BS68=$D68),3,($C68-$D68)/MAX(ABS($C68-$D68),1)=(BR68-BS68)/MAX(ABS(BR68-BS68),1),1,TRUE,0)</f>
        <v/>
      </c>
      <c r="BU68" s="18"/>
      <c r="BV68" s="19"/>
      <c r="BW68" s="33" t="str" cm="1">
        <f t="array" ref="BW68">_xlfn.IFS($D68="","",AND(BU68=$C68,BV68=$D68),3,($C68-$D68)/MAX(ABS($C68-$D68),1)=(BU68-BV68)/MAX(ABS(BU68-BV68),1),1,TRUE,0)</f>
        <v/>
      </c>
      <c r="BX68" s="18"/>
      <c r="BY68" s="19"/>
      <c r="BZ68" s="33" t="str" cm="1">
        <f t="array" ref="BZ68">_xlfn.IFS($D68="","",AND(BX68=$C68,BY68=$D68),3,($C68-$D68)/MAX(ABS($C68-$D68),1)=(BX68-BY68)/MAX(ABS(BX68-BY68),1),1,TRUE,0)</f>
        <v/>
      </c>
      <c r="CA68" s="18"/>
      <c r="CB68" s="19"/>
      <c r="CC68" s="33" t="str" cm="1">
        <f t="array" ref="CC68">_xlfn.IFS($D68="","",AND(CA68=$C68,CB68=$D68),3,($C68-$D68)/MAX(ABS($C68-$D68),1)=(CA68-CB68)/MAX(ABS(CA68-CB68),1),1,TRUE,0)</f>
        <v/>
      </c>
      <c r="CD68" s="18"/>
      <c r="CE68" s="19"/>
      <c r="CF68" s="33" t="str" cm="1">
        <f t="array" ref="CF68">_xlfn.IFS($D68="","",AND(CD68=$C68,CE68=$D68),3,($C68-$D68)/MAX(ABS($C68-$D68),1)=(CD68-CE68)/MAX(ABS(CD68-CE68),1),1,TRUE,0)</f>
        <v/>
      </c>
      <c r="CG68" s="18"/>
      <c r="CH68" s="19"/>
      <c r="CI68" s="33" t="str" cm="1">
        <f t="array" ref="CI68">_xlfn.IFS($D68="","",AND(CG68=$C68,CH68=$D68),3,($C68-$D68)/MAX(ABS($C68-$D68),1)=(CG68-CH68)/MAX(ABS(CG68-CH68),1),1,TRUE,0)</f>
        <v/>
      </c>
      <c r="CJ68" s="18"/>
      <c r="CK68" s="19"/>
      <c r="CL68" s="33" t="str" cm="1">
        <f t="array" ref="CL68">_xlfn.IFS($D68="","",AND(CJ68=$C68,CK68=$D68),3,($C68-$D68)/MAX(ABS($C68-$D68),1)=(CJ68-CK68)/MAX(ABS(CJ68-CK68),1),1,TRUE,0)</f>
        <v/>
      </c>
      <c r="CM68" s="18"/>
      <c r="CN68" s="19"/>
      <c r="CO68" s="33" t="str" cm="1">
        <f t="array" ref="CO68">_xlfn.IFS($D68="","",AND(CM68=$C68,CN68=$D68),3,($C68-$D68)/MAX(ABS($C68-$D68),1)=(CM68-CN68)/MAX(ABS(CM68-CN68),1),1,TRUE,0)</f>
        <v/>
      </c>
      <c r="CP68" s="18"/>
      <c r="CQ68" s="19"/>
      <c r="CR68" s="33" t="str" cm="1">
        <f t="array" ref="CR68">_xlfn.IFS($D68="","",AND(CP68=$C68,CQ68=$D68),3,($C68-$D68)/MAX(ABS($C68-$D68),1)=(CP68-CQ68)/MAX(ABS(CP68-CQ68),1),1,TRUE,0)</f>
        <v/>
      </c>
      <c r="CS68" s="18"/>
      <c r="CT68" s="19"/>
      <c r="CU68" s="33" t="str" cm="1">
        <f t="array" ref="CU68">_xlfn.IFS($D68="","",AND(CS68=$C68,CT68=$D68),3,($C68-$D68)/MAX(ABS($C68-$D68),1)=(CS68-CT68)/MAX(ABS(CS68-CT68),1),1,TRUE,0)</f>
        <v/>
      </c>
      <c r="CV68" s="18"/>
      <c r="CW68" s="19"/>
      <c r="CX68" s="33" t="str" cm="1">
        <f t="array" ref="CX68">_xlfn.IFS($D68="","",AND(CV68=$C68,CW68=$D68),3,($C68-$D68)/MAX(ABS($C68-$D68),1)=(CV68-CW68)/MAX(ABS(CV68-CW68),1),1,TRUE,0)</f>
        <v/>
      </c>
      <c r="CY68" s="18"/>
      <c r="CZ68" s="19"/>
      <c r="DA68" s="33" t="str" cm="1">
        <f t="array" ref="DA68">_xlfn.IFS($D68="","",AND(CY68=$C68,CZ68=$D68),3,($C68-$D68)/MAX(ABS($C68-$D68),1)=(CY68-CZ68)/MAX(ABS(CY68-CZ68),1),1,TRUE,0)</f>
        <v/>
      </c>
      <c r="DB68" s="37"/>
      <c r="DC68" s="38"/>
      <c r="DD68" s="33" t="str" cm="1">
        <f t="array" ref="DD68">_xlfn.IFS($D68="","",AND(DB68=$C68,DC68=$D68),3,($C68-$D68)/MAX(ABS($C68-$D68),1)=(DB68-DC68)/MAX(ABS(DB68-DC68),1),1,TRUE,0)</f>
        <v/>
      </c>
      <c r="DE68" s="18"/>
      <c r="DF68" s="19"/>
      <c r="DG68" s="33" t="str" cm="1">
        <f t="array" ref="DG68">_xlfn.IFS($D68="","",AND(DE68=$C68,DF68=$D68),3,($C68-$D68)/MAX(ABS($C68-$D68),1)=(DE68-DF68)/MAX(ABS(DE68-DF68),1),1,TRUE,0)</f>
        <v/>
      </c>
      <c r="DH68" s="18"/>
      <c r="DI68" s="19"/>
      <c r="DJ68" s="33" t="str" cm="1">
        <f t="array" ref="DJ68">_xlfn.IFS($D68="","",AND(DH68=$C68,DI68=$D68),3,($C68-$D68)/MAX(ABS($C68-$D68),1)=(DH68-DI68)/MAX(ABS(DH68-DI68),1),1,TRUE,0)</f>
        <v/>
      </c>
      <c r="DK68" s="18"/>
      <c r="DL68" s="19"/>
      <c r="DM68" s="33" t="str" cm="1">
        <f t="array" ref="DM68">_xlfn.IFS($D68="","",AND(DK68=$C68,DL68=$D68),3,($C68-$D68)/MAX(ABS($C68-$D68),1)=(DK68-DL68)/MAX(ABS(DK68-DL68),1),1,TRUE,0)</f>
        <v/>
      </c>
      <c r="DN68" s="18"/>
      <c r="DO68" s="19"/>
      <c r="DP68" s="33" t="str" cm="1">
        <f t="array" ref="DP68">_xlfn.IFS($D68="","",AND(DN68=$C68,DO68=$D68),3,($C68-$D68)/MAX(ABS($C68-$D68),1)=(DN68-DO68)/MAX(ABS(DN68-DO68),1),1,TRUE,0)</f>
        <v/>
      </c>
      <c r="DQ68" s="18"/>
      <c r="DR68" s="19"/>
      <c r="DS68" s="33" t="str" cm="1">
        <f t="array" ref="DS68">_xlfn.IFS($D68="","",AND(DQ68=$C68,DR68=$D68),3,($C68-$D68)/MAX(ABS($C68-$D68),1)=(DQ68-DR68)/MAX(ABS(DQ68-DR68),1),1,TRUE,0)</f>
        <v/>
      </c>
      <c r="DT68" s="18"/>
      <c r="DU68" s="19"/>
      <c r="DV68" s="33" t="str" cm="1">
        <f t="array" ref="DV68">_xlfn.IFS($D68="","",AND(DT68=$C68,DU68=$D68),3,($C68-$D68)/MAX(ABS($C68-$D68),1)=(DT68-DU68)/MAX(ABS(DT68-DU68),1),1,TRUE,0)</f>
        <v/>
      </c>
      <c r="DW68" s="18"/>
      <c r="DX68" s="19"/>
      <c r="DY68" s="33" t="str" cm="1">
        <f t="array" ref="DY68">_xlfn.IFS($D68="","",AND(DW68=$C68,DX68=$D68),3,($C68-$D68)/MAX(ABS($C68-$D68),1)=(DW68-DX68)/MAX(ABS(DW68-DX68),1),1,TRUE,0)</f>
        <v/>
      </c>
      <c r="DZ68" s="18"/>
      <c r="EA68" s="19"/>
      <c r="EB68" s="33" t="str" cm="1">
        <f t="array" ref="EB68">_xlfn.IFS($D68="","",AND(DZ68=$C68,EA68=$D68),3,($C68-$D68)/MAX(ABS($C68-$D68),1)=(DZ68-EA68)/MAX(ABS(DZ68-EA68),1),1,TRUE,0)</f>
        <v/>
      </c>
      <c r="EC68" s="18"/>
      <c r="ED68" s="19"/>
      <c r="EE68" s="33" t="str" cm="1">
        <f t="array" ref="EE68">_xlfn.IFS($D68="","",AND(EC68=$C68,ED68=$D68),3,($C68-$D68)/MAX(ABS($C68-$D68),1)=(EC68-ED68)/MAX(ABS(EC68-ED68),1),1,TRUE,0)</f>
        <v/>
      </c>
      <c r="EF68" s="18"/>
      <c r="EG68" s="19"/>
      <c r="EH68" s="33" t="str" cm="1">
        <f t="array" ref="EH68">_xlfn.IFS($D68="","",AND(EF68=$C68,EG68=$D68),3,($C68-$D68)/MAX(ABS($C68-$D68),1)=(EF68-EG68)/MAX(ABS(EF68-EG68),1),1,TRUE,0)</f>
        <v/>
      </c>
      <c r="EI68" s="50"/>
      <c r="EJ68" s="51"/>
      <c r="EK68" s="33" t="str" cm="1">
        <f t="array" ref="EK68">_xlfn.IFS($D68="","",AND(EI68=$C68,EJ68=$D68),3,($C68-$D68)/MAX(ABS($C68-$D68),1)=(EI68-EJ68)/MAX(ABS(EI68-EJ68),1),1,TRUE,0)</f>
        <v/>
      </c>
      <c r="EL68" s="18"/>
      <c r="EM68" s="19"/>
      <c r="EN68" s="33" t="str" cm="1">
        <f t="array" ref="EN68">_xlfn.IFS($D68="","",AND(EL68=$C68,EM68=$D68),3,($C68-$D68)/MAX(ABS($C68-$D68),1)=(EL68-EM68)/MAX(ABS(EL68-EM68),1),1,TRUE,0)</f>
        <v/>
      </c>
      <c r="EO68" s="18"/>
      <c r="EP68" s="19"/>
      <c r="EQ68" s="33" t="str" cm="1">
        <f t="array" ref="EQ68">_xlfn.IFS($D68="","",AND(EO68=$C68,EP68=$D68),3,($C68-$D68)/MAX(ABS($C68-$D68),1)=(EO68-EP68)/MAX(ABS(EO68-EP68),1),1,TRUE,0)</f>
        <v/>
      </c>
      <c r="ER68" s="18"/>
      <c r="ES68" s="19"/>
      <c r="ET68" s="33" t="str" cm="1">
        <f t="array" ref="ET68">_xlfn.IFS($D68="","",AND(ER68=$C68,ES68=$D68),3,($C68-$D68)/MAX(ABS($C68-$D68),1)=(ER68-ES68)/MAX(ABS(ER68-ES68),1),1,TRUE,0)</f>
        <v/>
      </c>
      <c r="EU68" s="18"/>
      <c r="EV68" s="19"/>
      <c r="EW68" s="33" t="str" cm="1">
        <f t="array" ref="EW68">_xlfn.IFS($D68="","",AND(EU68=$C68,EV68=$D68),3,($C68-$D68)/MAX(ABS($C68-$D68),1)=(EU68-EV68)/MAX(ABS(EU68-EV68),1),1,TRUE,0)</f>
        <v/>
      </c>
      <c r="EX68" s="18"/>
      <c r="EY68" s="19"/>
      <c r="EZ68" s="33" t="str" cm="1">
        <f t="array" ref="EZ68">_xlfn.IFS($D68="","",AND(EX68=$C68,EY68=$D68),3,($C68-$D68)/MAX(ABS($C68-$D68),1)=(EX68-EY68)/MAX(ABS(EX68-EY68),1),1,TRUE,0)</f>
        <v/>
      </c>
      <c r="FA68" s="18"/>
      <c r="FB68" s="19"/>
      <c r="FC68" s="33" t="str" cm="1">
        <f t="array" ref="FC68">_xlfn.IFS($D68="","",AND(FA68=$C68,FB68=$D68),3,($C68-$D68)/MAX(ABS($C68-$D68),1)=(FA68-FB68)/MAX(ABS(FA68-FB68),1),1,TRUE,0)</f>
        <v/>
      </c>
      <c r="FD68" s="18"/>
      <c r="FE68" s="19"/>
      <c r="FF68" s="33" t="str" cm="1">
        <f t="array" ref="FF68">_xlfn.IFS($D68="","",AND(FD68=$C68,FE68=$D68),3,($C68-$D68)/MAX(ABS($C68-$D68),1)=(FD68-FE68)/MAX(ABS(FD68-FE68),1),1,TRUE,0)</f>
        <v/>
      </c>
      <c r="FG68" s="18"/>
      <c r="FH68" s="19"/>
      <c r="FI68" s="33" t="str" cm="1">
        <f t="array" ref="FI68">_xlfn.IFS($D68="","",AND(FG68=$C68,FH68=$D68),3,($C68-$D68)/MAX(ABS($C68-$D68),1)=(FG68-FH68)/MAX(ABS(FG68-FH68),1),1,TRUE,0)</f>
        <v/>
      </c>
      <c r="FJ68" s="18"/>
      <c r="FK68" s="19"/>
      <c r="FL68" s="33" t="str" cm="1">
        <f t="array" ref="FL68">_xlfn.IFS($D68="","",AND(FJ68=$C68,FK68=$D68),3,($C68-$D68)/MAX(ABS($C68-$D68),1)=(FJ68-FK68)/MAX(ABS(FJ68-FK68),1),1,TRUE,0)</f>
        <v/>
      </c>
      <c r="FM68" s="18"/>
      <c r="FN68" s="19"/>
      <c r="FO68" s="33" t="str" cm="1">
        <f t="array" ref="FO68">_xlfn.IFS($D68="","",AND(FM68=$C68,FN68=$D68),3,($C68-$D68)/MAX(ABS($C68-$D68),1)=(FM68-FN68)/MAX(ABS(FM68-FN68),1),1,TRUE,0)</f>
        <v/>
      </c>
      <c r="FP68" s="18"/>
      <c r="FQ68" s="19"/>
      <c r="FR68" s="33" t="str" cm="1">
        <f t="array" ref="FR68">_xlfn.IFS($D68="","",AND(FP68=$C68,FQ68=$D68),3,($C68-$D68)/MAX(ABS($C68-$D68),1)=(FP68-FQ68)/MAX(ABS(FP68-FQ68),1),1,TRUE,0)</f>
        <v/>
      </c>
      <c r="FS68" s="18"/>
      <c r="FT68" s="19"/>
      <c r="FU68" s="33" t="str" cm="1">
        <f t="array" ref="FU68">_xlfn.IFS($D68="","",AND(FS68=$C68,FT68=$D68),3,($C68-$D68)/MAX(ABS($C68-$D68),1)=(FS68-FT68)/MAX(ABS(FS68-FT68),1),1,TRUE,0)</f>
        <v/>
      </c>
      <c r="FV68" s="18"/>
      <c r="FW68" s="19"/>
      <c r="FX68" s="33" t="str" cm="1">
        <f t="array" ref="FX68">_xlfn.IFS($D68="","",AND(FV68=$C68,FW68=$D68),3,($C68-$D68)/MAX(ABS($C68-$D68),1)=(FV68-FW68)/MAX(ABS(FV68-FW68),1),1,TRUE,0)</f>
        <v/>
      </c>
      <c r="FY68" s="18"/>
      <c r="FZ68" s="19"/>
      <c r="GA68" s="33" t="str" cm="1">
        <f t="array" ref="GA68">_xlfn.IFS($D68="","",AND(FY68=$C68,FZ68=$D68),3,($C68-$D68)/MAX(ABS($C68-$D68),1)=(FY68-FZ68)/MAX(ABS(FY68-FZ68),1),1,TRUE,0)</f>
        <v/>
      </c>
      <c r="GB68" s="18"/>
      <c r="GC68" s="19"/>
      <c r="GD68" s="33" t="str" cm="1">
        <f t="array" ref="GD68">_xlfn.IFS($D68="","",AND(GB68=$C68,GC68=$D68),3,($C68-$D68)/MAX(ABS($C68-$D68),1)=(GB68-GC68)/MAX(ABS(GB68-GC68),1),1,TRUE,0)</f>
        <v/>
      </c>
      <c r="GE68" s="52"/>
      <c r="GF68" s="19"/>
      <c r="GG68" s="33" t="str" cm="1">
        <f t="array" ref="GG68">_xlfn.IFS($D68="","",AND(GE68=$C68,GF68=$D68),3,($C68-$D68)/MAX(ABS($C68-$D68),1)=(GE68-GF68)/MAX(ABS(GE68-GF68),1),1,TRUE,0)</f>
        <v/>
      </c>
      <c r="GH68" s="18"/>
      <c r="GI68" s="19"/>
      <c r="GJ68" s="33" t="str" cm="1">
        <f t="array" ref="GJ68">_xlfn.IFS($D68="","",AND(GH68=$C68,GI68=$D68),3,($C68-$D68)/MAX(ABS($C68-$D68),1)=(GH68-GI68)/MAX(ABS(GH68-GI68),1),1,TRUE,0)</f>
        <v/>
      </c>
      <c r="GK68" s="18"/>
      <c r="GL68" s="19"/>
      <c r="GM68" s="33" t="str" cm="1">
        <f t="array" ref="GM68">_xlfn.IFS($D68="","",AND(GK68=$C68,GL68=$D68),3,($C68-$D68)/MAX(ABS($C68-$D68),1)=(GK68-GL68)/MAX(ABS(GK68-GL68),1),1,TRUE,0)</f>
        <v/>
      </c>
      <c r="GN68" s="18"/>
      <c r="GO68" s="19"/>
      <c r="GP68" s="33" t="str" cm="1">
        <f t="array" ref="GP68">_xlfn.IFS($D68="","",AND(GN68=$C68,GO68=$D68),3,($C68-$D68)/MAX(ABS($C68-$D68),1)=(GN68-GO68)/MAX(ABS(GN68-GO68),1),1,TRUE,0)</f>
        <v/>
      </c>
      <c r="GQ68" s="18"/>
      <c r="GR68" s="19"/>
      <c r="GS68" s="33" t="str" cm="1">
        <f t="array" ref="GS68">_xlfn.IFS($D68="","",AND(GQ68=$C68,GR68=$D68),3,($C68-$D68)/MAX(ABS($C68-$D68),1)=(GQ68-GR68)/MAX(ABS(GQ68-GR68),1),1,TRUE,0)</f>
        <v/>
      </c>
      <c r="GT68" s="18"/>
      <c r="GU68" s="19"/>
      <c r="GV68" s="33" t="str" cm="1">
        <f t="array" ref="GV68">_xlfn.IFS($D68="","",AND(GT68=$C68,GU68=$D68),3,($C68-$D68)/MAX(ABS($C68-$D68),1)=(GT68-GU68)/MAX(ABS(GT68-GU68),1),1,TRUE,0)</f>
        <v/>
      </c>
      <c r="GW68" s="18"/>
      <c r="GX68" s="19"/>
      <c r="GY68" s="33" t="str" cm="1">
        <f t="array" ref="GY68">_xlfn.IFS($D68="","",AND(GW68=$C68,GX68=$D68),3,($C68-$D68)/MAX(ABS($C68-$D68),1)=(GW68-GX68)/MAX(ABS(GW68-GX68),1),1,TRUE,0)</f>
        <v/>
      </c>
      <c r="GZ68" s="18"/>
      <c r="HA68" s="19"/>
      <c r="HB68" s="33" t="str" cm="1">
        <f t="array" ref="HB68">_xlfn.IFS($D68="","",AND(GZ68=$C68,HA68=$D68),3,($C68-$D68)/MAX(ABS($C68-$D68),1)=(GZ68-HA68)/MAX(ABS(GZ68-HA68),1),1,TRUE,0)</f>
        <v/>
      </c>
      <c r="HC68" s="18"/>
      <c r="HD68" s="19"/>
      <c r="HE68" s="33" t="str" cm="1">
        <f t="array" ref="HE68">_xlfn.IFS($D68="","",AND(HC68=$C68,HD68=$D68),3,($C68-$D68)/MAX(ABS($C68-$D68),1)=(HC68-HD68)/MAX(ABS(HC68-HD68),1),1,TRUE,0)</f>
        <v/>
      </c>
      <c r="HF68" s="18"/>
      <c r="HG68" s="19"/>
      <c r="HH68" s="33" t="str" cm="1">
        <f t="array" ref="HH68">_xlfn.IFS($D68="","",AND(HF68=$C68,HG68=$D68),3,($C68-$D68)/MAX(ABS($C68-$D68),1)=(HF68-HG68)/MAX(ABS(HF68-HG68),1),1,TRUE,0)</f>
        <v/>
      </c>
      <c r="HI68" s="18"/>
      <c r="HJ68" s="19"/>
      <c r="HK68" s="33" t="str" cm="1">
        <f t="array" ref="HK68">_xlfn.IFS($D68="","",AND(HI68=$C68,HJ68=$D68),3,($C68-$D68)/MAX(ABS($C68-$D68),1)=(HI68-HJ68)/MAX(ABS(HI68-HJ68),1),1,TRUE,0)</f>
        <v/>
      </c>
      <c r="HL68" s="18"/>
      <c r="HM68" s="19"/>
      <c r="HN68" s="33" t="str" cm="1">
        <f t="array" ref="HN68">_xlfn.IFS($D68="","",AND(HL68=$C68,HM68=$D68),3,($C68-$D68)/MAX(ABS($C68-$D68),1)=(HL68-HM68)/MAX(ABS(HL68-HM68),1),1,TRUE,0)</f>
        <v/>
      </c>
      <c r="HO68" s="18"/>
      <c r="HP68" s="19"/>
      <c r="HQ68" s="33" t="str" cm="1">
        <f t="array" ref="HQ68">_xlfn.IFS($D68="","",AND(HO68=$C68,HP68=$D68),3,($C68-$D68)/MAX(ABS($C68-$D68),1)=(HO68-HP68)/MAX(ABS(HO68-HP68),1),1,TRUE,0)</f>
        <v/>
      </c>
      <c r="HR68" s="18"/>
      <c r="HS68" s="19"/>
      <c r="HT68" s="33" t="str" cm="1">
        <f t="array" ref="HT68">_xlfn.IFS($D68="","",AND(HR68=$C68,HS68=$D68),3,($C68-$D68)/MAX(ABS($C68-$D68),1)=(HR68-HS68)/MAX(ABS(HR68-HS68),1),1,TRUE,0)</f>
        <v/>
      </c>
      <c r="HU68" s="18"/>
      <c r="HV68" s="19"/>
      <c r="HW68" s="33" t="str" cm="1">
        <f t="array" ref="HW68">_xlfn.IFS($D68="","",AND(HU68=$C68,HV68=$D68),3,($C68-$D68)/MAX(ABS($C68-$D68),1)=(HU68-HV68)/MAX(ABS(HU68-HV68),1),1,TRUE,0)</f>
        <v/>
      </c>
      <c r="HX68" s="18"/>
      <c r="HY68" s="19"/>
      <c r="HZ68" s="33" t="str" cm="1">
        <f t="array" ref="HZ68">_xlfn.IFS($D68="","",AND(HX68=$C68,HY68=$D68),3,($C68-$D68)/MAX(ABS($C68-$D68),1)=(HX68-HY68)/MAX(ABS(HX68-HY68),1),1,TRUE,0)</f>
        <v/>
      </c>
      <c r="IA68" s="18"/>
      <c r="IB68" s="19"/>
      <c r="IC68" s="33" t="str" cm="1">
        <f t="array" ref="IC68">_xlfn.IFS($D68="","",AND(IA68=$C68,IB68=$D68),3,($C68-$D68)/MAX(ABS($C68-$D68),1)=(IA68-IB68)/MAX(ABS(IA68-IB68),1),1,TRUE,0)</f>
        <v/>
      </c>
      <c r="ID68" s="18"/>
      <c r="IE68" s="19"/>
      <c r="IF68" s="33" t="str" cm="1">
        <f t="array" ref="IF68">_xlfn.IFS($D68="","",AND(ID68=$C68,IE68=$D68),3,($C68-$D68)/MAX(ABS($C68-$D68),1)=(ID68-IE68)/MAX(ABS(ID68-IE68),1),1,TRUE,0)</f>
        <v/>
      </c>
      <c r="IG68" s="18"/>
      <c r="IH68" s="19"/>
      <c r="II68" s="33" t="str" cm="1">
        <f t="array" ref="II68">_xlfn.IFS($D68="","",AND(IG68=$C68,IH68=$D68),3,($C68-$D68)/MAX(ABS($C68-$D68),1)=(IG68-IH68)/MAX(ABS(IG68-IH68),1),1,TRUE,0)</f>
        <v/>
      </c>
      <c r="IJ68" s="18"/>
      <c r="IK68" s="19"/>
      <c r="IL68" s="33" t="str" cm="1">
        <f t="array" ref="IL68">_xlfn.IFS($D68="","",AND(IJ68=$C68,IK68=$D68),3,($C68-$D68)/MAX(ABS($C68-$D68),1)=(IJ68-IK68)/MAX(ABS(IJ68-IK68),1),1,TRUE,0)</f>
        <v/>
      </c>
      <c r="IM68" s="18"/>
      <c r="IN68" s="19"/>
      <c r="IO68" s="33" t="str" cm="1">
        <f t="array" ref="IO68">_xlfn.IFS($D68="","",AND(IM68=$C68,IN68=$D68),3,($C68-$D68)/MAX(ABS($C68-$D68),1)=(IM68-IN68)/MAX(ABS(IM68-IN68),1),1,TRUE,0)</f>
        <v/>
      </c>
      <c r="IP68" s="18"/>
      <c r="IQ68" s="19"/>
      <c r="IR68" s="33" t="str" cm="1">
        <f t="array" ref="IR68">_xlfn.IFS($D68="","",AND(IP68=$C68,IQ68=$D68),3,($C68-$D68)/MAX(ABS($C68-$D68),1)=(IP68-IQ68)/MAX(ABS(IP68-IQ68),1),1,TRUE,0)</f>
        <v/>
      </c>
      <c r="IS68" s="18"/>
      <c r="IT68" s="19"/>
      <c r="IU68" s="33" t="str" cm="1">
        <f t="array" ref="IU68">_xlfn.IFS($D68="","",AND(IS68=$C68,IT68=$D68),3,($C68-$D68)/MAX(ABS($C68-$D68),1)=(IS68-IT68)/MAX(ABS(IS68-IT68),1),1,TRUE,0)</f>
        <v/>
      </c>
      <c r="IV68" s="18"/>
      <c r="IW68" s="19"/>
      <c r="IX68" s="33" t="str" cm="1">
        <f t="array" ref="IX68">_xlfn.IFS($D68="","",AND(IV68=$C68,IW68=$D68),3,($C68-$D68)/MAX(ABS($C68-$D68),1)=(IV68-IW68)/MAX(ABS(IV68-IW68),1),1,TRUE,0)</f>
        <v/>
      </c>
      <c r="IY68" s="18"/>
      <c r="IZ68" s="19"/>
      <c r="JA68" s="33" t="str" cm="1">
        <f t="array" ref="JA68">_xlfn.IFS($D68="","",AND(IY68=$C68,IZ68=$D68),3,($C68-$D68)/MAX(ABS($C68-$D68),1)=(IY68-IZ68)/MAX(ABS(IY68-IZ68),1),1,TRUE,0)</f>
        <v/>
      </c>
      <c r="JB68" s="18"/>
      <c r="JC68" s="19"/>
      <c r="JD68" s="33" t="str" cm="1">
        <f t="array" ref="JD68">_xlfn.IFS($D68="","",AND(JB68=$C68,JC68=$D68),3,($C68-$D68)/MAX(ABS($C68-$D68),1)=(JB68-JC68)/MAX(ABS(JB68-JC68),1),1,TRUE,0)</f>
        <v/>
      </c>
    </row>
    <row r="69" spans="1:264" ht="15" thickBot="1" x14ac:dyDescent="0.35">
      <c r="A69" s="22">
        <v>46200</v>
      </c>
      <c r="B69" s="28" t="s">
        <v>57</v>
      </c>
      <c r="C69" s="53" t="str" cm="1">
        <f t="array" ref="C69">_xlfn.LET(
_xlpm.x,_xlfn.XLOOKUP(1,(Scores_Fixtures[Date]=A69)*(Scores_Fixtures[Home.1]=B69),Scores_Fixtures[Score.1],""),
IF(_xlpm.x="","",_xlpm.x)
)</f>
        <v/>
      </c>
      <c r="D69" s="53" t="str" cm="1">
        <f t="array" ref="D69">_xlfn.LET(
_xlpm.x,_xlfn.XLOOKUP(1,(Scores_Fixtures[Date]=A69)*(Scores_Fixtures[Home.1]=B69),Scores_Fixtures[Score.2],""),
IF(_xlpm.x="","",_xlpm.x)
)</f>
        <v/>
      </c>
      <c r="E69" s="12" t="s">
        <v>9</v>
      </c>
      <c r="F69" s="15"/>
      <c r="G69" s="53"/>
      <c r="H69" s="53"/>
      <c r="I69" s="33" t="str" cm="1">
        <f t="array" ref="I69">_xlfn.IFS($D69="","",AND(G69=$C69,H69=$D69),3,($C69-$D69)/MAX(ABS($C69-$D69),1)=(G69-H69)/MAX(ABS(G69-H69),1),1,TRUE,0)</f>
        <v/>
      </c>
      <c r="J69" s="18"/>
      <c r="K69" s="19"/>
      <c r="L69" s="33" t="str" cm="1">
        <f t="array" ref="L69">_xlfn.IFS($D69="","",AND(J69=$C69,K69=$D69),3,($C69-$D69)/MAX(ABS($C69-$D69),1)=(J69-K69)/MAX(ABS(J69-K69),1),1,TRUE,0)</f>
        <v/>
      </c>
      <c r="M69" s="18"/>
      <c r="N69" s="19"/>
      <c r="O69" s="33" t="str" cm="1">
        <f t="array" ref="O69">_xlfn.IFS($D69="","",AND(M69=$C69,N69=$D69),3,($C69-$D69)/MAX(ABS($C69-$D69),1)=(M69-N69)/MAX(ABS(M69-N69),1),1,TRUE,0)</f>
        <v/>
      </c>
      <c r="P69" s="18"/>
      <c r="Q69" s="19"/>
      <c r="R69" s="33" t="str" cm="1">
        <f t="array" ref="R69">_xlfn.IFS($D69="","",AND(P69=$C69,Q69=$D69),3,($C69-$D69)/MAX(ABS($C69-$D69),1)=(P69-Q69)/MAX(ABS(P69-Q69),1),1,TRUE,0)</f>
        <v/>
      </c>
      <c r="S69" s="18"/>
      <c r="T69" s="19"/>
      <c r="U69" s="33" t="str" cm="1">
        <f t="array" ref="U69">_xlfn.IFS($D69="","",AND(S69=$C69,T69=$D69),3,($C69-$D69)/MAX(ABS($C69-$D69),1)=(S69-T69)/MAX(ABS(S69-T69),1),1,TRUE,0)</f>
        <v/>
      </c>
      <c r="V69" s="18"/>
      <c r="W69" s="19"/>
      <c r="X69" s="33" t="str" cm="1">
        <f t="array" ref="X69">_xlfn.IFS($D69="","",AND(V69=$C69,W69=$D69),3,($C69-$D69)/MAX(ABS($C69-$D69),1)=(V69-W69)/MAX(ABS(V69-W69),1),1,TRUE,0)</f>
        <v/>
      </c>
      <c r="Y69" s="18"/>
      <c r="Z69" s="19"/>
      <c r="AA69" s="33" t="str" cm="1">
        <f t="array" ref="AA69">_xlfn.IFS($D69="","",AND(Y69=$C69,Z69=$D69),3,($C69-$D69)/MAX(ABS($C69-$D69),1)=(Y69-Z69)/MAX(ABS(Y69-Z69),1),1,TRUE,0)</f>
        <v/>
      </c>
      <c r="AB69" s="18"/>
      <c r="AC69" s="19"/>
      <c r="AD69" s="33" t="str" cm="1">
        <f t="array" ref="AD69">_xlfn.IFS($D69="","",AND(AB69=$C69,AC69=$D69),3,($C69-$D69)/MAX(ABS($C69-$D69),1)=(AB69-AC69)/MAX(ABS(AB69-AC69),1),1,TRUE,0)</f>
        <v/>
      </c>
      <c r="AE69" s="18"/>
      <c r="AF69" s="19"/>
      <c r="AG69" s="33" t="str" cm="1">
        <f t="array" ref="AG69">_xlfn.IFS($D69="","",AND(AE69=$C69,AF69=$D69),3,($C69-$D69)/MAX(ABS($C69-$D69),1)=(AE69-AF69)/MAX(ABS(AE69-AF69),1),1,TRUE,0)</f>
        <v/>
      </c>
      <c r="AH69" s="18"/>
      <c r="AI69" s="19"/>
      <c r="AJ69" s="33" t="str" cm="1">
        <f t="array" ref="AJ69">_xlfn.IFS($D69="","",AND(AH69=$C69,AI69=$D69),3,($C69-$D69)/MAX(ABS($C69-$D69),1)=(AH69-AI69)/MAX(ABS(AH69-AI69),1),1,TRUE,0)</f>
        <v/>
      </c>
      <c r="AK69" s="18"/>
      <c r="AL69" s="19"/>
      <c r="AM69" s="33" t="str" cm="1">
        <f t="array" ref="AM69">_xlfn.IFS($D69="","",AND(AK69=$C69,AL69=$D69),3,($C69-$D69)/MAX(ABS($C69-$D69),1)=(AK69-AL69)/MAX(ABS(AK69-AL69),1),1,TRUE,0)</f>
        <v/>
      </c>
      <c r="AN69" s="18"/>
      <c r="AO69" s="19"/>
      <c r="AP69" s="33" t="str" cm="1">
        <f t="array" ref="AP69">_xlfn.IFS($D69="","",AND(AN69=$C69,AO69=$D69),3,($C69-$D69)/MAX(ABS($C69-$D69),1)=(AN69-AO69)/MAX(ABS(AN69-AO69),1),1,TRUE,0)</f>
        <v/>
      </c>
      <c r="AQ69" s="18"/>
      <c r="AR69" s="19"/>
      <c r="AS69" s="33" t="str" cm="1">
        <f t="array" ref="AS69">_xlfn.IFS($D69="","",AND(AQ69=$C69,AR69=$D69),3,($C69-$D69)/MAX(ABS($C69-$D69),1)=(AQ69-AR69)/MAX(ABS(AQ69-AR69),1),1,TRUE,0)</f>
        <v/>
      </c>
      <c r="AT69" s="18"/>
      <c r="AU69" s="19"/>
      <c r="AV69" s="33" t="str" cm="1">
        <f t="array" ref="AV69">_xlfn.IFS($D69="","",AND(AT69=$C69,AU69=$D69),3,($C69-$D69)/MAX(ABS($C69-$D69),1)=(AT69-AU69)/MAX(ABS(AT69-AU69),1),1,TRUE,0)</f>
        <v/>
      </c>
      <c r="AW69" s="18"/>
      <c r="AX69" s="19"/>
      <c r="AY69" s="33" t="str" cm="1">
        <f t="array" ref="AY69">_xlfn.IFS($D69="","",AND(AW69=$C69,AX69=$D69),3,($C69-$D69)/MAX(ABS($C69-$D69),1)=(AW69-AX69)/MAX(ABS(AW69-AX69),1),1,TRUE,0)</f>
        <v/>
      </c>
      <c r="AZ69" s="18"/>
      <c r="BA69" s="19"/>
      <c r="BB69" s="33" t="str" cm="1">
        <f t="array" ref="BB69">_xlfn.IFS($D69="","",AND(AZ69=$C69,BA69=$D69),3,($C69-$D69)/MAX(ABS($C69-$D69),1)=(AZ69-BA69)/MAX(ABS(AZ69-BA69),1),1,TRUE,0)</f>
        <v/>
      </c>
      <c r="BC69" s="18"/>
      <c r="BD69" s="19"/>
      <c r="BE69" s="33" t="str" cm="1">
        <f t="array" ref="BE69">_xlfn.IFS($D69="","",AND(BC69=$C69,BD69=$D69),3,($C69-$D69)/MAX(ABS($C69-$D69),1)=(BC69-BD69)/MAX(ABS(BC69-BD69),1),1,TRUE,0)</f>
        <v/>
      </c>
      <c r="BF69" s="18"/>
      <c r="BG69" s="19"/>
      <c r="BH69" s="33" t="str" cm="1">
        <f t="array" ref="BH69">_xlfn.IFS($D69="","",AND(BF69=$C69,BG69=$D69),3,($C69-$D69)/MAX(ABS($C69-$D69),1)=(BF69-BG69)/MAX(ABS(BF69-BG69),1),1,TRUE,0)</f>
        <v/>
      </c>
      <c r="BI69" s="18"/>
      <c r="BJ69" s="19"/>
      <c r="BK69" s="33" t="str" cm="1">
        <f t="array" ref="BK69">_xlfn.IFS($D69="","",AND(BI69=$C69,BJ69=$D69),3,($C69-$D69)/MAX(ABS($C69-$D69),1)=(BI69-BJ69)/MAX(ABS(BI69-BJ69),1),1,TRUE,0)</f>
        <v/>
      </c>
      <c r="BL69" s="18"/>
      <c r="BM69" s="19"/>
      <c r="BN69" s="33" t="str" cm="1">
        <f t="array" ref="BN69">_xlfn.IFS($D69="","",AND(BL69=$C69,BM69=$D69),3,($C69-$D69)/MAX(ABS($C69-$D69),1)=(BL69-BM69)/MAX(ABS(BL69-BM69),1),1,TRUE,0)</f>
        <v/>
      </c>
      <c r="BO69" s="18"/>
      <c r="BP69" s="19"/>
      <c r="BQ69" s="33" t="str" cm="1">
        <f t="array" ref="BQ69">_xlfn.IFS($D69="","",AND(BO69=$C69,BP69=$D69),3,($C69-$D69)/MAX(ABS($C69-$D69),1)=(BO69-BP69)/MAX(ABS(BO69-BP69),1),1,TRUE,0)</f>
        <v/>
      </c>
      <c r="BR69" s="18"/>
      <c r="BS69" s="19"/>
      <c r="BT69" s="33" t="str" cm="1">
        <f t="array" ref="BT69">_xlfn.IFS($D69="","",AND(BR69=$C69,BS69=$D69),3,($C69-$D69)/MAX(ABS($C69-$D69),1)=(BR69-BS69)/MAX(ABS(BR69-BS69),1),1,TRUE,0)</f>
        <v/>
      </c>
      <c r="BU69" s="18"/>
      <c r="BV69" s="19"/>
      <c r="BW69" s="33" t="str" cm="1">
        <f t="array" ref="BW69">_xlfn.IFS($D69="","",AND(BU69=$C69,BV69=$D69),3,($C69-$D69)/MAX(ABS($C69-$D69),1)=(BU69-BV69)/MAX(ABS(BU69-BV69),1),1,TRUE,0)</f>
        <v/>
      </c>
      <c r="BX69" s="18"/>
      <c r="BY69" s="19"/>
      <c r="BZ69" s="33" t="str" cm="1">
        <f t="array" ref="BZ69">_xlfn.IFS($D69="","",AND(BX69=$C69,BY69=$D69),3,($C69-$D69)/MAX(ABS($C69-$D69),1)=(BX69-BY69)/MAX(ABS(BX69-BY69),1),1,TRUE,0)</f>
        <v/>
      </c>
      <c r="CA69" s="18"/>
      <c r="CB69" s="19"/>
      <c r="CC69" s="33" t="str" cm="1">
        <f t="array" ref="CC69">_xlfn.IFS($D69="","",AND(CA69=$C69,CB69=$D69),3,($C69-$D69)/MAX(ABS($C69-$D69),1)=(CA69-CB69)/MAX(ABS(CA69-CB69),1),1,TRUE,0)</f>
        <v/>
      </c>
      <c r="CD69" s="18"/>
      <c r="CE69" s="19"/>
      <c r="CF69" s="33" t="str" cm="1">
        <f t="array" ref="CF69">_xlfn.IFS($D69="","",AND(CD69=$C69,CE69=$D69),3,($C69-$D69)/MAX(ABS($C69-$D69),1)=(CD69-CE69)/MAX(ABS(CD69-CE69),1),1,TRUE,0)</f>
        <v/>
      </c>
      <c r="CG69" s="18"/>
      <c r="CH69" s="19"/>
      <c r="CI69" s="33" t="str" cm="1">
        <f t="array" ref="CI69">_xlfn.IFS($D69="","",AND(CG69=$C69,CH69=$D69),3,($C69-$D69)/MAX(ABS($C69-$D69),1)=(CG69-CH69)/MAX(ABS(CG69-CH69),1),1,TRUE,0)</f>
        <v/>
      </c>
      <c r="CJ69" s="18"/>
      <c r="CK69" s="19"/>
      <c r="CL69" s="33" t="str" cm="1">
        <f t="array" ref="CL69">_xlfn.IFS($D69="","",AND(CJ69=$C69,CK69=$D69),3,($C69-$D69)/MAX(ABS($C69-$D69),1)=(CJ69-CK69)/MAX(ABS(CJ69-CK69),1),1,TRUE,0)</f>
        <v/>
      </c>
      <c r="CM69" s="18"/>
      <c r="CN69" s="19"/>
      <c r="CO69" s="33" t="str" cm="1">
        <f t="array" ref="CO69">_xlfn.IFS($D69="","",AND(CM69=$C69,CN69=$D69),3,($C69-$D69)/MAX(ABS($C69-$D69),1)=(CM69-CN69)/MAX(ABS(CM69-CN69),1),1,TRUE,0)</f>
        <v/>
      </c>
      <c r="CP69" s="18"/>
      <c r="CQ69" s="19"/>
      <c r="CR69" s="33" t="str" cm="1">
        <f t="array" ref="CR69">_xlfn.IFS($D69="","",AND(CP69=$C69,CQ69=$D69),3,($C69-$D69)/MAX(ABS($C69-$D69),1)=(CP69-CQ69)/MAX(ABS(CP69-CQ69),1),1,TRUE,0)</f>
        <v/>
      </c>
      <c r="CS69" s="18"/>
      <c r="CT69" s="19"/>
      <c r="CU69" s="33" t="str" cm="1">
        <f t="array" ref="CU69">_xlfn.IFS($D69="","",AND(CS69=$C69,CT69=$D69),3,($C69-$D69)/MAX(ABS($C69-$D69),1)=(CS69-CT69)/MAX(ABS(CS69-CT69),1),1,TRUE,0)</f>
        <v/>
      </c>
      <c r="CV69" s="18"/>
      <c r="CW69" s="19"/>
      <c r="CX69" s="33" t="str" cm="1">
        <f t="array" ref="CX69">_xlfn.IFS($D69="","",AND(CV69=$C69,CW69=$D69),3,($C69-$D69)/MAX(ABS($C69-$D69),1)=(CV69-CW69)/MAX(ABS(CV69-CW69),1),1,TRUE,0)</f>
        <v/>
      </c>
      <c r="CY69" s="18"/>
      <c r="CZ69" s="19"/>
      <c r="DA69" s="33" t="str" cm="1">
        <f t="array" ref="DA69">_xlfn.IFS($D69="","",AND(CY69=$C69,CZ69=$D69),3,($C69-$D69)/MAX(ABS($C69-$D69),1)=(CY69-CZ69)/MAX(ABS(CY69-CZ69),1),1,TRUE,0)</f>
        <v/>
      </c>
      <c r="DB69" s="37"/>
      <c r="DC69" s="38"/>
      <c r="DD69" s="33" t="str" cm="1">
        <f t="array" ref="DD69">_xlfn.IFS($D69="","",AND(DB69=$C69,DC69=$D69),3,($C69-$D69)/MAX(ABS($C69-$D69),1)=(DB69-DC69)/MAX(ABS(DB69-DC69),1),1,TRUE,0)</f>
        <v/>
      </c>
      <c r="DE69" s="18"/>
      <c r="DF69" s="19"/>
      <c r="DG69" s="33" t="str" cm="1">
        <f t="array" ref="DG69">_xlfn.IFS($D69="","",AND(DE69=$C69,DF69=$D69),3,($C69-$D69)/MAX(ABS($C69-$D69),1)=(DE69-DF69)/MAX(ABS(DE69-DF69),1),1,TRUE,0)</f>
        <v/>
      </c>
      <c r="DH69" s="18"/>
      <c r="DI69" s="19"/>
      <c r="DJ69" s="33" t="str" cm="1">
        <f t="array" ref="DJ69">_xlfn.IFS($D69="","",AND(DH69=$C69,DI69=$D69),3,($C69-$D69)/MAX(ABS($C69-$D69),1)=(DH69-DI69)/MAX(ABS(DH69-DI69),1),1,TRUE,0)</f>
        <v/>
      </c>
      <c r="DK69" s="18"/>
      <c r="DL69" s="19"/>
      <c r="DM69" s="33" t="str" cm="1">
        <f t="array" ref="DM69">_xlfn.IFS($D69="","",AND(DK69=$C69,DL69=$D69),3,($C69-$D69)/MAX(ABS($C69-$D69),1)=(DK69-DL69)/MAX(ABS(DK69-DL69),1),1,TRUE,0)</f>
        <v/>
      </c>
      <c r="DN69" s="18"/>
      <c r="DO69" s="19"/>
      <c r="DP69" s="33" t="str" cm="1">
        <f t="array" ref="DP69">_xlfn.IFS($D69="","",AND(DN69=$C69,DO69=$D69),3,($C69-$D69)/MAX(ABS($C69-$D69),1)=(DN69-DO69)/MAX(ABS(DN69-DO69),1),1,TRUE,0)</f>
        <v/>
      </c>
      <c r="DQ69" s="18"/>
      <c r="DR69" s="19"/>
      <c r="DS69" s="33" t="str" cm="1">
        <f t="array" ref="DS69">_xlfn.IFS($D69="","",AND(DQ69=$C69,DR69=$D69),3,($C69-$D69)/MAX(ABS($C69-$D69),1)=(DQ69-DR69)/MAX(ABS(DQ69-DR69),1),1,TRUE,0)</f>
        <v/>
      </c>
      <c r="DT69" s="18"/>
      <c r="DU69" s="19"/>
      <c r="DV69" s="33" t="str" cm="1">
        <f t="array" ref="DV69">_xlfn.IFS($D69="","",AND(DT69=$C69,DU69=$D69),3,($C69-$D69)/MAX(ABS($C69-$D69),1)=(DT69-DU69)/MAX(ABS(DT69-DU69),1),1,TRUE,0)</f>
        <v/>
      </c>
      <c r="DW69" s="18"/>
      <c r="DX69" s="19"/>
      <c r="DY69" s="33" t="str" cm="1">
        <f t="array" ref="DY69">_xlfn.IFS($D69="","",AND(DW69=$C69,DX69=$D69),3,($C69-$D69)/MAX(ABS($C69-$D69),1)=(DW69-DX69)/MAX(ABS(DW69-DX69),1),1,TRUE,0)</f>
        <v/>
      </c>
      <c r="DZ69" s="18"/>
      <c r="EA69" s="19"/>
      <c r="EB69" s="33" t="str" cm="1">
        <f t="array" ref="EB69">_xlfn.IFS($D69="","",AND(DZ69=$C69,EA69=$D69),3,($C69-$D69)/MAX(ABS($C69-$D69),1)=(DZ69-EA69)/MAX(ABS(DZ69-EA69),1),1,TRUE,0)</f>
        <v/>
      </c>
      <c r="EC69" s="18"/>
      <c r="ED69" s="19"/>
      <c r="EE69" s="33" t="str" cm="1">
        <f t="array" ref="EE69">_xlfn.IFS($D69="","",AND(EC69=$C69,ED69=$D69),3,($C69-$D69)/MAX(ABS($C69-$D69),1)=(EC69-ED69)/MAX(ABS(EC69-ED69),1),1,TRUE,0)</f>
        <v/>
      </c>
      <c r="EF69" s="18"/>
      <c r="EG69" s="19"/>
      <c r="EH69" s="33" t="str" cm="1">
        <f t="array" ref="EH69">_xlfn.IFS($D69="","",AND(EF69=$C69,EG69=$D69),3,($C69-$D69)/MAX(ABS($C69-$D69),1)=(EF69-EG69)/MAX(ABS(EF69-EG69),1),1,TRUE,0)</f>
        <v/>
      </c>
      <c r="EI69" s="50"/>
      <c r="EJ69" s="51"/>
      <c r="EK69" s="33" t="str" cm="1">
        <f t="array" ref="EK69">_xlfn.IFS($D69="","",AND(EI69=$C69,EJ69=$D69),3,($C69-$D69)/MAX(ABS($C69-$D69),1)=(EI69-EJ69)/MAX(ABS(EI69-EJ69),1),1,TRUE,0)</f>
        <v/>
      </c>
      <c r="EL69" s="18"/>
      <c r="EM69" s="19"/>
      <c r="EN69" s="33" t="str" cm="1">
        <f t="array" ref="EN69">_xlfn.IFS($D69="","",AND(EL69=$C69,EM69=$D69),3,($C69-$D69)/MAX(ABS($C69-$D69),1)=(EL69-EM69)/MAX(ABS(EL69-EM69),1),1,TRUE,0)</f>
        <v/>
      </c>
      <c r="EO69" s="18"/>
      <c r="EP69" s="19"/>
      <c r="EQ69" s="33" t="str" cm="1">
        <f t="array" ref="EQ69">_xlfn.IFS($D69="","",AND(EO69=$C69,EP69=$D69),3,($C69-$D69)/MAX(ABS($C69-$D69),1)=(EO69-EP69)/MAX(ABS(EO69-EP69),1),1,TRUE,0)</f>
        <v/>
      </c>
      <c r="ER69" s="18"/>
      <c r="ES69" s="19"/>
      <c r="ET69" s="33" t="str" cm="1">
        <f t="array" ref="ET69">_xlfn.IFS($D69="","",AND(ER69=$C69,ES69=$D69),3,($C69-$D69)/MAX(ABS($C69-$D69),1)=(ER69-ES69)/MAX(ABS(ER69-ES69),1),1,TRUE,0)</f>
        <v/>
      </c>
      <c r="EU69" s="18"/>
      <c r="EV69" s="19"/>
      <c r="EW69" s="33" t="str" cm="1">
        <f t="array" ref="EW69">_xlfn.IFS($D69="","",AND(EU69=$C69,EV69=$D69),3,($C69-$D69)/MAX(ABS($C69-$D69),1)=(EU69-EV69)/MAX(ABS(EU69-EV69),1),1,TRUE,0)</f>
        <v/>
      </c>
      <c r="EX69" s="18"/>
      <c r="EY69" s="19"/>
      <c r="EZ69" s="33" t="str" cm="1">
        <f t="array" ref="EZ69">_xlfn.IFS($D69="","",AND(EX69=$C69,EY69=$D69),3,($C69-$D69)/MAX(ABS($C69-$D69),1)=(EX69-EY69)/MAX(ABS(EX69-EY69),1),1,TRUE,0)</f>
        <v/>
      </c>
      <c r="FA69" s="18"/>
      <c r="FB69" s="19"/>
      <c r="FC69" s="33" t="str" cm="1">
        <f t="array" ref="FC69">_xlfn.IFS($D69="","",AND(FA69=$C69,FB69=$D69),3,($C69-$D69)/MAX(ABS($C69-$D69),1)=(FA69-FB69)/MAX(ABS(FA69-FB69),1),1,TRUE,0)</f>
        <v/>
      </c>
      <c r="FD69" s="18"/>
      <c r="FE69" s="19"/>
      <c r="FF69" s="33" t="str" cm="1">
        <f t="array" ref="FF69">_xlfn.IFS($D69="","",AND(FD69=$C69,FE69=$D69),3,($C69-$D69)/MAX(ABS($C69-$D69),1)=(FD69-FE69)/MAX(ABS(FD69-FE69),1),1,TRUE,0)</f>
        <v/>
      </c>
      <c r="FG69" s="18"/>
      <c r="FH69" s="19"/>
      <c r="FI69" s="33" t="str" cm="1">
        <f t="array" ref="FI69">_xlfn.IFS($D69="","",AND(FG69=$C69,FH69=$D69),3,($C69-$D69)/MAX(ABS($C69-$D69),1)=(FG69-FH69)/MAX(ABS(FG69-FH69),1),1,TRUE,0)</f>
        <v/>
      </c>
      <c r="FJ69" s="18"/>
      <c r="FK69" s="19"/>
      <c r="FL69" s="33" t="str" cm="1">
        <f t="array" ref="FL69">_xlfn.IFS($D69="","",AND(FJ69=$C69,FK69=$D69),3,($C69-$D69)/MAX(ABS($C69-$D69),1)=(FJ69-FK69)/MAX(ABS(FJ69-FK69),1),1,TRUE,0)</f>
        <v/>
      </c>
      <c r="FM69" s="18"/>
      <c r="FN69" s="19"/>
      <c r="FO69" s="33" t="str" cm="1">
        <f t="array" ref="FO69">_xlfn.IFS($D69="","",AND(FM69=$C69,FN69=$D69),3,($C69-$D69)/MAX(ABS($C69-$D69),1)=(FM69-FN69)/MAX(ABS(FM69-FN69),1),1,TRUE,0)</f>
        <v/>
      </c>
      <c r="FP69" s="18"/>
      <c r="FQ69" s="19"/>
      <c r="FR69" s="33" t="str" cm="1">
        <f t="array" ref="FR69">_xlfn.IFS($D69="","",AND(FP69=$C69,FQ69=$D69),3,($C69-$D69)/MAX(ABS($C69-$D69),1)=(FP69-FQ69)/MAX(ABS(FP69-FQ69),1),1,TRUE,0)</f>
        <v/>
      </c>
      <c r="FS69" s="18"/>
      <c r="FT69" s="19"/>
      <c r="FU69" s="33" t="str" cm="1">
        <f t="array" ref="FU69">_xlfn.IFS($D69="","",AND(FS69=$C69,FT69=$D69),3,($C69-$D69)/MAX(ABS($C69-$D69),1)=(FS69-FT69)/MAX(ABS(FS69-FT69),1),1,TRUE,0)</f>
        <v/>
      </c>
      <c r="FV69" s="18"/>
      <c r="FW69" s="19"/>
      <c r="FX69" s="33" t="str" cm="1">
        <f t="array" ref="FX69">_xlfn.IFS($D69="","",AND(FV69=$C69,FW69=$D69),3,($C69-$D69)/MAX(ABS($C69-$D69),1)=(FV69-FW69)/MAX(ABS(FV69-FW69),1),1,TRUE,0)</f>
        <v/>
      </c>
      <c r="FY69" s="18"/>
      <c r="FZ69" s="19"/>
      <c r="GA69" s="33" t="str" cm="1">
        <f t="array" ref="GA69">_xlfn.IFS($D69="","",AND(FY69=$C69,FZ69=$D69),3,($C69-$D69)/MAX(ABS($C69-$D69),1)=(FY69-FZ69)/MAX(ABS(FY69-FZ69),1),1,TRUE,0)</f>
        <v/>
      </c>
      <c r="GB69" s="18"/>
      <c r="GC69" s="19"/>
      <c r="GD69" s="33" t="str" cm="1">
        <f t="array" ref="GD69">_xlfn.IFS($D69="","",AND(GB69=$C69,GC69=$D69),3,($C69-$D69)/MAX(ABS($C69-$D69),1)=(GB69-GC69)/MAX(ABS(GB69-GC69),1),1,TRUE,0)</f>
        <v/>
      </c>
      <c r="GE69" s="52"/>
      <c r="GF69" s="19"/>
      <c r="GG69" s="33" t="str" cm="1">
        <f t="array" ref="GG69">_xlfn.IFS($D69="","",AND(GE69=$C69,GF69=$D69),3,($C69-$D69)/MAX(ABS($C69-$D69),1)=(GE69-GF69)/MAX(ABS(GE69-GF69),1),1,TRUE,0)</f>
        <v/>
      </c>
      <c r="GH69" s="18"/>
      <c r="GI69" s="19"/>
      <c r="GJ69" s="33" t="str" cm="1">
        <f t="array" ref="GJ69">_xlfn.IFS($D69="","",AND(GH69=$C69,GI69=$D69),3,($C69-$D69)/MAX(ABS($C69-$D69),1)=(GH69-GI69)/MAX(ABS(GH69-GI69),1),1,TRUE,0)</f>
        <v/>
      </c>
      <c r="GK69" s="18"/>
      <c r="GL69" s="19"/>
      <c r="GM69" s="33" t="str" cm="1">
        <f t="array" ref="GM69">_xlfn.IFS($D69="","",AND(GK69=$C69,GL69=$D69),3,($C69-$D69)/MAX(ABS($C69-$D69),1)=(GK69-GL69)/MAX(ABS(GK69-GL69),1),1,TRUE,0)</f>
        <v/>
      </c>
      <c r="GN69" s="18"/>
      <c r="GO69" s="19"/>
      <c r="GP69" s="33" t="str" cm="1">
        <f t="array" ref="GP69">_xlfn.IFS($D69="","",AND(GN69=$C69,GO69=$D69),3,($C69-$D69)/MAX(ABS($C69-$D69),1)=(GN69-GO69)/MAX(ABS(GN69-GO69),1),1,TRUE,0)</f>
        <v/>
      </c>
      <c r="GQ69" s="18"/>
      <c r="GR69" s="19"/>
      <c r="GS69" s="33" t="str" cm="1">
        <f t="array" ref="GS69">_xlfn.IFS($D69="","",AND(GQ69=$C69,GR69=$D69),3,($C69-$D69)/MAX(ABS($C69-$D69),1)=(GQ69-GR69)/MAX(ABS(GQ69-GR69),1),1,TRUE,0)</f>
        <v/>
      </c>
      <c r="GT69" s="18"/>
      <c r="GU69" s="19"/>
      <c r="GV69" s="33" t="str" cm="1">
        <f t="array" ref="GV69">_xlfn.IFS($D69="","",AND(GT69=$C69,GU69=$D69),3,($C69-$D69)/MAX(ABS($C69-$D69),1)=(GT69-GU69)/MAX(ABS(GT69-GU69),1),1,TRUE,0)</f>
        <v/>
      </c>
      <c r="GW69" s="18"/>
      <c r="GX69" s="19"/>
      <c r="GY69" s="33" t="str" cm="1">
        <f t="array" ref="GY69">_xlfn.IFS($D69="","",AND(GW69=$C69,GX69=$D69),3,($C69-$D69)/MAX(ABS($C69-$D69),1)=(GW69-GX69)/MAX(ABS(GW69-GX69),1),1,TRUE,0)</f>
        <v/>
      </c>
      <c r="GZ69" s="18"/>
      <c r="HA69" s="19"/>
      <c r="HB69" s="33" t="str" cm="1">
        <f t="array" ref="HB69">_xlfn.IFS($D69="","",AND(GZ69=$C69,HA69=$D69),3,($C69-$D69)/MAX(ABS($C69-$D69),1)=(GZ69-HA69)/MAX(ABS(GZ69-HA69),1),1,TRUE,0)</f>
        <v/>
      </c>
      <c r="HC69" s="18"/>
      <c r="HD69" s="19"/>
      <c r="HE69" s="33" t="str" cm="1">
        <f t="array" ref="HE69">_xlfn.IFS($D69="","",AND(HC69=$C69,HD69=$D69),3,($C69-$D69)/MAX(ABS($C69-$D69),1)=(HC69-HD69)/MAX(ABS(HC69-HD69),1),1,TRUE,0)</f>
        <v/>
      </c>
      <c r="HF69" s="18"/>
      <c r="HG69" s="19"/>
      <c r="HH69" s="33" t="str" cm="1">
        <f t="array" ref="HH69">_xlfn.IFS($D69="","",AND(HF69=$C69,HG69=$D69),3,($C69-$D69)/MAX(ABS($C69-$D69),1)=(HF69-HG69)/MAX(ABS(HF69-HG69),1),1,TRUE,0)</f>
        <v/>
      </c>
      <c r="HI69" s="18"/>
      <c r="HJ69" s="19"/>
      <c r="HK69" s="33" t="str" cm="1">
        <f t="array" ref="HK69">_xlfn.IFS($D69="","",AND(HI69=$C69,HJ69=$D69),3,($C69-$D69)/MAX(ABS($C69-$D69),1)=(HI69-HJ69)/MAX(ABS(HI69-HJ69),1),1,TRUE,0)</f>
        <v/>
      </c>
      <c r="HL69" s="18"/>
      <c r="HM69" s="19"/>
      <c r="HN69" s="33" t="str" cm="1">
        <f t="array" ref="HN69">_xlfn.IFS($D69="","",AND(HL69=$C69,HM69=$D69),3,($C69-$D69)/MAX(ABS($C69-$D69),1)=(HL69-HM69)/MAX(ABS(HL69-HM69),1),1,TRUE,0)</f>
        <v/>
      </c>
      <c r="HO69" s="18"/>
      <c r="HP69" s="19"/>
      <c r="HQ69" s="33" t="str" cm="1">
        <f t="array" ref="HQ69">_xlfn.IFS($D69="","",AND(HO69=$C69,HP69=$D69),3,($C69-$D69)/MAX(ABS($C69-$D69),1)=(HO69-HP69)/MAX(ABS(HO69-HP69),1),1,TRUE,0)</f>
        <v/>
      </c>
      <c r="HR69" s="18"/>
      <c r="HS69" s="19"/>
      <c r="HT69" s="33" t="str" cm="1">
        <f t="array" ref="HT69">_xlfn.IFS($D69="","",AND(HR69=$C69,HS69=$D69),3,($C69-$D69)/MAX(ABS($C69-$D69),1)=(HR69-HS69)/MAX(ABS(HR69-HS69),1),1,TRUE,0)</f>
        <v/>
      </c>
      <c r="HU69" s="18"/>
      <c r="HV69" s="19"/>
      <c r="HW69" s="33" t="str" cm="1">
        <f t="array" ref="HW69">_xlfn.IFS($D69="","",AND(HU69=$C69,HV69=$D69),3,($C69-$D69)/MAX(ABS($C69-$D69),1)=(HU69-HV69)/MAX(ABS(HU69-HV69),1),1,TRUE,0)</f>
        <v/>
      </c>
      <c r="HX69" s="18"/>
      <c r="HY69" s="19"/>
      <c r="HZ69" s="33" t="str" cm="1">
        <f t="array" ref="HZ69">_xlfn.IFS($D69="","",AND(HX69=$C69,HY69=$D69),3,($C69-$D69)/MAX(ABS($C69-$D69),1)=(HX69-HY69)/MAX(ABS(HX69-HY69),1),1,TRUE,0)</f>
        <v/>
      </c>
      <c r="IA69" s="18"/>
      <c r="IB69" s="19"/>
      <c r="IC69" s="33" t="str" cm="1">
        <f t="array" ref="IC69">_xlfn.IFS($D69="","",AND(IA69=$C69,IB69=$D69),3,($C69-$D69)/MAX(ABS($C69-$D69),1)=(IA69-IB69)/MAX(ABS(IA69-IB69),1),1,TRUE,0)</f>
        <v/>
      </c>
      <c r="ID69" s="18"/>
      <c r="IE69" s="19"/>
      <c r="IF69" s="33" t="str" cm="1">
        <f t="array" ref="IF69">_xlfn.IFS($D69="","",AND(ID69=$C69,IE69=$D69),3,($C69-$D69)/MAX(ABS($C69-$D69),1)=(ID69-IE69)/MAX(ABS(ID69-IE69),1),1,TRUE,0)</f>
        <v/>
      </c>
      <c r="IG69" s="18"/>
      <c r="IH69" s="19"/>
      <c r="II69" s="33" t="str" cm="1">
        <f t="array" ref="II69">_xlfn.IFS($D69="","",AND(IG69=$C69,IH69=$D69),3,($C69-$D69)/MAX(ABS($C69-$D69),1)=(IG69-IH69)/MAX(ABS(IG69-IH69),1),1,TRUE,0)</f>
        <v/>
      </c>
      <c r="IJ69" s="18"/>
      <c r="IK69" s="19"/>
      <c r="IL69" s="33" t="str" cm="1">
        <f t="array" ref="IL69">_xlfn.IFS($D69="","",AND(IJ69=$C69,IK69=$D69),3,($C69-$D69)/MAX(ABS($C69-$D69),1)=(IJ69-IK69)/MAX(ABS(IJ69-IK69),1),1,TRUE,0)</f>
        <v/>
      </c>
      <c r="IM69" s="18"/>
      <c r="IN69" s="19"/>
      <c r="IO69" s="33" t="str" cm="1">
        <f t="array" ref="IO69">_xlfn.IFS($D69="","",AND(IM69=$C69,IN69=$D69),3,($C69-$D69)/MAX(ABS($C69-$D69),1)=(IM69-IN69)/MAX(ABS(IM69-IN69),1),1,TRUE,0)</f>
        <v/>
      </c>
      <c r="IP69" s="18"/>
      <c r="IQ69" s="19"/>
      <c r="IR69" s="33" t="str" cm="1">
        <f t="array" ref="IR69">_xlfn.IFS($D69="","",AND(IP69=$C69,IQ69=$D69),3,($C69-$D69)/MAX(ABS($C69-$D69),1)=(IP69-IQ69)/MAX(ABS(IP69-IQ69),1),1,TRUE,0)</f>
        <v/>
      </c>
      <c r="IS69" s="18"/>
      <c r="IT69" s="19"/>
      <c r="IU69" s="33" t="str" cm="1">
        <f t="array" ref="IU69">_xlfn.IFS($D69="","",AND(IS69=$C69,IT69=$D69),3,($C69-$D69)/MAX(ABS($C69-$D69),1)=(IS69-IT69)/MAX(ABS(IS69-IT69),1),1,TRUE,0)</f>
        <v/>
      </c>
      <c r="IV69" s="18"/>
      <c r="IW69" s="19"/>
      <c r="IX69" s="33" t="str" cm="1">
        <f t="array" ref="IX69">_xlfn.IFS($D69="","",AND(IV69=$C69,IW69=$D69),3,($C69-$D69)/MAX(ABS($C69-$D69),1)=(IV69-IW69)/MAX(ABS(IV69-IW69),1),1,TRUE,0)</f>
        <v/>
      </c>
      <c r="IY69" s="18"/>
      <c r="IZ69" s="19"/>
      <c r="JA69" s="33" t="str" cm="1">
        <f t="array" ref="JA69">_xlfn.IFS($D69="","",AND(IY69=$C69,IZ69=$D69),3,($C69-$D69)/MAX(ABS($C69-$D69),1)=(IY69-IZ69)/MAX(ABS(IY69-IZ69),1),1,TRUE,0)</f>
        <v/>
      </c>
      <c r="JB69" s="18"/>
      <c r="JC69" s="19"/>
      <c r="JD69" s="33" t="str" cm="1">
        <f t="array" ref="JD69">_xlfn.IFS($D69="","",AND(JB69=$C69,JC69=$D69),3,($C69-$D69)/MAX(ABS($C69-$D69),1)=(JB69-JC69)/MAX(ABS(JB69-JC69),1),1,TRUE,0)</f>
        <v/>
      </c>
    </row>
    <row r="70" spans="1:264" ht="15" thickBot="1" x14ac:dyDescent="0.35">
      <c r="A70" s="22">
        <v>46200</v>
      </c>
      <c r="B70" s="28" t="s">
        <v>12</v>
      </c>
      <c r="C70" s="53" t="str" cm="1">
        <f t="array" ref="C70">_xlfn.LET(
_xlpm.x,_xlfn.XLOOKUP(1,(Scores_Fixtures[Date]=A70)*(Scores_Fixtures[Home.1]=B70),Scores_Fixtures[Score.1],""),
IF(_xlpm.x="","",_xlpm.x)
)</f>
        <v/>
      </c>
      <c r="D70" s="53" t="str" cm="1">
        <f t="array" ref="D70">_xlfn.LET(
_xlpm.x,_xlfn.XLOOKUP(1,(Scores_Fixtures[Date]=A70)*(Scores_Fixtures[Home.1]=B70),Scores_Fixtures[Score.2],""),
IF(_xlpm.x="","",_xlpm.x)
)</f>
        <v/>
      </c>
      <c r="E70" s="12" t="s">
        <v>48</v>
      </c>
      <c r="F70" s="15"/>
      <c r="G70" s="53"/>
      <c r="H70" s="53"/>
      <c r="I70" s="33" t="str" cm="1">
        <f t="array" ref="I70">_xlfn.IFS($D70="","",AND(G70=$C70,H70=$D70),3,($C70-$D70)/MAX(ABS($C70-$D70),1)=(G70-H70)/MAX(ABS(G70-H70),1),1,TRUE,0)</f>
        <v/>
      </c>
      <c r="J70" s="18"/>
      <c r="K70" s="19"/>
      <c r="L70" s="33" t="str" cm="1">
        <f t="array" ref="L70">_xlfn.IFS($D70="","",AND(J70=$C70,K70=$D70),3,($C70-$D70)/MAX(ABS($C70-$D70),1)=(J70-K70)/MAX(ABS(J70-K70),1),1,TRUE,0)</f>
        <v/>
      </c>
      <c r="M70" s="18"/>
      <c r="N70" s="19"/>
      <c r="O70" s="33" t="str" cm="1">
        <f t="array" ref="O70">_xlfn.IFS($D70="","",AND(M70=$C70,N70=$D70),3,($C70-$D70)/MAX(ABS($C70-$D70),1)=(M70-N70)/MAX(ABS(M70-N70),1),1,TRUE,0)</f>
        <v/>
      </c>
      <c r="P70" s="18"/>
      <c r="Q70" s="19"/>
      <c r="R70" s="33" t="str" cm="1">
        <f t="array" ref="R70">_xlfn.IFS($D70="","",AND(P70=$C70,Q70=$D70),3,($C70-$D70)/MAX(ABS($C70-$D70),1)=(P70-Q70)/MAX(ABS(P70-Q70),1),1,TRUE,0)</f>
        <v/>
      </c>
      <c r="S70" s="18"/>
      <c r="T70" s="19"/>
      <c r="U70" s="33" t="str" cm="1">
        <f t="array" ref="U70">_xlfn.IFS($D70="","",AND(S70=$C70,T70=$D70),3,($C70-$D70)/MAX(ABS($C70-$D70),1)=(S70-T70)/MAX(ABS(S70-T70),1),1,TRUE,0)</f>
        <v/>
      </c>
      <c r="V70" s="18"/>
      <c r="W70" s="19"/>
      <c r="X70" s="33" t="str" cm="1">
        <f t="array" ref="X70">_xlfn.IFS($D70="","",AND(V70=$C70,W70=$D70),3,($C70-$D70)/MAX(ABS($C70-$D70),1)=(V70-W70)/MAX(ABS(V70-W70),1),1,TRUE,0)</f>
        <v/>
      </c>
      <c r="Y70" s="18"/>
      <c r="Z70" s="19"/>
      <c r="AA70" s="33" t="str" cm="1">
        <f t="array" ref="AA70">_xlfn.IFS($D70="","",AND(Y70=$C70,Z70=$D70),3,($C70-$D70)/MAX(ABS($C70-$D70),1)=(Y70-Z70)/MAX(ABS(Y70-Z70),1),1,TRUE,0)</f>
        <v/>
      </c>
      <c r="AB70" s="18"/>
      <c r="AC70" s="19"/>
      <c r="AD70" s="33" t="str" cm="1">
        <f t="array" ref="AD70">_xlfn.IFS($D70="","",AND(AB70=$C70,AC70=$D70),3,($C70-$D70)/MAX(ABS($C70-$D70),1)=(AB70-AC70)/MAX(ABS(AB70-AC70),1),1,TRUE,0)</f>
        <v/>
      </c>
      <c r="AE70" s="18"/>
      <c r="AF70" s="19"/>
      <c r="AG70" s="33" t="str" cm="1">
        <f t="array" ref="AG70">_xlfn.IFS($D70="","",AND(AE70=$C70,AF70=$D70),3,($C70-$D70)/MAX(ABS($C70-$D70),1)=(AE70-AF70)/MAX(ABS(AE70-AF70),1),1,TRUE,0)</f>
        <v/>
      </c>
      <c r="AH70" s="18"/>
      <c r="AI70" s="19"/>
      <c r="AJ70" s="33" t="str" cm="1">
        <f t="array" ref="AJ70">_xlfn.IFS($D70="","",AND(AH70=$C70,AI70=$D70),3,($C70-$D70)/MAX(ABS($C70-$D70),1)=(AH70-AI70)/MAX(ABS(AH70-AI70),1),1,TRUE,0)</f>
        <v/>
      </c>
      <c r="AK70" s="18"/>
      <c r="AL70" s="19"/>
      <c r="AM70" s="33" t="str" cm="1">
        <f t="array" ref="AM70">_xlfn.IFS($D70="","",AND(AK70=$C70,AL70=$D70),3,($C70-$D70)/MAX(ABS($C70-$D70),1)=(AK70-AL70)/MAX(ABS(AK70-AL70),1),1,TRUE,0)</f>
        <v/>
      </c>
      <c r="AN70" s="18"/>
      <c r="AO70" s="19"/>
      <c r="AP70" s="33" t="str" cm="1">
        <f t="array" ref="AP70">_xlfn.IFS($D70="","",AND(AN70=$C70,AO70=$D70),3,($C70-$D70)/MAX(ABS($C70-$D70),1)=(AN70-AO70)/MAX(ABS(AN70-AO70),1),1,TRUE,0)</f>
        <v/>
      </c>
      <c r="AQ70" s="18"/>
      <c r="AR70" s="19"/>
      <c r="AS70" s="33" t="str" cm="1">
        <f t="array" ref="AS70">_xlfn.IFS($D70="","",AND(AQ70=$C70,AR70=$D70),3,($C70-$D70)/MAX(ABS($C70-$D70),1)=(AQ70-AR70)/MAX(ABS(AQ70-AR70),1),1,TRUE,0)</f>
        <v/>
      </c>
      <c r="AT70" s="18"/>
      <c r="AU70" s="19"/>
      <c r="AV70" s="33" t="str" cm="1">
        <f t="array" ref="AV70">_xlfn.IFS($D70="","",AND(AT70=$C70,AU70=$D70),3,($C70-$D70)/MAX(ABS($C70-$D70),1)=(AT70-AU70)/MAX(ABS(AT70-AU70),1),1,TRUE,0)</f>
        <v/>
      </c>
      <c r="AW70" s="18"/>
      <c r="AX70" s="19"/>
      <c r="AY70" s="33" t="str" cm="1">
        <f t="array" ref="AY70">_xlfn.IFS($D70="","",AND(AW70=$C70,AX70=$D70),3,($C70-$D70)/MAX(ABS($C70-$D70),1)=(AW70-AX70)/MAX(ABS(AW70-AX70),1),1,TRUE,0)</f>
        <v/>
      </c>
      <c r="AZ70" s="18"/>
      <c r="BA70" s="19"/>
      <c r="BB70" s="33" t="str" cm="1">
        <f t="array" ref="BB70">_xlfn.IFS($D70="","",AND(AZ70=$C70,BA70=$D70),3,($C70-$D70)/MAX(ABS($C70-$D70),1)=(AZ70-BA70)/MAX(ABS(AZ70-BA70),1),1,TRUE,0)</f>
        <v/>
      </c>
      <c r="BC70" s="18"/>
      <c r="BD70" s="19"/>
      <c r="BE70" s="33" t="str" cm="1">
        <f t="array" ref="BE70">_xlfn.IFS($D70="","",AND(BC70=$C70,BD70=$D70),3,($C70-$D70)/MAX(ABS($C70-$D70),1)=(BC70-BD70)/MAX(ABS(BC70-BD70),1),1,TRUE,0)</f>
        <v/>
      </c>
      <c r="BF70" s="18"/>
      <c r="BG70" s="19"/>
      <c r="BH70" s="33" t="str" cm="1">
        <f t="array" ref="BH70">_xlfn.IFS($D70="","",AND(BF70=$C70,BG70=$D70),3,($C70-$D70)/MAX(ABS($C70-$D70),1)=(BF70-BG70)/MAX(ABS(BF70-BG70),1),1,TRUE,0)</f>
        <v/>
      </c>
      <c r="BI70" s="18"/>
      <c r="BJ70" s="19"/>
      <c r="BK70" s="33" t="str" cm="1">
        <f t="array" ref="BK70">_xlfn.IFS($D70="","",AND(BI70=$C70,BJ70=$D70),3,($C70-$D70)/MAX(ABS($C70-$D70),1)=(BI70-BJ70)/MAX(ABS(BI70-BJ70),1),1,TRUE,0)</f>
        <v/>
      </c>
      <c r="BL70" s="18"/>
      <c r="BM70" s="19"/>
      <c r="BN70" s="33" t="str" cm="1">
        <f t="array" ref="BN70">_xlfn.IFS($D70="","",AND(BL70=$C70,BM70=$D70),3,($C70-$D70)/MAX(ABS($C70-$D70),1)=(BL70-BM70)/MAX(ABS(BL70-BM70),1),1,TRUE,0)</f>
        <v/>
      </c>
      <c r="BO70" s="18"/>
      <c r="BP70" s="19"/>
      <c r="BQ70" s="33" t="str" cm="1">
        <f t="array" ref="BQ70">_xlfn.IFS($D70="","",AND(BO70=$C70,BP70=$D70),3,($C70-$D70)/MAX(ABS($C70-$D70),1)=(BO70-BP70)/MAX(ABS(BO70-BP70),1),1,TRUE,0)</f>
        <v/>
      </c>
      <c r="BR70" s="18"/>
      <c r="BS70" s="19"/>
      <c r="BT70" s="33" t="str" cm="1">
        <f t="array" ref="BT70">_xlfn.IFS($D70="","",AND(BR70=$C70,BS70=$D70),3,($C70-$D70)/MAX(ABS($C70-$D70),1)=(BR70-BS70)/MAX(ABS(BR70-BS70),1),1,TRUE,0)</f>
        <v/>
      </c>
      <c r="BU70" s="18"/>
      <c r="BV70" s="19"/>
      <c r="BW70" s="33" t="str" cm="1">
        <f t="array" ref="BW70">_xlfn.IFS($D70="","",AND(BU70=$C70,BV70=$D70),3,($C70-$D70)/MAX(ABS($C70-$D70),1)=(BU70-BV70)/MAX(ABS(BU70-BV70),1),1,TRUE,0)</f>
        <v/>
      </c>
      <c r="BX70" s="18"/>
      <c r="BY70" s="19"/>
      <c r="BZ70" s="33" t="str" cm="1">
        <f t="array" ref="BZ70">_xlfn.IFS($D70="","",AND(BX70=$C70,BY70=$D70),3,($C70-$D70)/MAX(ABS($C70-$D70),1)=(BX70-BY70)/MAX(ABS(BX70-BY70),1),1,TRUE,0)</f>
        <v/>
      </c>
      <c r="CA70" s="18"/>
      <c r="CB70" s="19"/>
      <c r="CC70" s="33" t="str" cm="1">
        <f t="array" ref="CC70">_xlfn.IFS($D70="","",AND(CA70=$C70,CB70=$D70),3,($C70-$D70)/MAX(ABS($C70-$D70),1)=(CA70-CB70)/MAX(ABS(CA70-CB70),1),1,TRUE,0)</f>
        <v/>
      </c>
      <c r="CD70" s="18"/>
      <c r="CE70" s="19"/>
      <c r="CF70" s="33" t="str" cm="1">
        <f t="array" ref="CF70">_xlfn.IFS($D70="","",AND(CD70=$C70,CE70=$D70),3,($C70-$D70)/MAX(ABS($C70-$D70),1)=(CD70-CE70)/MAX(ABS(CD70-CE70),1),1,TRUE,0)</f>
        <v/>
      </c>
      <c r="CG70" s="18"/>
      <c r="CH70" s="19"/>
      <c r="CI70" s="33" t="str" cm="1">
        <f t="array" ref="CI70">_xlfn.IFS($D70="","",AND(CG70=$C70,CH70=$D70),3,($C70-$D70)/MAX(ABS($C70-$D70),1)=(CG70-CH70)/MAX(ABS(CG70-CH70),1),1,TRUE,0)</f>
        <v/>
      </c>
      <c r="CJ70" s="18"/>
      <c r="CK70" s="19"/>
      <c r="CL70" s="33" t="str" cm="1">
        <f t="array" ref="CL70">_xlfn.IFS($D70="","",AND(CJ70=$C70,CK70=$D70),3,($C70-$D70)/MAX(ABS($C70-$D70),1)=(CJ70-CK70)/MAX(ABS(CJ70-CK70),1),1,TRUE,0)</f>
        <v/>
      </c>
      <c r="CM70" s="18"/>
      <c r="CN70" s="19"/>
      <c r="CO70" s="33" t="str" cm="1">
        <f t="array" ref="CO70">_xlfn.IFS($D70="","",AND(CM70=$C70,CN70=$D70),3,($C70-$D70)/MAX(ABS($C70-$D70),1)=(CM70-CN70)/MAX(ABS(CM70-CN70),1),1,TRUE,0)</f>
        <v/>
      </c>
      <c r="CP70" s="18"/>
      <c r="CQ70" s="19"/>
      <c r="CR70" s="33" t="str" cm="1">
        <f t="array" ref="CR70">_xlfn.IFS($D70="","",AND(CP70=$C70,CQ70=$D70),3,($C70-$D70)/MAX(ABS($C70-$D70),1)=(CP70-CQ70)/MAX(ABS(CP70-CQ70),1),1,TRUE,0)</f>
        <v/>
      </c>
      <c r="CS70" s="18"/>
      <c r="CT70" s="19"/>
      <c r="CU70" s="33" t="str" cm="1">
        <f t="array" ref="CU70">_xlfn.IFS($D70="","",AND(CS70=$C70,CT70=$D70),3,($C70-$D70)/MAX(ABS($C70-$D70),1)=(CS70-CT70)/MAX(ABS(CS70-CT70),1),1,TRUE,0)</f>
        <v/>
      </c>
      <c r="CV70" s="18"/>
      <c r="CW70" s="19"/>
      <c r="CX70" s="33" t="str" cm="1">
        <f t="array" ref="CX70">_xlfn.IFS($D70="","",AND(CV70=$C70,CW70=$D70),3,($C70-$D70)/MAX(ABS($C70-$D70),1)=(CV70-CW70)/MAX(ABS(CV70-CW70),1),1,TRUE,0)</f>
        <v/>
      </c>
      <c r="CY70" s="18"/>
      <c r="CZ70" s="19"/>
      <c r="DA70" s="33" t="str" cm="1">
        <f t="array" ref="DA70">_xlfn.IFS($D70="","",AND(CY70=$C70,CZ70=$D70),3,($C70-$D70)/MAX(ABS($C70-$D70),1)=(CY70-CZ70)/MAX(ABS(CY70-CZ70),1),1,TRUE,0)</f>
        <v/>
      </c>
      <c r="DB70" s="37"/>
      <c r="DC70" s="38"/>
      <c r="DD70" s="33" t="str" cm="1">
        <f t="array" ref="DD70">_xlfn.IFS($D70="","",AND(DB70=$C70,DC70=$D70),3,($C70-$D70)/MAX(ABS($C70-$D70),1)=(DB70-DC70)/MAX(ABS(DB70-DC70),1),1,TRUE,0)</f>
        <v/>
      </c>
      <c r="DE70" s="18"/>
      <c r="DF70" s="19"/>
      <c r="DG70" s="33" t="str" cm="1">
        <f t="array" ref="DG70">_xlfn.IFS($D70="","",AND(DE70=$C70,DF70=$D70),3,($C70-$D70)/MAX(ABS($C70-$D70),1)=(DE70-DF70)/MAX(ABS(DE70-DF70),1),1,TRUE,0)</f>
        <v/>
      </c>
      <c r="DH70" s="18"/>
      <c r="DI70" s="19"/>
      <c r="DJ70" s="33" t="str" cm="1">
        <f t="array" ref="DJ70">_xlfn.IFS($D70="","",AND(DH70=$C70,DI70=$D70),3,($C70-$D70)/MAX(ABS($C70-$D70),1)=(DH70-DI70)/MAX(ABS(DH70-DI70),1),1,TRUE,0)</f>
        <v/>
      </c>
      <c r="DK70" s="18"/>
      <c r="DL70" s="19"/>
      <c r="DM70" s="33" t="str" cm="1">
        <f t="array" ref="DM70">_xlfn.IFS($D70="","",AND(DK70=$C70,DL70=$D70),3,($C70-$D70)/MAX(ABS($C70-$D70),1)=(DK70-DL70)/MAX(ABS(DK70-DL70),1),1,TRUE,0)</f>
        <v/>
      </c>
      <c r="DN70" s="18"/>
      <c r="DO70" s="19"/>
      <c r="DP70" s="33" t="str" cm="1">
        <f t="array" ref="DP70">_xlfn.IFS($D70="","",AND(DN70=$C70,DO70=$D70),3,($C70-$D70)/MAX(ABS($C70-$D70),1)=(DN70-DO70)/MAX(ABS(DN70-DO70),1),1,TRUE,0)</f>
        <v/>
      </c>
      <c r="DQ70" s="18"/>
      <c r="DR70" s="19"/>
      <c r="DS70" s="33" t="str" cm="1">
        <f t="array" ref="DS70">_xlfn.IFS($D70="","",AND(DQ70=$C70,DR70=$D70),3,($C70-$D70)/MAX(ABS($C70-$D70),1)=(DQ70-DR70)/MAX(ABS(DQ70-DR70),1),1,TRUE,0)</f>
        <v/>
      </c>
      <c r="DT70" s="18"/>
      <c r="DU70" s="19"/>
      <c r="DV70" s="33" t="str" cm="1">
        <f t="array" ref="DV70">_xlfn.IFS($D70="","",AND(DT70=$C70,DU70=$D70),3,($C70-$D70)/MAX(ABS($C70-$D70),1)=(DT70-DU70)/MAX(ABS(DT70-DU70),1),1,TRUE,0)</f>
        <v/>
      </c>
      <c r="DW70" s="18"/>
      <c r="DX70" s="19"/>
      <c r="DY70" s="33" t="str" cm="1">
        <f t="array" ref="DY70">_xlfn.IFS($D70="","",AND(DW70=$C70,DX70=$D70),3,($C70-$D70)/MAX(ABS($C70-$D70),1)=(DW70-DX70)/MAX(ABS(DW70-DX70),1),1,TRUE,0)</f>
        <v/>
      </c>
      <c r="DZ70" s="18"/>
      <c r="EA70" s="19"/>
      <c r="EB70" s="33" t="str" cm="1">
        <f t="array" ref="EB70">_xlfn.IFS($D70="","",AND(DZ70=$C70,EA70=$D70),3,($C70-$D70)/MAX(ABS($C70-$D70),1)=(DZ70-EA70)/MAX(ABS(DZ70-EA70),1),1,TRUE,0)</f>
        <v/>
      </c>
      <c r="EC70" s="18"/>
      <c r="ED70" s="19"/>
      <c r="EE70" s="33" t="str" cm="1">
        <f t="array" ref="EE70">_xlfn.IFS($D70="","",AND(EC70=$C70,ED70=$D70),3,($C70-$D70)/MAX(ABS($C70-$D70),1)=(EC70-ED70)/MAX(ABS(EC70-ED70),1),1,TRUE,0)</f>
        <v/>
      </c>
      <c r="EF70" s="18"/>
      <c r="EG70" s="19"/>
      <c r="EH70" s="33" t="str" cm="1">
        <f t="array" ref="EH70">_xlfn.IFS($D70="","",AND(EF70=$C70,EG70=$D70),3,($C70-$D70)/MAX(ABS($C70-$D70),1)=(EF70-EG70)/MAX(ABS(EF70-EG70),1),1,TRUE,0)</f>
        <v/>
      </c>
      <c r="EI70" s="50"/>
      <c r="EJ70" s="51"/>
      <c r="EK70" s="33" t="str" cm="1">
        <f t="array" ref="EK70">_xlfn.IFS($D70="","",AND(EI70=$C70,EJ70=$D70),3,($C70-$D70)/MAX(ABS($C70-$D70),1)=(EI70-EJ70)/MAX(ABS(EI70-EJ70),1),1,TRUE,0)</f>
        <v/>
      </c>
      <c r="EL70" s="18"/>
      <c r="EM70" s="19"/>
      <c r="EN70" s="33" t="str" cm="1">
        <f t="array" ref="EN70">_xlfn.IFS($D70="","",AND(EL70=$C70,EM70=$D70),3,($C70-$D70)/MAX(ABS($C70-$D70),1)=(EL70-EM70)/MAX(ABS(EL70-EM70),1),1,TRUE,0)</f>
        <v/>
      </c>
      <c r="EO70" s="18"/>
      <c r="EP70" s="19"/>
      <c r="EQ70" s="33" t="str" cm="1">
        <f t="array" ref="EQ70">_xlfn.IFS($D70="","",AND(EO70=$C70,EP70=$D70),3,($C70-$D70)/MAX(ABS($C70-$D70),1)=(EO70-EP70)/MAX(ABS(EO70-EP70),1),1,TRUE,0)</f>
        <v/>
      </c>
      <c r="ER70" s="18"/>
      <c r="ES70" s="19"/>
      <c r="ET70" s="33" t="str" cm="1">
        <f t="array" ref="ET70">_xlfn.IFS($D70="","",AND(ER70=$C70,ES70=$D70),3,($C70-$D70)/MAX(ABS($C70-$D70),1)=(ER70-ES70)/MAX(ABS(ER70-ES70),1),1,TRUE,0)</f>
        <v/>
      </c>
      <c r="EU70" s="18"/>
      <c r="EV70" s="19"/>
      <c r="EW70" s="33" t="str" cm="1">
        <f t="array" ref="EW70">_xlfn.IFS($D70="","",AND(EU70=$C70,EV70=$D70),3,($C70-$D70)/MAX(ABS($C70-$D70),1)=(EU70-EV70)/MAX(ABS(EU70-EV70),1),1,TRUE,0)</f>
        <v/>
      </c>
      <c r="EX70" s="18"/>
      <c r="EY70" s="19"/>
      <c r="EZ70" s="33" t="str" cm="1">
        <f t="array" ref="EZ70">_xlfn.IFS($D70="","",AND(EX70=$C70,EY70=$D70),3,($C70-$D70)/MAX(ABS($C70-$D70),1)=(EX70-EY70)/MAX(ABS(EX70-EY70),1),1,TRUE,0)</f>
        <v/>
      </c>
      <c r="FA70" s="18"/>
      <c r="FB70" s="19"/>
      <c r="FC70" s="33" t="str" cm="1">
        <f t="array" ref="FC70">_xlfn.IFS($D70="","",AND(FA70=$C70,FB70=$D70),3,($C70-$D70)/MAX(ABS($C70-$D70),1)=(FA70-FB70)/MAX(ABS(FA70-FB70),1),1,TRUE,0)</f>
        <v/>
      </c>
      <c r="FD70" s="18"/>
      <c r="FE70" s="19"/>
      <c r="FF70" s="33" t="str" cm="1">
        <f t="array" ref="FF70">_xlfn.IFS($D70="","",AND(FD70=$C70,FE70=$D70),3,($C70-$D70)/MAX(ABS($C70-$D70),1)=(FD70-FE70)/MAX(ABS(FD70-FE70),1),1,TRUE,0)</f>
        <v/>
      </c>
      <c r="FG70" s="18"/>
      <c r="FH70" s="19"/>
      <c r="FI70" s="33" t="str" cm="1">
        <f t="array" ref="FI70">_xlfn.IFS($D70="","",AND(FG70=$C70,FH70=$D70),3,($C70-$D70)/MAX(ABS($C70-$D70),1)=(FG70-FH70)/MAX(ABS(FG70-FH70),1),1,TRUE,0)</f>
        <v/>
      </c>
      <c r="FJ70" s="18"/>
      <c r="FK70" s="19"/>
      <c r="FL70" s="33" t="str" cm="1">
        <f t="array" ref="FL70">_xlfn.IFS($D70="","",AND(FJ70=$C70,FK70=$D70),3,($C70-$D70)/MAX(ABS($C70-$D70),1)=(FJ70-FK70)/MAX(ABS(FJ70-FK70),1),1,TRUE,0)</f>
        <v/>
      </c>
      <c r="FM70" s="18"/>
      <c r="FN70" s="19"/>
      <c r="FO70" s="33" t="str" cm="1">
        <f t="array" ref="FO70">_xlfn.IFS($D70="","",AND(FM70=$C70,FN70=$D70),3,($C70-$D70)/MAX(ABS($C70-$D70),1)=(FM70-FN70)/MAX(ABS(FM70-FN70),1),1,TRUE,0)</f>
        <v/>
      </c>
      <c r="FP70" s="18"/>
      <c r="FQ70" s="19"/>
      <c r="FR70" s="33" t="str" cm="1">
        <f t="array" ref="FR70">_xlfn.IFS($D70="","",AND(FP70=$C70,FQ70=$D70),3,($C70-$D70)/MAX(ABS($C70-$D70),1)=(FP70-FQ70)/MAX(ABS(FP70-FQ70),1),1,TRUE,0)</f>
        <v/>
      </c>
      <c r="FS70" s="18"/>
      <c r="FT70" s="19"/>
      <c r="FU70" s="33" t="str" cm="1">
        <f t="array" ref="FU70">_xlfn.IFS($D70="","",AND(FS70=$C70,FT70=$D70),3,($C70-$D70)/MAX(ABS($C70-$D70),1)=(FS70-FT70)/MAX(ABS(FS70-FT70),1),1,TRUE,0)</f>
        <v/>
      </c>
      <c r="FV70" s="18"/>
      <c r="FW70" s="19"/>
      <c r="FX70" s="33" t="str" cm="1">
        <f t="array" ref="FX70">_xlfn.IFS($D70="","",AND(FV70=$C70,FW70=$D70),3,($C70-$D70)/MAX(ABS($C70-$D70),1)=(FV70-FW70)/MAX(ABS(FV70-FW70),1),1,TRUE,0)</f>
        <v/>
      </c>
      <c r="FY70" s="18"/>
      <c r="FZ70" s="19"/>
      <c r="GA70" s="33" t="str" cm="1">
        <f t="array" ref="GA70">_xlfn.IFS($D70="","",AND(FY70=$C70,FZ70=$D70),3,($C70-$D70)/MAX(ABS($C70-$D70),1)=(FY70-FZ70)/MAX(ABS(FY70-FZ70),1),1,TRUE,0)</f>
        <v/>
      </c>
      <c r="GB70" s="18"/>
      <c r="GC70" s="19"/>
      <c r="GD70" s="33" t="str" cm="1">
        <f t="array" ref="GD70">_xlfn.IFS($D70="","",AND(GB70=$C70,GC70=$D70),3,($C70-$D70)/MAX(ABS($C70-$D70),1)=(GB70-GC70)/MAX(ABS(GB70-GC70),1),1,TRUE,0)</f>
        <v/>
      </c>
      <c r="GE70" s="52"/>
      <c r="GF70" s="19"/>
      <c r="GG70" s="33" t="str" cm="1">
        <f t="array" ref="GG70">_xlfn.IFS($D70="","",AND(GE70=$C70,GF70=$D70),3,($C70-$D70)/MAX(ABS($C70-$D70),1)=(GE70-GF70)/MAX(ABS(GE70-GF70),1),1,TRUE,0)</f>
        <v/>
      </c>
      <c r="GH70" s="18"/>
      <c r="GI70" s="19"/>
      <c r="GJ70" s="33" t="str" cm="1">
        <f t="array" ref="GJ70">_xlfn.IFS($D70="","",AND(GH70=$C70,GI70=$D70),3,($C70-$D70)/MAX(ABS($C70-$D70),1)=(GH70-GI70)/MAX(ABS(GH70-GI70),1),1,TRUE,0)</f>
        <v/>
      </c>
      <c r="GK70" s="18"/>
      <c r="GL70" s="19"/>
      <c r="GM70" s="33" t="str" cm="1">
        <f t="array" ref="GM70">_xlfn.IFS($D70="","",AND(GK70=$C70,GL70=$D70),3,($C70-$D70)/MAX(ABS($C70-$D70),1)=(GK70-GL70)/MAX(ABS(GK70-GL70),1),1,TRUE,0)</f>
        <v/>
      </c>
      <c r="GN70" s="18"/>
      <c r="GO70" s="19"/>
      <c r="GP70" s="33" t="str" cm="1">
        <f t="array" ref="GP70">_xlfn.IFS($D70="","",AND(GN70=$C70,GO70=$D70),3,($C70-$D70)/MAX(ABS($C70-$D70),1)=(GN70-GO70)/MAX(ABS(GN70-GO70),1),1,TRUE,0)</f>
        <v/>
      </c>
      <c r="GQ70" s="18"/>
      <c r="GR70" s="19"/>
      <c r="GS70" s="33" t="str" cm="1">
        <f t="array" ref="GS70">_xlfn.IFS($D70="","",AND(GQ70=$C70,GR70=$D70),3,($C70-$D70)/MAX(ABS($C70-$D70),1)=(GQ70-GR70)/MAX(ABS(GQ70-GR70),1),1,TRUE,0)</f>
        <v/>
      </c>
      <c r="GT70" s="18"/>
      <c r="GU70" s="19"/>
      <c r="GV70" s="33" t="str" cm="1">
        <f t="array" ref="GV70">_xlfn.IFS($D70="","",AND(GT70=$C70,GU70=$D70),3,($C70-$D70)/MAX(ABS($C70-$D70),1)=(GT70-GU70)/MAX(ABS(GT70-GU70),1),1,TRUE,0)</f>
        <v/>
      </c>
      <c r="GW70" s="18"/>
      <c r="GX70" s="19"/>
      <c r="GY70" s="33" t="str" cm="1">
        <f t="array" ref="GY70">_xlfn.IFS($D70="","",AND(GW70=$C70,GX70=$D70),3,($C70-$D70)/MAX(ABS($C70-$D70),1)=(GW70-GX70)/MAX(ABS(GW70-GX70),1),1,TRUE,0)</f>
        <v/>
      </c>
      <c r="GZ70" s="18"/>
      <c r="HA70" s="19"/>
      <c r="HB70" s="33" t="str" cm="1">
        <f t="array" ref="HB70">_xlfn.IFS($D70="","",AND(GZ70=$C70,HA70=$D70),3,($C70-$D70)/MAX(ABS($C70-$D70),1)=(GZ70-HA70)/MAX(ABS(GZ70-HA70),1),1,TRUE,0)</f>
        <v/>
      </c>
      <c r="HC70" s="18"/>
      <c r="HD70" s="19"/>
      <c r="HE70" s="33" t="str" cm="1">
        <f t="array" ref="HE70">_xlfn.IFS($D70="","",AND(HC70=$C70,HD70=$D70),3,($C70-$D70)/MAX(ABS($C70-$D70),1)=(HC70-HD70)/MAX(ABS(HC70-HD70),1),1,TRUE,0)</f>
        <v/>
      </c>
      <c r="HF70" s="18"/>
      <c r="HG70" s="19"/>
      <c r="HH70" s="33" t="str" cm="1">
        <f t="array" ref="HH70">_xlfn.IFS($D70="","",AND(HF70=$C70,HG70=$D70),3,($C70-$D70)/MAX(ABS($C70-$D70),1)=(HF70-HG70)/MAX(ABS(HF70-HG70),1),1,TRUE,0)</f>
        <v/>
      </c>
      <c r="HI70" s="18"/>
      <c r="HJ70" s="19"/>
      <c r="HK70" s="33" t="str" cm="1">
        <f t="array" ref="HK70">_xlfn.IFS($D70="","",AND(HI70=$C70,HJ70=$D70),3,($C70-$D70)/MAX(ABS($C70-$D70),1)=(HI70-HJ70)/MAX(ABS(HI70-HJ70),1),1,TRUE,0)</f>
        <v/>
      </c>
      <c r="HL70" s="18"/>
      <c r="HM70" s="19"/>
      <c r="HN70" s="33" t="str" cm="1">
        <f t="array" ref="HN70">_xlfn.IFS($D70="","",AND(HL70=$C70,HM70=$D70),3,($C70-$D70)/MAX(ABS($C70-$D70),1)=(HL70-HM70)/MAX(ABS(HL70-HM70),1),1,TRUE,0)</f>
        <v/>
      </c>
      <c r="HO70" s="18"/>
      <c r="HP70" s="19"/>
      <c r="HQ70" s="33" t="str" cm="1">
        <f t="array" ref="HQ70">_xlfn.IFS($D70="","",AND(HO70=$C70,HP70=$D70),3,($C70-$D70)/MAX(ABS($C70-$D70),1)=(HO70-HP70)/MAX(ABS(HO70-HP70),1),1,TRUE,0)</f>
        <v/>
      </c>
      <c r="HR70" s="18"/>
      <c r="HS70" s="19"/>
      <c r="HT70" s="33" t="str" cm="1">
        <f t="array" ref="HT70">_xlfn.IFS($D70="","",AND(HR70=$C70,HS70=$D70),3,($C70-$D70)/MAX(ABS($C70-$D70),1)=(HR70-HS70)/MAX(ABS(HR70-HS70),1),1,TRUE,0)</f>
        <v/>
      </c>
      <c r="HU70" s="18"/>
      <c r="HV70" s="19"/>
      <c r="HW70" s="33" t="str" cm="1">
        <f t="array" ref="HW70">_xlfn.IFS($D70="","",AND(HU70=$C70,HV70=$D70),3,($C70-$D70)/MAX(ABS($C70-$D70),1)=(HU70-HV70)/MAX(ABS(HU70-HV70),1),1,TRUE,0)</f>
        <v/>
      </c>
      <c r="HX70" s="18"/>
      <c r="HY70" s="19"/>
      <c r="HZ70" s="33" t="str" cm="1">
        <f t="array" ref="HZ70">_xlfn.IFS($D70="","",AND(HX70=$C70,HY70=$D70),3,($C70-$D70)/MAX(ABS($C70-$D70),1)=(HX70-HY70)/MAX(ABS(HX70-HY70),1),1,TRUE,0)</f>
        <v/>
      </c>
      <c r="IA70" s="18"/>
      <c r="IB70" s="19"/>
      <c r="IC70" s="33" t="str" cm="1">
        <f t="array" ref="IC70">_xlfn.IFS($D70="","",AND(IA70=$C70,IB70=$D70),3,($C70-$D70)/MAX(ABS($C70-$D70),1)=(IA70-IB70)/MAX(ABS(IA70-IB70),1),1,TRUE,0)</f>
        <v/>
      </c>
      <c r="ID70" s="18"/>
      <c r="IE70" s="19"/>
      <c r="IF70" s="33" t="str" cm="1">
        <f t="array" ref="IF70">_xlfn.IFS($D70="","",AND(ID70=$C70,IE70=$D70),3,($C70-$D70)/MAX(ABS($C70-$D70),1)=(ID70-IE70)/MAX(ABS(ID70-IE70),1),1,TRUE,0)</f>
        <v/>
      </c>
      <c r="IG70" s="18"/>
      <c r="IH70" s="19"/>
      <c r="II70" s="33" t="str" cm="1">
        <f t="array" ref="II70">_xlfn.IFS($D70="","",AND(IG70=$C70,IH70=$D70),3,($C70-$D70)/MAX(ABS($C70-$D70),1)=(IG70-IH70)/MAX(ABS(IG70-IH70),1),1,TRUE,0)</f>
        <v/>
      </c>
      <c r="IJ70" s="18"/>
      <c r="IK70" s="19"/>
      <c r="IL70" s="33" t="str" cm="1">
        <f t="array" ref="IL70">_xlfn.IFS($D70="","",AND(IJ70=$C70,IK70=$D70),3,($C70-$D70)/MAX(ABS($C70-$D70),1)=(IJ70-IK70)/MAX(ABS(IJ70-IK70),1),1,TRUE,0)</f>
        <v/>
      </c>
      <c r="IM70" s="18"/>
      <c r="IN70" s="19"/>
      <c r="IO70" s="33" t="str" cm="1">
        <f t="array" ref="IO70">_xlfn.IFS($D70="","",AND(IM70=$C70,IN70=$D70),3,($C70-$D70)/MAX(ABS($C70-$D70),1)=(IM70-IN70)/MAX(ABS(IM70-IN70),1),1,TRUE,0)</f>
        <v/>
      </c>
      <c r="IP70" s="18"/>
      <c r="IQ70" s="19"/>
      <c r="IR70" s="33" t="str" cm="1">
        <f t="array" ref="IR70">_xlfn.IFS($D70="","",AND(IP70=$C70,IQ70=$D70),3,($C70-$D70)/MAX(ABS($C70-$D70),1)=(IP70-IQ70)/MAX(ABS(IP70-IQ70),1),1,TRUE,0)</f>
        <v/>
      </c>
      <c r="IS70" s="18"/>
      <c r="IT70" s="19"/>
      <c r="IU70" s="33" t="str" cm="1">
        <f t="array" ref="IU70">_xlfn.IFS($D70="","",AND(IS70=$C70,IT70=$D70),3,($C70-$D70)/MAX(ABS($C70-$D70),1)=(IS70-IT70)/MAX(ABS(IS70-IT70),1),1,TRUE,0)</f>
        <v/>
      </c>
      <c r="IV70" s="18"/>
      <c r="IW70" s="19"/>
      <c r="IX70" s="33" t="str" cm="1">
        <f t="array" ref="IX70">_xlfn.IFS($D70="","",AND(IV70=$C70,IW70=$D70),3,($C70-$D70)/MAX(ABS($C70-$D70),1)=(IV70-IW70)/MAX(ABS(IV70-IW70),1),1,TRUE,0)</f>
        <v/>
      </c>
      <c r="IY70" s="18"/>
      <c r="IZ70" s="19"/>
      <c r="JA70" s="33" t="str" cm="1">
        <f t="array" ref="JA70">_xlfn.IFS($D70="","",AND(IY70=$C70,IZ70=$D70),3,($C70-$D70)/MAX(ABS($C70-$D70),1)=(IY70-IZ70)/MAX(ABS(IY70-IZ70),1),1,TRUE,0)</f>
        <v/>
      </c>
      <c r="JB70" s="18"/>
      <c r="JC70" s="19"/>
      <c r="JD70" s="33" t="str" cm="1">
        <f t="array" ref="JD70">_xlfn.IFS($D70="","",AND(JB70=$C70,JC70=$D70),3,($C70-$D70)/MAX(ABS($C70-$D70),1)=(JB70-JC70)/MAX(ABS(JB70-JC70),1),1,TRUE,0)</f>
        <v/>
      </c>
    </row>
    <row r="71" spans="1:264" ht="15" thickBot="1" x14ac:dyDescent="0.35">
      <c r="A71" s="22">
        <v>46201</v>
      </c>
      <c r="B71" s="28" t="s">
        <v>58</v>
      </c>
      <c r="C71" s="53" t="str" cm="1">
        <f t="array" ref="C71">_xlfn.LET(
_xlpm.x,_xlfn.XLOOKUP(1,(Scores_Fixtures[Date]=A71)*(Scores_Fixtures[Home.1]=B71),Scores_Fixtures[Score.1],""),
IF(_xlpm.x="","",_xlpm.x)
)</f>
        <v/>
      </c>
      <c r="D71" s="53" t="str" cm="1">
        <f t="array" ref="D71">_xlfn.LET(
_xlpm.x,_xlfn.XLOOKUP(1,(Scores_Fixtures[Date]=A71)*(Scores_Fixtures[Home.1]=B71),Scores_Fixtures[Score.2],""),
IF(_xlpm.x="","",_xlpm.x)
)</f>
        <v/>
      </c>
      <c r="E71" s="12" t="s">
        <v>17</v>
      </c>
      <c r="F71" s="15"/>
      <c r="G71" s="53"/>
      <c r="H71" s="53"/>
      <c r="I71" s="33" t="str" cm="1">
        <f t="array" ref="I71">_xlfn.IFS($D71="","",AND(G71=$C71,H71=$D71),3,($C71-$D71)/MAX(ABS($C71-$D71),1)=(G71-H71)/MAX(ABS(G71-H71),1),1,TRUE,0)</f>
        <v/>
      </c>
      <c r="J71" s="18"/>
      <c r="K71" s="19"/>
      <c r="L71" s="33" t="str" cm="1">
        <f t="array" ref="L71">_xlfn.IFS($D71="","",AND(J71=$C71,K71=$D71),3,($C71-$D71)/MAX(ABS($C71-$D71),1)=(J71-K71)/MAX(ABS(J71-K71),1),1,TRUE,0)</f>
        <v/>
      </c>
      <c r="M71" s="18"/>
      <c r="N71" s="19"/>
      <c r="O71" s="33" t="str" cm="1">
        <f t="array" ref="O71">_xlfn.IFS($D71="","",AND(M71=$C71,N71=$D71),3,($C71-$D71)/MAX(ABS($C71-$D71),1)=(M71-N71)/MAX(ABS(M71-N71),1),1,TRUE,0)</f>
        <v/>
      </c>
      <c r="P71" s="18"/>
      <c r="Q71" s="19"/>
      <c r="R71" s="33" t="str" cm="1">
        <f t="array" ref="R71">_xlfn.IFS($D71="","",AND(P71=$C71,Q71=$D71),3,($C71-$D71)/MAX(ABS($C71-$D71),1)=(P71-Q71)/MAX(ABS(P71-Q71),1),1,TRUE,0)</f>
        <v/>
      </c>
      <c r="S71" s="18"/>
      <c r="T71" s="19"/>
      <c r="U71" s="33" t="str" cm="1">
        <f t="array" ref="U71">_xlfn.IFS($D71="","",AND(S71=$C71,T71=$D71),3,($C71-$D71)/MAX(ABS($C71-$D71),1)=(S71-T71)/MAX(ABS(S71-T71),1),1,TRUE,0)</f>
        <v/>
      </c>
      <c r="V71" s="18"/>
      <c r="W71" s="19"/>
      <c r="X71" s="33" t="str" cm="1">
        <f t="array" ref="X71">_xlfn.IFS($D71="","",AND(V71=$C71,W71=$D71),3,($C71-$D71)/MAX(ABS($C71-$D71),1)=(V71-W71)/MAX(ABS(V71-W71),1),1,TRUE,0)</f>
        <v/>
      </c>
      <c r="Y71" s="18"/>
      <c r="Z71" s="19"/>
      <c r="AA71" s="33" t="str" cm="1">
        <f t="array" ref="AA71">_xlfn.IFS($D71="","",AND(Y71=$C71,Z71=$D71),3,($C71-$D71)/MAX(ABS($C71-$D71),1)=(Y71-Z71)/MAX(ABS(Y71-Z71),1),1,TRUE,0)</f>
        <v/>
      </c>
      <c r="AB71" s="18"/>
      <c r="AC71" s="19"/>
      <c r="AD71" s="33" t="str" cm="1">
        <f t="array" ref="AD71">_xlfn.IFS($D71="","",AND(AB71=$C71,AC71=$D71),3,($C71-$D71)/MAX(ABS($C71-$D71),1)=(AB71-AC71)/MAX(ABS(AB71-AC71),1),1,TRUE,0)</f>
        <v/>
      </c>
      <c r="AE71" s="18"/>
      <c r="AF71" s="19"/>
      <c r="AG71" s="33" t="str" cm="1">
        <f t="array" ref="AG71">_xlfn.IFS($D71="","",AND(AE71=$C71,AF71=$D71),3,($C71-$D71)/MAX(ABS($C71-$D71),1)=(AE71-AF71)/MAX(ABS(AE71-AF71),1),1,TRUE,0)</f>
        <v/>
      </c>
      <c r="AH71" s="18"/>
      <c r="AI71" s="19"/>
      <c r="AJ71" s="33" t="str" cm="1">
        <f t="array" ref="AJ71">_xlfn.IFS($D71="","",AND(AH71=$C71,AI71=$D71),3,($C71-$D71)/MAX(ABS($C71-$D71),1)=(AH71-AI71)/MAX(ABS(AH71-AI71),1),1,TRUE,0)</f>
        <v/>
      </c>
      <c r="AK71" s="18"/>
      <c r="AL71" s="19"/>
      <c r="AM71" s="33" t="str" cm="1">
        <f t="array" ref="AM71">_xlfn.IFS($D71="","",AND(AK71=$C71,AL71=$D71),3,($C71-$D71)/MAX(ABS($C71-$D71),1)=(AK71-AL71)/MAX(ABS(AK71-AL71),1),1,TRUE,0)</f>
        <v/>
      </c>
      <c r="AN71" s="18"/>
      <c r="AO71" s="19"/>
      <c r="AP71" s="33" t="str" cm="1">
        <f t="array" ref="AP71">_xlfn.IFS($D71="","",AND(AN71=$C71,AO71=$D71),3,($C71-$D71)/MAX(ABS($C71-$D71),1)=(AN71-AO71)/MAX(ABS(AN71-AO71),1),1,TRUE,0)</f>
        <v/>
      </c>
      <c r="AQ71" s="18"/>
      <c r="AR71" s="19"/>
      <c r="AS71" s="33" t="str" cm="1">
        <f t="array" ref="AS71">_xlfn.IFS($D71="","",AND(AQ71=$C71,AR71=$D71),3,($C71-$D71)/MAX(ABS($C71-$D71),1)=(AQ71-AR71)/MAX(ABS(AQ71-AR71),1),1,TRUE,0)</f>
        <v/>
      </c>
      <c r="AT71" s="18"/>
      <c r="AU71" s="19"/>
      <c r="AV71" s="33" t="str" cm="1">
        <f t="array" ref="AV71">_xlfn.IFS($D71="","",AND(AT71=$C71,AU71=$D71),3,($C71-$D71)/MAX(ABS($C71-$D71),1)=(AT71-AU71)/MAX(ABS(AT71-AU71),1),1,TRUE,0)</f>
        <v/>
      </c>
      <c r="AW71" s="18"/>
      <c r="AX71" s="19"/>
      <c r="AY71" s="33" t="str" cm="1">
        <f t="array" ref="AY71">_xlfn.IFS($D71="","",AND(AW71=$C71,AX71=$D71),3,($C71-$D71)/MAX(ABS($C71-$D71),1)=(AW71-AX71)/MAX(ABS(AW71-AX71),1),1,TRUE,0)</f>
        <v/>
      </c>
      <c r="AZ71" s="18"/>
      <c r="BA71" s="19"/>
      <c r="BB71" s="33" t="str" cm="1">
        <f t="array" ref="BB71">_xlfn.IFS($D71="","",AND(AZ71=$C71,BA71=$D71),3,($C71-$D71)/MAX(ABS($C71-$D71),1)=(AZ71-BA71)/MAX(ABS(AZ71-BA71),1),1,TRUE,0)</f>
        <v/>
      </c>
      <c r="BC71" s="18"/>
      <c r="BD71" s="19"/>
      <c r="BE71" s="33" t="str" cm="1">
        <f t="array" ref="BE71">_xlfn.IFS($D71="","",AND(BC71=$C71,BD71=$D71),3,($C71-$D71)/MAX(ABS($C71-$D71),1)=(BC71-BD71)/MAX(ABS(BC71-BD71),1),1,TRUE,0)</f>
        <v/>
      </c>
      <c r="BF71" s="18"/>
      <c r="BG71" s="19"/>
      <c r="BH71" s="33" t="str" cm="1">
        <f t="array" ref="BH71">_xlfn.IFS($D71="","",AND(BF71=$C71,BG71=$D71),3,($C71-$D71)/MAX(ABS($C71-$D71),1)=(BF71-BG71)/MAX(ABS(BF71-BG71),1),1,TRUE,0)</f>
        <v/>
      </c>
      <c r="BI71" s="18"/>
      <c r="BJ71" s="19"/>
      <c r="BK71" s="33" t="str" cm="1">
        <f t="array" ref="BK71">_xlfn.IFS($D71="","",AND(BI71=$C71,BJ71=$D71),3,($C71-$D71)/MAX(ABS($C71-$D71),1)=(BI71-BJ71)/MAX(ABS(BI71-BJ71),1),1,TRUE,0)</f>
        <v/>
      </c>
      <c r="BL71" s="18"/>
      <c r="BM71" s="19"/>
      <c r="BN71" s="33" t="str" cm="1">
        <f t="array" ref="BN71">_xlfn.IFS($D71="","",AND(BL71=$C71,BM71=$D71),3,($C71-$D71)/MAX(ABS($C71-$D71),1)=(BL71-BM71)/MAX(ABS(BL71-BM71),1),1,TRUE,0)</f>
        <v/>
      </c>
      <c r="BO71" s="18"/>
      <c r="BP71" s="19"/>
      <c r="BQ71" s="33" t="str" cm="1">
        <f t="array" ref="BQ71">_xlfn.IFS($D71="","",AND(BO71=$C71,BP71=$D71),3,($C71-$D71)/MAX(ABS($C71-$D71),1)=(BO71-BP71)/MAX(ABS(BO71-BP71),1),1,TRUE,0)</f>
        <v/>
      </c>
      <c r="BR71" s="18"/>
      <c r="BS71" s="19"/>
      <c r="BT71" s="33" t="str" cm="1">
        <f t="array" ref="BT71">_xlfn.IFS($D71="","",AND(BR71=$C71,BS71=$D71),3,($C71-$D71)/MAX(ABS($C71-$D71),1)=(BR71-BS71)/MAX(ABS(BR71-BS71),1),1,TRUE,0)</f>
        <v/>
      </c>
      <c r="BU71" s="18"/>
      <c r="BV71" s="19"/>
      <c r="BW71" s="33" t="str" cm="1">
        <f t="array" ref="BW71">_xlfn.IFS($D71="","",AND(BU71=$C71,BV71=$D71),3,($C71-$D71)/MAX(ABS($C71-$D71),1)=(BU71-BV71)/MAX(ABS(BU71-BV71),1),1,TRUE,0)</f>
        <v/>
      </c>
      <c r="BX71" s="18"/>
      <c r="BY71" s="19"/>
      <c r="BZ71" s="33" t="str" cm="1">
        <f t="array" ref="BZ71">_xlfn.IFS($D71="","",AND(BX71=$C71,BY71=$D71),3,($C71-$D71)/MAX(ABS($C71-$D71),1)=(BX71-BY71)/MAX(ABS(BX71-BY71),1),1,TRUE,0)</f>
        <v/>
      </c>
      <c r="CA71" s="18"/>
      <c r="CB71" s="19"/>
      <c r="CC71" s="33" t="str" cm="1">
        <f t="array" ref="CC71">_xlfn.IFS($D71="","",AND(CA71=$C71,CB71=$D71),3,($C71-$D71)/MAX(ABS($C71-$D71),1)=(CA71-CB71)/MAX(ABS(CA71-CB71),1),1,TRUE,0)</f>
        <v/>
      </c>
      <c r="CD71" s="18"/>
      <c r="CE71" s="19"/>
      <c r="CF71" s="33" t="str" cm="1">
        <f t="array" ref="CF71">_xlfn.IFS($D71="","",AND(CD71=$C71,CE71=$D71),3,($C71-$D71)/MAX(ABS($C71-$D71),1)=(CD71-CE71)/MAX(ABS(CD71-CE71),1),1,TRUE,0)</f>
        <v/>
      </c>
      <c r="CG71" s="18"/>
      <c r="CH71" s="19"/>
      <c r="CI71" s="33" t="str" cm="1">
        <f t="array" ref="CI71">_xlfn.IFS($D71="","",AND(CG71=$C71,CH71=$D71),3,($C71-$D71)/MAX(ABS($C71-$D71),1)=(CG71-CH71)/MAX(ABS(CG71-CH71),1),1,TRUE,0)</f>
        <v/>
      </c>
      <c r="CJ71" s="18"/>
      <c r="CK71" s="19"/>
      <c r="CL71" s="33" t="str" cm="1">
        <f t="array" ref="CL71">_xlfn.IFS($D71="","",AND(CJ71=$C71,CK71=$D71),3,($C71-$D71)/MAX(ABS($C71-$D71),1)=(CJ71-CK71)/MAX(ABS(CJ71-CK71),1),1,TRUE,0)</f>
        <v/>
      </c>
      <c r="CM71" s="18"/>
      <c r="CN71" s="19"/>
      <c r="CO71" s="33" t="str" cm="1">
        <f t="array" ref="CO71">_xlfn.IFS($D71="","",AND(CM71=$C71,CN71=$D71),3,($C71-$D71)/MAX(ABS($C71-$D71),1)=(CM71-CN71)/MAX(ABS(CM71-CN71),1),1,TRUE,0)</f>
        <v/>
      </c>
      <c r="CP71" s="18"/>
      <c r="CQ71" s="19"/>
      <c r="CR71" s="33" t="str" cm="1">
        <f t="array" ref="CR71">_xlfn.IFS($D71="","",AND(CP71=$C71,CQ71=$D71),3,($C71-$D71)/MAX(ABS($C71-$D71),1)=(CP71-CQ71)/MAX(ABS(CP71-CQ71),1),1,TRUE,0)</f>
        <v/>
      </c>
      <c r="CS71" s="18"/>
      <c r="CT71" s="19"/>
      <c r="CU71" s="33" t="str" cm="1">
        <f t="array" ref="CU71">_xlfn.IFS($D71="","",AND(CS71=$C71,CT71=$D71),3,($C71-$D71)/MAX(ABS($C71-$D71),1)=(CS71-CT71)/MAX(ABS(CS71-CT71),1),1,TRUE,0)</f>
        <v/>
      </c>
      <c r="CV71" s="18"/>
      <c r="CW71" s="19"/>
      <c r="CX71" s="33" t="str" cm="1">
        <f t="array" ref="CX71">_xlfn.IFS($D71="","",AND(CV71=$C71,CW71=$D71),3,($C71-$D71)/MAX(ABS($C71-$D71),1)=(CV71-CW71)/MAX(ABS(CV71-CW71),1),1,TRUE,0)</f>
        <v/>
      </c>
      <c r="CY71" s="18"/>
      <c r="CZ71" s="19"/>
      <c r="DA71" s="33" t="str" cm="1">
        <f t="array" ref="DA71">_xlfn.IFS($D71="","",AND(CY71=$C71,CZ71=$D71),3,($C71-$D71)/MAX(ABS($C71-$D71),1)=(CY71-CZ71)/MAX(ABS(CY71-CZ71),1),1,TRUE,0)</f>
        <v/>
      </c>
      <c r="DB71" s="37"/>
      <c r="DC71" s="38"/>
      <c r="DD71" s="33" t="str" cm="1">
        <f t="array" ref="DD71">_xlfn.IFS($D71="","",AND(DB71=$C71,DC71=$D71),3,($C71-$D71)/MAX(ABS($C71-$D71),1)=(DB71-DC71)/MAX(ABS(DB71-DC71),1),1,TRUE,0)</f>
        <v/>
      </c>
      <c r="DE71" s="18"/>
      <c r="DF71" s="19"/>
      <c r="DG71" s="33" t="str" cm="1">
        <f t="array" ref="DG71">_xlfn.IFS($D71="","",AND(DE71=$C71,DF71=$D71),3,($C71-$D71)/MAX(ABS($C71-$D71),1)=(DE71-DF71)/MAX(ABS(DE71-DF71),1),1,TRUE,0)</f>
        <v/>
      </c>
      <c r="DH71" s="18"/>
      <c r="DI71" s="19"/>
      <c r="DJ71" s="33" t="str" cm="1">
        <f t="array" ref="DJ71">_xlfn.IFS($D71="","",AND(DH71=$C71,DI71=$D71),3,($C71-$D71)/MAX(ABS($C71-$D71),1)=(DH71-DI71)/MAX(ABS(DH71-DI71),1),1,TRUE,0)</f>
        <v/>
      </c>
      <c r="DK71" s="18"/>
      <c r="DL71" s="19"/>
      <c r="DM71" s="33" t="str" cm="1">
        <f t="array" ref="DM71">_xlfn.IFS($D71="","",AND(DK71=$C71,DL71=$D71),3,($C71-$D71)/MAX(ABS($C71-$D71),1)=(DK71-DL71)/MAX(ABS(DK71-DL71),1),1,TRUE,0)</f>
        <v/>
      </c>
      <c r="DN71" s="18"/>
      <c r="DO71" s="19"/>
      <c r="DP71" s="33" t="str" cm="1">
        <f t="array" ref="DP71">_xlfn.IFS($D71="","",AND(DN71=$C71,DO71=$D71),3,($C71-$D71)/MAX(ABS($C71-$D71),1)=(DN71-DO71)/MAX(ABS(DN71-DO71),1),1,TRUE,0)</f>
        <v/>
      </c>
      <c r="DQ71" s="18"/>
      <c r="DR71" s="19"/>
      <c r="DS71" s="33" t="str" cm="1">
        <f t="array" ref="DS71">_xlfn.IFS($D71="","",AND(DQ71=$C71,DR71=$D71),3,($C71-$D71)/MAX(ABS($C71-$D71),1)=(DQ71-DR71)/MAX(ABS(DQ71-DR71),1),1,TRUE,0)</f>
        <v/>
      </c>
      <c r="DT71" s="18"/>
      <c r="DU71" s="19"/>
      <c r="DV71" s="33" t="str" cm="1">
        <f t="array" ref="DV71">_xlfn.IFS($D71="","",AND(DT71=$C71,DU71=$D71),3,($C71-$D71)/MAX(ABS($C71-$D71),1)=(DT71-DU71)/MAX(ABS(DT71-DU71),1),1,TRUE,0)</f>
        <v/>
      </c>
      <c r="DW71" s="18"/>
      <c r="DX71" s="19"/>
      <c r="DY71" s="33" t="str" cm="1">
        <f t="array" ref="DY71">_xlfn.IFS($D71="","",AND(DW71=$C71,DX71=$D71),3,($C71-$D71)/MAX(ABS($C71-$D71),1)=(DW71-DX71)/MAX(ABS(DW71-DX71),1),1,TRUE,0)</f>
        <v/>
      </c>
      <c r="DZ71" s="18"/>
      <c r="EA71" s="19"/>
      <c r="EB71" s="33" t="str" cm="1">
        <f t="array" ref="EB71">_xlfn.IFS($D71="","",AND(DZ71=$C71,EA71=$D71),3,($C71-$D71)/MAX(ABS($C71-$D71),1)=(DZ71-EA71)/MAX(ABS(DZ71-EA71),1),1,TRUE,0)</f>
        <v/>
      </c>
      <c r="EC71" s="18"/>
      <c r="ED71" s="19"/>
      <c r="EE71" s="33" t="str" cm="1">
        <f t="array" ref="EE71">_xlfn.IFS($D71="","",AND(EC71=$C71,ED71=$D71),3,($C71-$D71)/MAX(ABS($C71-$D71),1)=(EC71-ED71)/MAX(ABS(EC71-ED71),1),1,TRUE,0)</f>
        <v/>
      </c>
      <c r="EF71" s="18"/>
      <c r="EG71" s="19"/>
      <c r="EH71" s="33" t="str" cm="1">
        <f t="array" ref="EH71">_xlfn.IFS($D71="","",AND(EF71=$C71,EG71=$D71),3,($C71-$D71)/MAX(ABS($C71-$D71),1)=(EF71-EG71)/MAX(ABS(EF71-EG71),1),1,TRUE,0)</f>
        <v/>
      </c>
      <c r="EI71" s="50"/>
      <c r="EJ71" s="51"/>
      <c r="EK71" s="33" t="str" cm="1">
        <f t="array" ref="EK71">_xlfn.IFS($D71="","",AND(EI71=$C71,EJ71=$D71),3,($C71-$D71)/MAX(ABS($C71-$D71),1)=(EI71-EJ71)/MAX(ABS(EI71-EJ71),1),1,TRUE,0)</f>
        <v/>
      </c>
      <c r="EL71" s="18"/>
      <c r="EM71" s="19"/>
      <c r="EN71" s="33" t="str" cm="1">
        <f t="array" ref="EN71">_xlfn.IFS($D71="","",AND(EL71=$C71,EM71=$D71),3,($C71-$D71)/MAX(ABS($C71-$D71),1)=(EL71-EM71)/MAX(ABS(EL71-EM71),1),1,TRUE,0)</f>
        <v/>
      </c>
      <c r="EO71" s="18"/>
      <c r="EP71" s="19"/>
      <c r="EQ71" s="33" t="str" cm="1">
        <f t="array" ref="EQ71">_xlfn.IFS($D71="","",AND(EO71=$C71,EP71=$D71),3,($C71-$D71)/MAX(ABS($C71-$D71),1)=(EO71-EP71)/MAX(ABS(EO71-EP71),1),1,TRUE,0)</f>
        <v/>
      </c>
      <c r="ER71" s="18"/>
      <c r="ES71" s="19"/>
      <c r="ET71" s="33" t="str" cm="1">
        <f t="array" ref="ET71">_xlfn.IFS($D71="","",AND(ER71=$C71,ES71=$D71),3,($C71-$D71)/MAX(ABS($C71-$D71),1)=(ER71-ES71)/MAX(ABS(ER71-ES71),1),1,TRUE,0)</f>
        <v/>
      </c>
      <c r="EU71" s="18"/>
      <c r="EV71" s="19"/>
      <c r="EW71" s="33" t="str" cm="1">
        <f t="array" ref="EW71">_xlfn.IFS($D71="","",AND(EU71=$C71,EV71=$D71),3,($C71-$D71)/MAX(ABS($C71-$D71),1)=(EU71-EV71)/MAX(ABS(EU71-EV71),1),1,TRUE,0)</f>
        <v/>
      </c>
      <c r="EX71" s="18"/>
      <c r="EY71" s="19"/>
      <c r="EZ71" s="33" t="str" cm="1">
        <f t="array" ref="EZ71">_xlfn.IFS($D71="","",AND(EX71=$C71,EY71=$D71),3,($C71-$D71)/MAX(ABS($C71-$D71),1)=(EX71-EY71)/MAX(ABS(EX71-EY71),1),1,TRUE,0)</f>
        <v/>
      </c>
      <c r="FA71" s="18"/>
      <c r="FB71" s="19"/>
      <c r="FC71" s="33" t="str" cm="1">
        <f t="array" ref="FC71">_xlfn.IFS($D71="","",AND(FA71=$C71,FB71=$D71),3,($C71-$D71)/MAX(ABS($C71-$D71),1)=(FA71-FB71)/MAX(ABS(FA71-FB71),1),1,TRUE,0)</f>
        <v/>
      </c>
      <c r="FD71" s="18"/>
      <c r="FE71" s="19"/>
      <c r="FF71" s="33" t="str" cm="1">
        <f t="array" ref="FF71">_xlfn.IFS($D71="","",AND(FD71=$C71,FE71=$D71),3,($C71-$D71)/MAX(ABS($C71-$D71),1)=(FD71-FE71)/MAX(ABS(FD71-FE71),1),1,TRUE,0)</f>
        <v/>
      </c>
      <c r="FG71" s="18"/>
      <c r="FH71" s="19"/>
      <c r="FI71" s="33" t="str" cm="1">
        <f t="array" ref="FI71">_xlfn.IFS($D71="","",AND(FG71=$C71,FH71=$D71),3,($C71-$D71)/MAX(ABS($C71-$D71),1)=(FG71-FH71)/MAX(ABS(FG71-FH71),1),1,TRUE,0)</f>
        <v/>
      </c>
      <c r="FJ71" s="18"/>
      <c r="FK71" s="19"/>
      <c r="FL71" s="33" t="str" cm="1">
        <f t="array" ref="FL71">_xlfn.IFS($D71="","",AND(FJ71=$C71,FK71=$D71),3,($C71-$D71)/MAX(ABS($C71-$D71),1)=(FJ71-FK71)/MAX(ABS(FJ71-FK71),1),1,TRUE,0)</f>
        <v/>
      </c>
      <c r="FM71" s="18"/>
      <c r="FN71" s="19"/>
      <c r="FO71" s="33" t="str" cm="1">
        <f t="array" ref="FO71">_xlfn.IFS($D71="","",AND(FM71=$C71,FN71=$D71),3,($C71-$D71)/MAX(ABS($C71-$D71),1)=(FM71-FN71)/MAX(ABS(FM71-FN71),1),1,TRUE,0)</f>
        <v/>
      </c>
      <c r="FP71" s="18"/>
      <c r="FQ71" s="19"/>
      <c r="FR71" s="33" t="str" cm="1">
        <f t="array" ref="FR71">_xlfn.IFS($D71="","",AND(FP71=$C71,FQ71=$D71),3,($C71-$D71)/MAX(ABS($C71-$D71),1)=(FP71-FQ71)/MAX(ABS(FP71-FQ71),1),1,TRUE,0)</f>
        <v/>
      </c>
      <c r="FS71" s="18"/>
      <c r="FT71" s="19"/>
      <c r="FU71" s="33" t="str" cm="1">
        <f t="array" ref="FU71">_xlfn.IFS($D71="","",AND(FS71=$C71,FT71=$D71),3,($C71-$D71)/MAX(ABS($C71-$D71),1)=(FS71-FT71)/MAX(ABS(FS71-FT71),1),1,TRUE,0)</f>
        <v/>
      </c>
      <c r="FV71" s="18"/>
      <c r="FW71" s="19"/>
      <c r="FX71" s="33" t="str" cm="1">
        <f t="array" ref="FX71">_xlfn.IFS($D71="","",AND(FV71=$C71,FW71=$D71),3,($C71-$D71)/MAX(ABS($C71-$D71),1)=(FV71-FW71)/MAX(ABS(FV71-FW71),1),1,TRUE,0)</f>
        <v/>
      </c>
      <c r="FY71" s="18"/>
      <c r="FZ71" s="19"/>
      <c r="GA71" s="33" t="str" cm="1">
        <f t="array" ref="GA71">_xlfn.IFS($D71="","",AND(FY71=$C71,FZ71=$D71),3,($C71-$D71)/MAX(ABS($C71-$D71),1)=(FY71-FZ71)/MAX(ABS(FY71-FZ71),1),1,TRUE,0)</f>
        <v/>
      </c>
      <c r="GB71" s="18"/>
      <c r="GC71" s="19"/>
      <c r="GD71" s="33" t="str" cm="1">
        <f t="array" ref="GD71">_xlfn.IFS($D71="","",AND(GB71=$C71,GC71=$D71),3,($C71-$D71)/MAX(ABS($C71-$D71),1)=(GB71-GC71)/MAX(ABS(GB71-GC71),1),1,TRUE,0)</f>
        <v/>
      </c>
      <c r="GE71" s="52"/>
      <c r="GF71" s="19"/>
      <c r="GG71" s="33" t="str" cm="1">
        <f t="array" ref="GG71">_xlfn.IFS($D71="","",AND(GE71=$C71,GF71=$D71),3,($C71-$D71)/MAX(ABS($C71-$D71),1)=(GE71-GF71)/MAX(ABS(GE71-GF71),1),1,TRUE,0)</f>
        <v/>
      </c>
      <c r="GH71" s="18"/>
      <c r="GI71" s="19"/>
      <c r="GJ71" s="33" t="str" cm="1">
        <f t="array" ref="GJ71">_xlfn.IFS($D71="","",AND(GH71=$C71,GI71=$D71),3,($C71-$D71)/MAX(ABS($C71-$D71),1)=(GH71-GI71)/MAX(ABS(GH71-GI71),1),1,TRUE,0)</f>
        <v/>
      </c>
      <c r="GK71" s="18"/>
      <c r="GL71" s="19"/>
      <c r="GM71" s="33" t="str" cm="1">
        <f t="array" ref="GM71">_xlfn.IFS($D71="","",AND(GK71=$C71,GL71=$D71),3,($C71-$D71)/MAX(ABS($C71-$D71),1)=(GK71-GL71)/MAX(ABS(GK71-GL71),1),1,TRUE,0)</f>
        <v/>
      </c>
      <c r="GN71" s="18"/>
      <c r="GO71" s="19"/>
      <c r="GP71" s="33" t="str" cm="1">
        <f t="array" ref="GP71">_xlfn.IFS($D71="","",AND(GN71=$C71,GO71=$D71),3,($C71-$D71)/MAX(ABS($C71-$D71),1)=(GN71-GO71)/MAX(ABS(GN71-GO71),1),1,TRUE,0)</f>
        <v/>
      </c>
      <c r="GQ71" s="18"/>
      <c r="GR71" s="19"/>
      <c r="GS71" s="33" t="str" cm="1">
        <f t="array" ref="GS71">_xlfn.IFS($D71="","",AND(GQ71=$C71,GR71=$D71),3,($C71-$D71)/MAX(ABS($C71-$D71),1)=(GQ71-GR71)/MAX(ABS(GQ71-GR71),1),1,TRUE,0)</f>
        <v/>
      </c>
      <c r="GT71" s="18"/>
      <c r="GU71" s="19"/>
      <c r="GV71" s="33" t="str" cm="1">
        <f t="array" ref="GV71">_xlfn.IFS($D71="","",AND(GT71=$C71,GU71=$D71),3,($C71-$D71)/MAX(ABS($C71-$D71),1)=(GT71-GU71)/MAX(ABS(GT71-GU71),1),1,TRUE,0)</f>
        <v/>
      </c>
      <c r="GW71" s="18"/>
      <c r="GX71" s="19"/>
      <c r="GY71" s="33" t="str" cm="1">
        <f t="array" ref="GY71">_xlfn.IFS($D71="","",AND(GW71=$C71,GX71=$D71),3,($C71-$D71)/MAX(ABS($C71-$D71),1)=(GW71-GX71)/MAX(ABS(GW71-GX71),1),1,TRUE,0)</f>
        <v/>
      </c>
      <c r="GZ71" s="18"/>
      <c r="HA71" s="19"/>
      <c r="HB71" s="33" t="str" cm="1">
        <f t="array" ref="HB71">_xlfn.IFS($D71="","",AND(GZ71=$C71,HA71=$D71),3,($C71-$D71)/MAX(ABS($C71-$D71),1)=(GZ71-HA71)/MAX(ABS(GZ71-HA71),1),1,TRUE,0)</f>
        <v/>
      </c>
      <c r="HC71" s="18"/>
      <c r="HD71" s="19"/>
      <c r="HE71" s="33" t="str" cm="1">
        <f t="array" ref="HE71">_xlfn.IFS($D71="","",AND(HC71=$C71,HD71=$D71),3,($C71-$D71)/MAX(ABS($C71-$D71),1)=(HC71-HD71)/MAX(ABS(HC71-HD71),1),1,TRUE,0)</f>
        <v/>
      </c>
      <c r="HF71" s="18"/>
      <c r="HG71" s="19"/>
      <c r="HH71" s="33" t="str" cm="1">
        <f t="array" ref="HH71">_xlfn.IFS($D71="","",AND(HF71=$C71,HG71=$D71),3,($C71-$D71)/MAX(ABS($C71-$D71),1)=(HF71-HG71)/MAX(ABS(HF71-HG71),1),1,TRUE,0)</f>
        <v/>
      </c>
      <c r="HI71" s="18"/>
      <c r="HJ71" s="19"/>
      <c r="HK71" s="33" t="str" cm="1">
        <f t="array" ref="HK71">_xlfn.IFS($D71="","",AND(HI71=$C71,HJ71=$D71),3,($C71-$D71)/MAX(ABS($C71-$D71),1)=(HI71-HJ71)/MAX(ABS(HI71-HJ71),1),1,TRUE,0)</f>
        <v/>
      </c>
      <c r="HL71" s="18"/>
      <c r="HM71" s="19"/>
      <c r="HN71" s="33" t="str" cm="1">
        <f t="array" ref="HN71">_xlfn.IFS($D71="","",AND(HL71=$C71,HM71=$D71),3,($C71-$D71)/MAX(ABS($C71-$D71),1)=(HL71-HM71)/MAX(ABS(HL71-HM71),1),1,TRUE,0)</f>
        <v/>
      </c>
      <c r="HO71" s="18"/>
      <c r="HP71" s="19"/>
      <c r="HQ71" s="33" t="str" cm="1">
        <f t="array" ref="HQ71">_xlfn.IFS($D71="","",AND(HO71=$C71,HP71=$D71),3,($C71-$D71)/MAX(ABS($C71-$D71),1)=(HO71-HP71)/MAX(ABS(HO71-HP71),1),1,TRUE,0)</f>
        <v/>
      </c>
      <c r="HR71" s="18"/>
      <c r="HS71" s="19"/>
      <c r="HT71" s="33" t="str" cm="1">
        <f t="array" ref="HT71">_xlfn.IFS($D71="","",AND(HR71=$C71,HS71=$D71),3,($C71-$D71)/MAX(ABS($C71-$D71),1)=(HR71-HS71)/MAX(ABS(HR71-HS71),1),1,TRUE,0)</f>
        <v/>
      </c>
      <c r="HU71" s="18"/>
      <c r="HV71" s="19"/>
      <c r="HW71" s="33" t="str" cm="1">
        <f t="array" ref="HW71">_xlfn.IFS($D71="","",AND(HU71=$C71,HV71=$D71),3,($C71-$D71)/MAX(ABS($C71-$D71),1)=(HU71-HV71)/MAX(ABS(HU71-HV71),1),1,TRUE,0)</f>
        <v/>
      </c>
      <c r="HX71" s="18"/>
      <c r="HY71" s="19"/>
      <c r="HZ71" s="33" t="str" cm="1">
        <f t="array" ref="HZ71">_xlfn.IFS($D71="","",AND(HX71=$C71,HY71=$D71),3,($C71-$D71)/MAX(ABS($C71-$D71),1)=(HX71-HY71)/MAX(ABS(HX71-HY71),1),1,TRUE,0)</f>
        <v/>
      </c>
      <c r="IA71" s="18"/>
      <c r="IB71" s="19"/>
      <c r="IC71" s="33" t="str" cm="1">
        <f t="array" ref="IC71">_xlfn.IFS($D71="","",AND(IA71=$C71,IB71=$D71),3,($C71-$D71)/MAX(ABS($C71-$D71),1)=(IA71-IB71)/MAX(ABS(IA71-IB71),1),1,TRUE,0)</f>
        <v/>
      </c>
      <c r="ID71" s="18"/>
      <c r="IE71" s="19"/>
      <c r="IF71" s="33" t="str" cm="1">
        <f t="array" ref="IF71">_xlfn.IFS($D71="","",AND(ID71=$C71,IE71=$D71),3,($C71-$D71)/MAX(ABS($C71-$D71),1)=(ID71-IE71)/MAX(ABS(ID71-IE71),1),1,TRUE,0)</f>
        <v/>
      </c>
      <c r="IG71" s="18"/>
      <c r="IH71" s="19"/>
      <c r="II71" s="33" t="str" cm="1">
        <f t="array" ref="II71">_xlfn.IFS($D71="","",AND(IG71=$C71,IH71=$D71),3,($C71-$D71)/MAX(ABS($C71-$D71),1)=(IG71-IH71)/MAX(ABS(IG71-IH71),1),1,TRUE,0)</f>
        <v/>
      </c>
      <c r="IJ71" s="18"/>
      <c r="IK71" s="19"/>
      <c r="IL71" s="33" t="str" cm="1">
        <f t="array" ref="IL71">_xlfn.IFS($D71="","",AND(IJ71=$C71,IK71=$D71),3,($C71-$D71)/MAX(ABS($C71-$D71),1)=(IJ71-IK71)/MAX(ABS(IJ71-IK71),1),1,TRUE,0)</f>
        <v/>
      </c>
      <c r="IM71" s="18"/>
      <c r="IN71" s="19"/>
      <c r="IO71" s="33" t="str" cm="1">
        <f t="array" ref="IO71">_xlfn.IFS($D71="","",AND(IM71=$C71,IN71=$D71),3,($C71-$D71)/MAX(ABS($C71-$D71),1)=(IM71-IN71)/MAX(ABS(IM71-IN71),1),1,TRUE,0)</f>
        <v/>
      </c>
      <c r="IP71" s="18"/>
      <c r="IQ71" s="19"/>
      <c r="IR71" s="33" t="str" cm="1">
        <f t="array" ref="IR71">_xlfn.IFS($D71="","",AND(IP71=$C71,IQ71=$D71),3,($C71-$D71)/MAX(ABS($C71-$D71),1)=(IP71-IQ71)/MAX(ABS(IP71-IQ71),1),1,TRUE,0)</f>
        <v/>
      </c>
      <c r="IS71" s="18"/>
      <c r="IT71" s="19"/>
      <c r="IU71" s="33" t="str" cm="1">
        <f t="array" ref="IU71">_xlfn.IFS($D71="","",AND(IS71=$C71,IT71=$D71),3,($C71-$D71)/MAX(ABS($C71-$D71),1)=(IS71-IT71)/MAX(ABS(IS71-IT71),1),1,TRUE,0)</f>
        <v/>
      </c>
      <c r="IV71" s="18"/>
      <c r="IW71" s="19"/>
      <c r="IX71" s="33" t="str" cm="1">
        <f t="array" ref="IX71">_xlfn.IFS($D71="","",AND(IV71=$C71,IW71=$D71),3,($C71-$D71)/MAX(ABS($C71-$D71),1)=(IV71-IW71)/MAX(ABS(IV71-IW71),1),1,TRUE,0)</f>
        <v/>
      </c>
      <c r="IY71" s="18"/>
      <c r="IZ71" s="19"/>
      <c r="JA71" s="33" t="str" cm="1">
        <f t="array" ref="JA71">_xlfn.IFS($D71="","",AND(IY71=$C71,IZ71=$D71),3,($C71-$D71)/MAX(ABS($C71-$D71),1)=(IY71-IZ71)/MAX(ABS(IY71-IZ71),1),1,TRUE,0)</f>
        <v/>
      </c>
      <c r="JB71" s="18"/>
      <c r="JC71" s="19"/>
      <c r="JD71" s="33" t="str" cm="1">
        <f t="array" ref="JD71">_xlfn.IFS($D71="","",AND(JB71=$C71,JC71=$D71),3,($C71-$D71)/MAX(ABS($C71-$D71),1)=(JB71-JC71)/MAX(ABS(JB71-JC71),1),1,TRUE,0)</f>
        <v/>
      </c>
    </row>
    <row r="72" spans="1:264" ht="15" thickBot="1" x14ac:dyDescent="0.35">
      <c r="A72" s="22">
        <v>46201</v>
      </c>
      <c r="B72" s="28" t="s">
        <v>68</v>
      </c>
      <c r="C72" s="53" t="str" cm="1">
        <f t="array" ref="C72">_xlfn.LET(
_xlpm.x,_xlfn.XLOOKUP(1,(Scores_Fixtures[Date]=A72)*(Scores_Fixtures[Home.1]=B72),Scores_Fixtures[Score.1],""),
IF(_xlpm.x="","",_xlpm.x)
)</f>
        <v/>
      </c>
      <c r="D72" s="53" t="str" cm="1">
        <f t="array" ref="D72">_xlfn.LET(
_xlpm.x,_xlfn.XLOOKUP(1,(Scores_Fixtures[Date]=A72)*(Scores_Fixtures[Home.1]=B72),Scores_Fixtures[Score.2],""),
IF(_xlpm.x="","",_xlpm.x)
)</f>
        <v/>
      </c>
      <c r="E72" s="12" t="s">
        <v>49</v>
      </c>
      <c r="F72" s="15"/>
      <c r="G72" s="53"/>
      <c r="H72" s="53"/>
      <c r="I72" s="33" t="str" cm="1">
        <f t="array" ref="I72">_xlfn.IFS($D72="","",AND(G72=$C72,H72=$D72),3,($C72-$D72)/MAX(ABS($C72-$D72),1)=(G72-H72)/MAX(ABS(G72-H72),1),1,TRUE,0)</f>
        <v/>
      </c>
      <c r="J72" s="18"/>
      <c r="K72" s="19"/>
      <c r="L72" s="33" t="str" cm="1">
        <f t="array" ref="L72">_xlfn.IFS($D72="","",AND(J72=$C72,K72=$D72),3,($C72-$D72)/MAX(ABS($C72-$D72),1)=(J72-K72)/MAX(ABS(J72-K72),1),1,TRUE,0)</f>
        <v/>
      </c>
      <c r="M72" s="18"/>
      <c r="N72" s="19"/>
      <c r="O72" s="33" t="str" cm="1">
        <f t="array" ref="O72">_xlfn.IFS($D72="","",AND(M72=$C72,N72=$D72),3,($C72-$D72)/MAX(ABS($C72-$D72),1)=(M72-N72)/MAX(ABS(M72-N72),1),1,TRUE,0)</f>
        <v/>
      </c>
      <c r="P72" s="18"/>
      <c r="Q72" s="19"/>
      <c r="R72" s="33" t="str" cm="1">
        <f t="array" ref="R72">_xlfn.IFS($D72="","",AND(P72=$C72,Q72=$D72),3,($C72-$D72)/MAX(ABS($C72-$D72),1)=(P72-Q72)/MAX(ABS(P72-Q72),1),1,TRUE,0)</f>
        <v/>
      </c>
      <c r="S72" s="18"/>
      <c r="T72" s="19"/>
      <c r="U72" s="33" t="str" cm="1">
        <f t="array" ref="U72">_xlfn.IFS($D72="","",AND(S72=$C72,T72=$D72),3,($C72-$D72)/MAX(ABS($C72-$D72),1)=(S72-T72)/MAX(ABS(S72-T72),1),1,TRUE,0)</f>
        <v/>
      </c>
      <c r="V72" s="18"/>
      <c r="W72" s="19"/>
      <c r="X72" s="33" t="str" cm="1">
        <f t="array" ref="X72">_xlfn.IFS($D72="","",AND(V72=$C72,W72=$D72),3,($C72-$D72)/MAX(ABS($C72-$D72),1)=(V72-W72)/MAX(ABS(V72-W72),1),1,TRUE,0)</f>
        <v/>
      </c>
      <c r="Y72" s="18"/>
      <c r="Z72" s="19"/>
      <c r="AA72" s="33" t="str" cm="1">
        <f t="array" ref="AA72">_xlfn.IFS($D72="","",AND(Y72=$C72,Z72=$D72),3,($C72-$D72)/MAX(ABS($C72-$D72),1)=(Y72-Z72)/MAX(ABS(Y72-Z72),1),1,TRUE,0)</f>
        <v/>
      </c>
      <c r="AB72" s="18"/>
      <c r="AC72" s="19"/>
      <c r="AD72" s="33" t="str" cm="1">
        <f t="array" ref="AD72">_xlfn.IFS($D72="","",AND(AB72=$C72,AC72=$D72),3,($C72-$D72)/MAX(ABS($C72-$D72),1)=(AB72-AC72)/MAX(ABS(AB72-AC72),1),1,TRUE,0)</f>
        <v/>
      </c>
      <c r="AE72" s="18"/>
      <c r="AF72" s="19"/>
      <c r="AG72" s="33" t="str" cm="1">
        <f t="array" ref="AG72">_xlfn.IFS($D72="","",AND(AE72=$C72,AF72=$D72),3,($C72-$D72)/MAX(ABS($C72-$D72),1)=(AE72-AF72)/MAX(ABS(AE72-AF72),1),1,TRUE,0)</f>
        <v/>
      </c>
      <c r="AH72" s="18"/>
      <c r="AI72" s="19"/>
      <c r="AJ72" s="33" t="str" cm="1">
        <f t="array" ref="AJ72">_xlfn.IFS($D72="","",AND(AH72=$C72,AI72=$D72),3,($C72-$D72)/MAX(ABS($C72-$D72),1)=(AH72-AI72)/MAX(ABS(AH72-AI72),1),1,TRUE,0)</f>
        <v/>
      </c>
      <c r="AK72" s="18"/>
      <c r="AL72" s="19"/>
      <c r="AM72" s="33" t="str" cm="1">
        <f t="array" ref="AM72">_xlfn.IFS($D72="","",AND(AK72=$C72,AL72=$D72),3,($C72-$D72)/MAX(ABS($C72-$D72),1)=(AK72-AL72)/MAX(ABS(AK72-AL72),1),1,TRUE,0)</f>
        <v/>
      </c>
      <c r="AN72" s="18"/>
      <c r="AO72" s="19"/>
      <c r="AP72" s="33" t="str" cm="1">
        <f t="array" ref="AP72">_xlfn.IFS($D72="","",AND(AN72=$C72,AO72=$D72),3,($C72-$D72)/MAX(ABS($C72-$D72),1)=(AN72-AO72)/MAX(ABS(AN72-AO72),1),1,TRUE,0)</f>
        <v/>
      </c>
      <c r="AQ72" s="18"/>
      <c r="AR72" s="19"/>
      <c r="AS72" s="33" t="str" cm="1">
        <f t="array" ref="AS72">_xlfn.IFS($D72="","",AND(AQ72=$C72,AR72=$D72),3,($C72-$D72)/MAX(ABS($C72-$D72),1)=(AQ72-AR72)/MAX(ABS(AQ72-AR72),1),1,TRUE,0)</f>
        <v/>
      </c>
      <c r="AT72" s="18"/>
      <c r="AU72" s="19"/>
      <c r="AV72" s="33" t="str" cm="1">
        <f t="array" ref="AV72">_xlfn.IFS($D72="","",AND(AT72=$C72,AU72=$D72),3,($C72-$D72)/MAX(ABS($C72-$D72),1)=(AT72-AU72)/MAX(ABS(AT72-AU72),1),1,TRUE,0)</f>
        <v/>
      </c>
      <c r="AW72" s="18"/>
      <c r="AX72" s="19"/>
      <c r="AY72" s="33" t="str" cm="1">
        <f t="array" ref="AY72">_xlfn.IFS($D72="","",AND(AW72=$C72,AX72=$D72),3,($C72-$D72)/MAX(ABS($C72-$D72),1)=(AW72-AX72)/MAX(ABS(AW72-AX72),1),1,TRUE,0)</f>
        <v/>
      </c>
      <c r="AZ72" s="18"/>
      <c r="BA72" s="19"/>
      <c r="BB72" s="33" t="str" cm="1">
        <f t="array" ref="BB72">_xlfn.IFS($D72="","",AND(AZ72=$C72,BA72=$D72),3,($C72-$D72)/MAX(ABS($C72-$D72),1)=(AZ72-BA72)/MAX(ABS(AZ72-BA72),1),1,TRUE,0)</f>
        <v/>
      </c>
      <c r="BC72" s="18"/>
      <c r="BD72" s="19"/>
      <c r="BE72" s="33" t="str" cm="1">
        <f t="array" ref="BE72">_xlfn.IFS($D72="","",AND(BC72=$C72,BD72=$D72),3,($C72-$D72)/MAX(ABS($C72-$D72),1)=(BC72-BD72)/MAX(ABS(BC72-BD72),1),1,TRUE,0)</f>
        <v/>
      </c>
      <c r="BF72" s="18"/>
      <c r="BG72" s="19"/>
      <c r="BH72" s="33" t="str" cm="1">
        <f t="array" ref="BH72">_xlfn.IFS($D72="","",AND(BF72=$C72,BG72=$D72),3,($C72-$D72)/MAX(ABS($C72-$D72),1)=(BF72-BG72)/MAX(ABS(BF72-BG72),1),1,TRUE,0)</f>
        <v/>
      </c>
      <c r="BI72" s="18"/>
      <c r="BJ72" s="19"/>
      <c r="BK72" s="33" t="str" cm="1">
        <f t="array" ref="BK72">_xlfn.IFS($D72="","",AND(BI72=$C72,BJ72=$D72),3,($C72-$D72)/MAX(ABS($C72-$D72),1)=(BI72-BJ72)/MAX(ABS(BI72-BJ72),1),1,TRUE,0)</f>
        <v/>
      </c>
      <c r="BL72" s="18"/>
      <c r="BM72" s="19"/>
      <c r="BN72" s="33" t="str" cm="1">
        <f t="array" ref="BN72">_xlfn.IFS($D72="","",AND(BL72=$C72,BM72=$D72),3,($C72-$D72)/MAX(ABS($C72-$D72),1)=(BL72-BM72)/MAX(ABS(BL72-BM72),1),1,TRUE,0)</f>
        <v/>
      </c>
      <c r="BO72" s="18"/>
      <c r="BP72" s="19"/>
      <c r="BQ72" s="33" t="str" cm="1">
        <f t="array" ref="BQ72">_xlfn.IFS($D72="","",AND(BO72=$C72,BP72=$D72),3,($C72-$D72)/MAX(ABS($C72-$D72),1)=(BO72-BP72)/MAX(ABS(BO72-BP72),1),1,TRUE,0)</f>
        <v/>
      </c>
      <c r="BR72" s="18"/>
      <c r="BS72" s="19"/>
      <c r="BT72" s="33" t="str" cm="1">
        <f t="array" ref="BT72">_xlfn.IFS($D72="","",AND(BR72=$C72,BS72=$D72),3,($C72-$D72)/MAX(ABS($C72-$D72),1)=(BR72-BS72)/MAX(ABS(BR72-BS72),1),1,TRUE,0)</f>
        <v/>
      </c>
      <c r="BU72" s="18"/>
      <c r="BV72" s="19"/>
      <c r="BW72" s="33" t="str" cm="1">
        <f t="array" ref="BW72">_xlfn.IFS($D72="","",AND(BU72=$C72,BV72=$D72),3,($C72-$D72)/MAX(ABS($C72-$D72),1)=(BU72-BV72)/MAX(ABS(BU72-BV72),1),1,TRUE,0)</f>
        <v/>
      </c>
      <c r="BX72" s="18"/>
      <c r="BY72" s="19"/>
      <c r="BZ72" s="33" t="str" cm="1">
        <f t="array" ref="BZ72">_xlfn.IFS($D72="","",AND(BX72=$C72,BY72=$D72),3,($C72-$D72)/MAX(ABS($C72-$D72),1)=(BX72-BY72)/MAX(ABS(BX72-BY72),1),1,TRUE,0)</f>
        <v/>
      </c>
      <c r="CA72" s="18"/>
      <c r="CB72" s="19"/>
      <c r="CC72" s="33" t="str" cm="1">
        <f t="array" ref="CC72">_xlfn.IFS($D72="","",AND(CA72=$C72,CB72=$D72),3,($C72-$D72)/MAX(ABS($C72-$D72),1)=(CA72-CB72)/MAX(ABS(CA72-CB72),1),1,TRUE,0)</f>
        <v/>
      </c>
      <c r="CD72" s="18"/>
      <c r="CE72" s="19"/>
      <c r="CF72" s="33" t="str" cm="1">
        <f t="array" ref="CF72">_xlfn.IFS($D72="","",AND(CD72=$C72,CE72=$D72),3,($C72-$D72)/MAX(ABS($C72-$D72),1)=(CD72-CE72)/MAX(ABS(CD72-CE72),1),1,TRUE,0)</f>
        <v/>
      </c>
      <c r="CG72" s="18"/>
      <c r="CH72" s="19"/>
      <c r="CI72" s="33" t="str" cm="1">
        <f t="array" ref="CI72">_xlfn.IFS($D72="","",AND(CG72=$C72,CH72=$D72),3,($C72-$D72)/MAX(ABS($C72-$D72),1)=(CG72-CH72)/MAX(ABS(CG72-CH72),1),1,TRUE,0)</f>
        <v/>
      </c>
      <c r="CJ72" s="18"/>
      <c r="CK72" s="19"/>
      <c r="CL72" s="33" t="str" cm="1">
        <f t="array" ref="CL72">_xlfn.IFS($D72="","",AND(CJ72=$C72,CK72=$D72),3,($C72-$D72)/MAX(ABS($C72-$D72),1)=(CJ72-CK72)/MAX(ABS(CJ72-CK72),1),1,TRUE,0)</f>
        <v/>
      </c>
      <c r="CM72" s="18"/>
      <c r="CN72" s="19"/>
      <c r="CO72" s="33" t="str" cm="1">
        <f t="array" ref="CO72">_xlfn.IFS($D72="","",AND(CM72=$C72,CN72=$D72),3,($C72-$D72)/MAX(ABS($C72-$D72),1)=(CM72-CN72)/MAX(ABS(CM72-CN72),1),1,TRUE,0)</f>
        <v/>
      </c>
      <c r="CP72" s="18"/>
      <c r="CQ72" s="19"/>
      <c r="CR72" s="33" t="str" cm="1">
        <f t="array" ref="CR72">_xlfn.IFS($D72="","",AND(CP72=$C72,CQ72=$D72),3,($C72-$D72)/MAX(ABS($C72-$D72),1)=(CP72-CQ72)/MAX(ABS(CP72-CQ72),1),1,TRUE,0)</f>
        <v/>
      </c>
      <c r="CS72" s="18"/>
      <c r="CT72" s="19"/>
      <c r="CU72" s="33" t="str" cm="1">
        <f t="array" ref="CU72">_xlfn.IFS($D72="","",AND(CS72=$C72,CT72=$D72),3,($C72-$D72)/MAX(ABS($C72-$D72),1)=(CS72-CT72)/MAX(ABS(CS72-CT72),1),1,TRUE,0)</f>
        <v/>
      </c>
      <c r="CV72" s="18"/>
      <c r="CW72" s="19"/>
      <c r="CX72" s="33" t="str" cm="1">
        <f t="array" ref="CX72">_xlfn.IFS($D72="","",AND(CV72=$C72,CW72=$D72),3,($C72-$D72)/MAX(ABS($C72-$D72),1)=(CV72-CW72)/MAX(ABS(CV72-CW72),1),1,TRUE,0)</f>
        <v/>
      </c>
      <c r="CY72" s="18"/>
      <c r="CZ72" s="19"/>
      <c r="DA72" s="33" t="str" cm="1">
        <f t="array" ref="DA72">_xlfn.IFS($D72="","",AND(CY72=$C72,CZ72=$D72),3,($C72-$D72)/MAX(ABS($C72-$D72),1)=(CY72-CZ72)/MAX(ABS(CY72-CZ72),1),1,TRUE,0)</f>
        <v/>
      </c>
      <c r="DB72" s="37"/>
      <c r="DC72" s="38"/>
      <c r="DD72" s="33" t="str" cm="1">
        <f t="array" ref="DD72">_xlfn.IFS($D72="","",AND(DB72=$C72,DC72=$D72),3,($C72-$D72)/MAX(ABS($C72-$D72),1)=(DB72-DC72)/MAX(ABS(DB72-DC72),1),1,TRUE,0)</f>
        <v/>
      </c>
      <c r="DE72" s="18"/>
      <c r="DF72" s="19"/>
      <c r="DG72" s="33" t="str" cm="1">
        <f t="array" ref="DG72">_xlfn.IFS($D72="","",AND(DE72=$C72,DF72=$D72),3,($C72-$D72)/MAX(ABS($C72-$D72),1)=(DE72-DF72)/MAX(ABS(DE72-DF72),1),1,TRUE,0)</f>
        <v/>
      </c>
      <c r="DH72" s="18"/>
      <c r="DI72" s="19"/>
      <c r="DJ72" s="33" t="str" cm="1">
        <f t="array" ref="DJ72">_xlfn.IFS($D72="","",AND(DH72=$C72,DI72=$D72),3,($C72-$D72)/MAX(ABS($C72-$D72),1)=(DH72-DI72)/MAX(ABS(DH72-DI72),1),1,TRUE,0)</f>
        <v/>
      </c>
      <c r="DK72" s="18"/>
      <c r="DL72" s="19"/>
      <c r="DM72" s="33" t="str" cm="1">
        <f t="array" ref="DM72">_xlfn.IFS($D72="","",AND(DK72=$C72,DL72=$D72),3,($C72-$D72)/MAX(ABS($C72-$D72),1)=(DK72-DL72)/MAX(ABS(DK72-DL72),1),1,TRUE,0)</f>
        <v/>
      </c>
      <c r="DN72" s="18"/>
      <c r="DO72" s="19"/>
      <c r="DP72" s="33" t="str" cm="1">
        <f t="array" ref="DP72">_xlfn.IFS($D72="","",AND(DN72=$C72,DO72=$D72),3,($C72-$D72)/MAX(ABS($C72-$D72),1)=(DN72-DO72)/MAX(ABS(DN72-DO72),1),1,TRUE,0)</f>
        <v/>
      </c>
      <c r="DQ72" s="18"/>
      <c r="DR72" s="19"/>
      <c r="DS72" s="33" t="str" cm="1">
        <f t="array" ref="DS72">_xlfn.IFS($D72="","",AND(DQ72=$C72,DR72=$D72),3,($C72-$D72)/MAX(ABS($C72-$D72),1)=(DQ72-DR72)/MAX(ABS(DQ72-DR72),1),1,TRUE,0)</f>
        <v/>
      </c>
      <c r="DT72" s="18"/>
      <c r="DU72" s="19"/>
      <c r="DV72" s="33" t="str" cm="1">
        <f t="array" ref="DV72">_xlfn.IFS($D72="","",AND(DT72=$C72,DU72=$D72),3,($C72-$D72)/MAX(ABS($C72-$D72),1)=(DT72-DU72)/MAX(ABS(DT72-DU72),1),1,TRUE,0)</f>
        <v/>
      </c>
      <c r="DW72" s="18"/>
      <c r="DX72" s="19"/>
      <c r="DY72" s="33" t="str" cm="1">
        <f t="array" ref="DY72">_xlfn.IFS($D72="","",AND(DW72=$C72,DX72=$D72),3,($C72-$D72)/MAX(ABS($C72-$D72),1)=(DW72-DX72)/MAX(ABS(DW72-DX72),1),1,TRUE,0)</f>
        <v/>
      </c>
      <c r="DZ72" s="18"/>
      <c r="EA72" s="19"/>
      <c r="EB72" s="33" t="str" cm="1">
        <f t="array" ref="EB72">_xlfn.IFS($D72="","",AND(DZ72=$C72,EA72=$D72),3,($C72-$D72)/MAX(ABS($C72-$D72),1)=(DZ72-EA72)/MAX(ABS(DZ72-EA72),1),1,TRUE,0)</f>
        <v/>
      </c>
      <c r="EC72" s="18"/>
      <c r="ED72" s="19"/>
      <c r="EE72" s="33" t="str" cm="1">
        <f t="array" ref="EE72">_xlfn.IFS($D72="","",AND(EC72=$C72,ED72=$D72),3,($C72-$D72)/MAX(ABS($C72-$D72),1)=(EC72-ED72)/MAX(ABS(EC72-ED72),1),1,TRUE,0)</f>
        <v/>
      </c>
      <c r="EF72" s="18"/>
      <c r="EG72" s="19"/>
      <c r="EH72" s="33" t="str" cm="1">
        <f t="array" ref="EH72">_xlfn.IFS($D72="","",AND(EF72=$C72,EG72=$D72),3,($C72-$D72)/MAX(ABS($C72-$D72),1)=(EF72-EG72)/MAX(ABS(EF72-EG72),1),1,TRUE,0)</f>
        <v/>
      </c>
      <c r="EI72" s="50"/>
      <c r="EJ72" s="51"/>
      <c r="EK72" s="33" t="str" cm="1">
        <f t="array" ref="EK72">_xlfn.IFS($D72="","",AND(EI72=$C72,EJ72=$D72),3,($C72-$D72)/MAX(ABS($C72-$D72),1)=(EI72-EJ72)/MAX(ABS(EI72-EJ72),1),1,TRUE,0)</f>
        <v/>
      </c>
      <c r="EL72" s="18"/>
      <c r="EM72" s="19"/>
      <c r="EN72" s="33" t="str" cm="1">
        <f t="array" ref="EN72">_xlfn.IFS($D72="","",AND(EL72=$C72,EM72=$D72),3,($C72-$D72)/MAX(ABS($C72-$D72),1)=(EL72-EM72)/MAX(ABS(EL72-EM72),1),1,TRUE,0)</f>
        <v/>
      </c>
      <c r="EO72" s="18"/>
      <c r="EP72" s="19"/>
      <c r="EQ72" s="33" t="str" cm="1">
        <f t="array" ref="EQ72">_xlfn.IFS($D72="","",AND(EO72=$C72,EP72=$D72),3,($C72-$D72)/MAX(ABS($C72-$D72),1)=(EO72-EP72)/MAX(ABS(EO72-EP72),1),1,TRUE,0)</f>
        <v/>
      </c>
      <c r="ER72" s="18"/>
      <c r="ES72" s="19"/>
      <c r="ET72" s="33" t="str" cm="1">
        <f t="array" ref="ET72">_xlfn.IFS($D72="","",AND(ER72=$C72,ES72=$D72),3,($C72-$D72)/MAX(ABS($C72-$D72),1)=(ER72-ES72)/MAX(ABS(ER72-ES72),1),1,TRUE,0)</f>
        <v/>
      </c>
      <c r="EU72" s="18"/>
      <c r="EV72" s="19"/>
      <c r="EW72" s="33" t="str" cm="1">
        <f t="array" ref="EW72">_xlfn.IFS($D72="","",AND(EU72=$C72,EV72=$D72),3,($C72-$D72)/MAX(ABS($C72-$D72),1)=(EU72-EV72)/MAX(ABS(EU72-EV72),1),1,TRUE,0)</f>
        <v/>
      </c>
      <c r="EX72" s="18"/>
      <c r="EY72" s="19"/>
      <c r="EZ72" s="33" t="str" cm="1">
        <f t="array" ref="EZ72">_xlfn.IFS($D72="","",AND(EX72=$C72,EY72=$D72),3,($C72-$D72)/MAX(ABS($C72-$D72),1)=(EX72-EY72)/MAX(ABS(EX72-EY72),1),1,TRUE,0)</f>
        <v/>
      </c>
      <c r="FA72" s="18"/>
      <c r="FB72" s="19"/>
      <c r="FC72" s="33" t="str" cm="1">
        <f t="array" ref="FC72">_xlfn.IFS($D72="","",AND(FA72=$C72,FB72=$D72),3,($C72-$D72)/MAX(ABS($C72-$D72),1)=(FA72-FB72)/MAX(ABS(FA72-FB72),1),1,TRUE,0)</f>
        <v/>
      </c>
      <c r="FD72" s="18"/>
      <c r="FE72" s="19"/>
      <c r="FF72" s="33" t="str" cm="1">
        <f t="array" ref="FF72">_xlfn.IFS($D72="","",AND(FD72=$C72,FE72=$D72),3,($C72-$D72)/MAX(ABS($C72-$D72),1)=(FD72-FE72)/MAX(ABS(FD72-FE72),1),1,TRUE,0)</f>
        <v/>
      </c>
      <c r="FG72" s="18"/>
      <c r="FH72" s="19"/>
      <c r="FI72" s="33" t="str" cm="1">
        <f t="array" ref="FI72">_xlfn.IFS($D72="","",AND(FG72=$C72,FH72=$D72),3,($C72-$D72)/MAX(ABS($C72-$D72),1)=(FG72-FH72)/MAX(ABS(FG72-FH72),1),1,TRUE,0)</f>
        <v/>
      </c>
      <c r="FJ72" s="18"/>
      <c r="FK72" s="19"/>
      <c r="FL72" s="33" t="str" cm="1">
        <f t="array" ref="FL72">_xlfn.IFS($D72="","",AND(FJ72=$C72,FK72=$D72),3,($C72-$D72)/MAX(ABS($C72-$D72),1)=(FJ72-FK72)/MAX(ABS(FJ72-FK72),1),1,TRUE,0)</f>
        <v/>
      </c>
      <c r="FM72" s="18"/>
      <c r="FN72" s="19"/>
      <c r="FO72" s="33" t="str" cm="1">
        <f t="array" ref="FO72">_xlfn.IFS($D72="","",AND(FM72=$C72,FN72=$D72),3,($C72-$D72)/MAX(ABS($C72-$D72),1)=(FM72-FN72)/MAX(ABS(FM72-FN72),1),1,TRUE,0)</f>
        <v/>
      </c>
      <c r="FP72" s="18"/>
      <c r="FQ72" s="19"/>
      <c r="FR72" s="33" t="str" cm="1">
        <f t="array" ref="FR72">_xlfn.IFS($D72="","",AND(FP72=$C72,FQ72=$D72),3,($C72-$D72)/MAX(ABS($C72-$D72),1)=(FP72-FQ72)/MAX(ABS(FP72-FQ72),1),1,TRUE,0)</f>
        <v/>
      </c>
      <c r="FS72" s="18"/>
      <c r="FT72" s="19"/>
      <c r="FU72" s="33" t="str" cm="1">
        <f t="array" ref="FU72">_xlfn.IFS($D72="","",AND(FS72=$C72,FT72=$D72),3,($C72-$D72)/MAX(ABS($C72-$D72),1)=(FS72-FT72)/MAX(ABS(FS72-FT72),1),1,TRUE,0)</f>
        <v/>
      </c>
      <c r="FV72" s="18"/>
      <c r="FW72" s="19"/>
      <c r="FX72" s="33" t="str" cm="1">
        <f t="array" ref="FX72">_xlfn.IFS($D72="","",AND(FV72=$C72,FW72=$D72),3,($C72-$D72)/MAX(ABS($C72-$D72),1)=(FV72-FW72)/MAX(ABS(FV72-FW72),1),1,TRUE,0)</f>
        <v/>
      </c>
      <c r="FY72" s="18"/>
      <c r="FZ72" s="19"/>
      <c r="GA72" s="33" t="str" cm="1">
        <f t="array" ref="GA72">_xlfn.IFS($D72="","",AND(FY72=$C72,FZ72=$D72),3,($C72-$D72)/MAX(ABS($C72-$D72),1)=(FY72-FZ72)/MAX(ABS(FY72-FZ72),1),1,TRUE,0)</f>
        <v/>
      </c>
      <c r="GB72" s="18"/>
      <c r="GC72" s="19"/>
      <c r="GD72" s="33" t="str" cm="1">
        <f t="array" ref="GD72">_xlfn.IFS($D72="","",AND(GB72=$C72,GC72=$D72),3,($C72-$D72)/MAX(ABS($C72-$D72),1)=(GB72-GC72)/MAX(ABS(GB72-GC72),1),1,TRUE,0)</f>
        <v/>
      </c>
      <c r="GE72" s="52"/>
      <c r="GF72" s="19"/>
      <c r="GG72" s="33" t="str" cm="1">
        <f t="array" ref="GG72">_xlfn.IFS($D72="","",AND(GE72=$C72,GF72=$D72),3,($C72-$D72)/MAX(ABS($C72-$D72),1)=(GE72-GF72)/MAX(ABS(GE72-GF72),1),1,TRUE,0)</f>
        <v/>
      </c>
      <c r="GH72" s="18"/>
      <c r="GI72" s="19"/>
      <c r="GJ72" s="33" t="str" cm="1">
        <f t="array" ref="GJ72">_xlfn.IFS($D72="","",AND(GH72=$C72,GI72=$D72),3,($C72-$D72)/MAX(ABS($C72-$D72),1)=(GH72-GI72)/MAX(ABS(GH72-GI72),1),1,TRUE,0)</f>
        <v/>
      </c>
      <c r="GK72" s="18"/>
      <c r="GL72" s="19"/>
      <c r="GM72" s="33" t="str" cm="1">
        <f t="array" ref="GM72">_xlfn.IFS($D72="","",AND(GK72=$C72,GL72=$D72),3,($C72-$D72)/MAX(ABS($C72-$D72),1)=(GK72-GL72)/MAX(ABS(GK72-GL72),1),1,TRUE,0)</f>
        <v/>
      </c>
      <c r="GN72" s="18"/>
      <c r="GO72" s="19"/>
      <c r="GP72" s="33" t="str" cm="1">
        <f t="array" ref="GP72">_xlfn.IFS($D72="","",AND(GN72=$C72,GO72=$D72),3,($C72-$D72)/MAX(ABS($C72-$D72),1)=(GN72-GO72)/MAX(ABS(GN72-GO72),1),1,TRUE,0)</f>
        <v/>
      </c>
      <c r="GQ72" s="18"/>
      <c r="GR72" s="19"/>
      <c r="GS72" s="33" t="str" cm="1">
        <f t="array" ref="GS72">_xlfn.IFS($D72="","",AND(GQ72=$C72,GR72=$D72),3,($C72-$D72)/MAX(ABS($C72-$D72),1)=(GQ72-GR72)/MAX(ABS(GQ72-GR72),1),1,TRUE,0)</f>
        <v/>
      </c>
      <c r="GT72" s="18"/>
      <c r="GU72" s="19"/>
      <c r="GV72" s="33" t="str" cm="1">
        <f t="array" ref="GV72">_xlfn.IFS($D72="","",AND(GT72=$C72,GU72=$D72),3,($C72-$D72)/MAX(ABS($C72-$D72),1)=(GT72-GU72)/MAX(ABS(GT72-GU72),1),1,TRUE,0)</f>
        <v/>
      </c>
      <c r="GW72" s="18"/>
      <c r="GX72" s="19"/>
      <c r="GY72" s="33" t="str" cm="1">
        <f t="array" ref="GY72">_xlfn.IFS($D72="","",AND(GW72=$C72,GX72=$D72),3,($C72-$D72)/MAX(ABS($C72-$D72),1)=(GW72-GX72)/MAX(ABS(GW72-GX72),1),1,TRUE,0)</f>
        <v/>
      </c>
      <c r="GZ72" s="18"/>
      <c r="HA72" s="19"/>
      <c r="HB72" s="33" t="str" cm="1">
        <f t="array" ref="HB72">_xlfn.IFS($D72="","",AND(GZ72=$C72,HA72=$D72),3,($C72-$D72)/MAX(ABS($C72-$D72),1)=(GZ72-HA72)/MAX(ABS(GZ72-HA72),1),1,TRUE,0)</f>
        <v/>
      </c>
      <c r="HC72" s="18"/>
      <c r="HD72" s="19"/>
      <c r="HE72" s="33" t="str" cm="1">
        <f t="array" ref="HE72">_xlfn.IFS($D72="","",AND(HC72=$C72,HD72=$D72),3,($C72-$D72)/MAX(ABS($C72-$D72),1)=(HC72-HD72)/MAX(ABS(HC72-HD72),1),1,TRUE,0)</f>
        <v/>
      </c>
      <c r="HF72" s="18"/>
      <c r="HG72" s="19"/>
      <c r="HH72" s="33" t="str" cm="1">
        <f t="array" ref="HH72">_xlfn.IFS($D72="","",AND(HF72=$C72,HG72=$D72),3,($C72-$D72)/MAX(ABS($C72-$D72),1)=(HF72-HG72)/MAX(ABS(HF72-HG72),1),1,TRUE,0)</f>
        <v/>
      </c>
      <c r="HI72" s="18"/>
      <c r="HJ72" s="19"/>
      <c r="HK72" s="33" t="str" cm="1">
        <f t="array" ref="HK72">_xlfn.IFS($D72="","",AND(HI72=$C72,HJ72=$D72),3,($C72-$D72)/MAX(ABS($C72-$D72),1)=(HI72-HJ72)/MAX(ABS(HI72-HJ72),1),1,TRUE,0)</f>
        <v/>
      </c>
      <c r="HL72" s="18"/>
      <c r="HM72" s="19"/>
      <c r="HN72" s="33" t="str" cm="1">
        <f t="array" ref="HN72">_xlfn.IFS($D72="","",AND(HL72=$C72,HM72=$D72),3,($C72-$D72)/MAX(ABS($C72-$D72),1)=(HL72-HM72)/MAX(ABS(HL72-HM72),1),1,TRUE,0)</f>
        <v/>
      </c>
      <c r="HO72" s="18"/>
      <c r="HP72" s="19"/>
      <c r="HQ72" s="33" t="str" cm="1">
        <f t="array" ref="HQ72">_xlfn.IFS($D72="","",AND(HO72=$C72,HP72=$D72),3,($C72-$D72)/MAX(ABS($C72-$D72),1)=(HO72-HP72)/MAX(ABS(HO72-HP72),1),1,TRUE,0)</f>
        <v/>
      </c>
      <c r="HR72" s="18"/>
      <c r="HS72" s="19"/>
      <c r="HT72" s="33" t="str" cm="1">
        <f t="array" ref="HT72">_xlfn.IFS($D72="","",AND(HR72=$C72,HS72=$D72),3,($C72-$D72)/MAX(ABS($C72-$D72),1)=(HR72-HS72)/MAX(ABS(HR72-HS72),1),1,TRUE,0)</f>
        <v/>
      </c>
      <c r="HU72" s="18"/>
      <c r="HV72" s="19"/>
      <c r="HW72" s="33" t="str" cm="1">
        <f t="array" ref="HW72">_xlfn.IFS($D72="","",AND(HU72=$C72,HV72=$D72),3,($C72-$D72)/MAX(ABS($C72-$D72),1)=(HU72-HV72)/MAX(ABS(HU72-HV72),1),1,TRUE,0)</f>
        <v/>
      </c>
      <c r="HX72" s="18"/>
      <c r="HY72" s="19"/>
      <c r="HZ72" s="33" t="str" cm="1">
        <f t="array" ref="HZ72">_xlfn.IFS($D72="","",AND(HX72=$C72,HY72=$D72),3,($C72-$D72)/MAX(ABS($C72-$D72),1)=(HX72-HY72)/MAX(ABS(HX72-HY72),1),1,TRUE,0)</f>
        <v/>
      </c>
      <c r="IA72" s="18"/>
      <c r="IB72" s="19"/>
      <c r="IC72" s="33" t="str" cm="1">
        <f t="array" ref="IC72">_xlfn.IFS($D72="","",AND(IA72=$C72,IB72=$D72),3,($C72-$D72)/MAX(ABS($C72-$D72),1)=(IA72-IB72)/MAX(ABS(IA72-IB72),1),1,TRUE,0)</f>
        <v/>
      </c>
      <c r="ID72" s="18"/>
      <c r="IE72" s="19"/>
      <c r="IF72" s="33" t="str" cm="1">
        <f t="array" ref="IF72">_xlfn.IFS($D72="","",AND(ID72=$C72,IE72=$D72),3,($C72-$D72)/MAX(ABS($C72-$D72),1)=(ID72-IE72)/MAX(ABS(ID72-IE72),1),1,TRUE,0)</f>
        <v/>
      </c>
      <c r="IG72" s="18"/>
      <c r="IH72" s="19"/>
      <c r="II72" s="33" t="str" cm="1">
        <f t="array" ref="II72">_xlfn.IFS($D72="","",AND(IG72=$C72,IH72=$D72),3,($C72-$D72)/MAX(ABS($C72-$D72),1)=(IG72-IH72)/MAX(ABS(IG72-IH72),1),1,TRUE,0)</f>
        <v/>
      </c>
      <c r="IJ72" s="18"/>
      <c r="IK72" s="19"/>
      <c r="IL72" s="33" t="str" cm="1">
        <f t="array" ref="IL72">_xlfn.IFS($D72="","",AND(IJ72=$C72,IK72=$D72),3,($C72-$D72)/MAX(ABS($C72-$D72),1)=(IJ72-IK72)/MAX(ABS(IJ72-IK72),1),1,TRUE,0)</f>
        <v/>
      </c>
      <c r="IM72" s="18"/>
      <c r="IN72" s="19"/>
      <c r="IO72" s="33" t="str" cm="1">
        <f t="array" ref="IO72">_xlfn.IFS($D72="","",AND(IM72=$C72,IN72=$D72),3,($C72-$D72)/MAX(ABS($C72-$D72),1)=(IM72-IN72)/MAX(ABS(IM72-IN72),1),1,TRUE,0)</f>
        <v/>
      </c>
      <c r="IP72" s="18"/>
      <c r="IQ72" s="19"/>
      <c r="IR72" s="33" t="str" cm="1">
        <f t="array" ref="IR72">_xlfn.IFS($D72="","",AND(IP72=$C72,IQ72=$D72),3,($C72-$D72)/MAX(ABS($C72-$D72),1)=(IP72-IQ72)/MAX(ABS(IP72-IQ72),1),1,TRUE,0)</f>
        <v/>
      </c>
      <c r="IS72" s="18"/>
      <c r="IT72" s="19"/>
      <c r="IU72" s="33" t="str" cm="1">
        <f t="array" ref="IU72">_xlfn.IFS($D72="","",AND(IS72=$C72,IT72=$D72),3,($C72-$D72)/MAX(ABS($C72-$D72),1)=(IS72-IT72)/MAX(ABS(IS72-IT72),1),1,TRUE,0)</f>
        <v/>
      </c>
      <c r="IV72" s="18"/>
      <c r="IW72" s="19"/>
      <c r="IX72" s="33" t="str" cm="1">
        <f t="array" ref="IX72">_xlfn.IFS($D72="","",AND(IV72=$C72,IW72=$D72),3,($C72-$D72)/MAX(ABS($C72-$D72),1)=(IV72-IW72)/MAX(ABS(IV72-IW72),1),1,TRUE,0)</f>
        <v/>
      </c>
      <c r="IY72" s="18"/>
      <c r="IZ72" s="19"/>
      <c r="JA72" s="33" t="str" cm="1">
        <f t="array" ref="JA72">_xlfn.IFS($D72="","",AND(IY72=$C72,IZ72=$D72),3,($C72-$D72)/MAX(ABS($C72-$D72),1)=(IY72-IZ72)/MAX(ABS(IY72-IZ72),1),1,TRUE,0)</f>
        <v/>
      </c>
      <c r="JB72" s="18"/>
      <c r="JC72" s="19"/>
      <c r="JD72" s="33" t="str" cm="1">
        <f t="array" ref="JD72">_xlfn.IFS($D72="","",AND(JB72=$C72,JC72=$D72),3,($C72-$D72)/MAX(ABS($C72-$D72),1)=(JB72-JC72)/MAX(ABS(JB72-JC72),1),1,TRUE,0)</f>
        <v/>
      </c>
    </row>
    <row r="73" spans="1:264" ht="15" thickBot="1" x14ac:dyDescent="0.35">
      <c r="A73" s="22">
        <v>46201</v>
      </c>
      <c r="B73" s="28" t="s">
        <v>69</v>
      </c>
      <c r="C73" s="53" t="str" cm="1">
        <f t="array" ref="C73">_xlfn.LET(
_xlpm.x,_xlfn.XLOOKUP(1,(Scores_Fixtures[Date]=A73)*(Scores_Fixtures[Home.1]=B73),Scores_Fixtures[Score.1],""),
IF(_xlpm.x="","",_xlpm.x)
)</f>
        <v/>
      </c>
      <c r="D73" s="53" t="str" cm="1">
        <f t="array" ref="D73">_xlfn.LET(
_xlpm.x,_xlfn.XLOOKUP(1,(Scores_Fixtures[Date]=A73)*(Scores_Fixtures[Home.1]=B73),Scores_Fixtures[Score.2],""),
IF(_xlpm.x="","",_xlpm.x)
)</f>
        <v/>
      </c>
      <c r="E73" s="12" t="s">
        <v>32</v>
      </c>
      <c r="F73" s="15"/>
      <c r="G73" s="53"/>
      <c r="H73" s="53"/>
      <c r="I73" s="33" t="str" cm="1">
        <f t="array" ref="I73">_xlfn.IFS($D73="","",AND(G73=$C73,H73=$D73),3,($C73-$D73)/MAX(ABS($C73-$D73),1)=(G73-H73)/MAX(ABS(G73-H73),1),1,TRUE,0)</f>
        <v/>
      </c>
      <c r="J73" s="18"/>
      <c r="K73" s="19"/>
      <c r="L73" s="33" t="str" cm="1">
        <f t="array" ref="L73">_xlfn.IFS($D73="","",AND(J73=$C73,K73=$D73),3,($C73-$D73)/MAX(ABS($C73-$D73),1)=(J73-K73)/MAX(ABS(J73-K73),1),1,TRUE,0)</f>
        <v/>
      </c>
      <c r="M73" s="18"/>
      <c r="N73" s="19"/>
      <c r="O73" s="33" t="str" cm="1">
        <f t="array" ref="O73">_xlfn.IFS($D73="","",AND(M73=$C73,N73=$D73),3,($C73-$D73)/MAX(ABS($C73-$D73),1)=(M73-N73)/MAX(ABS(M73-N73),1),1,TRUE,0)</f>
        <v/>
      </c>
      <c r="P73" s="18"/>
      <c r="Q73" s="19"/>
      <c r="R73" s="33" t="str" cm="1">
        <f t="array" ref="R73">_xlfn.IFS($D73="","",AND(P73=$C73,Q73=$D73),3,($C73-$D73)/MAX(ABS($C73-$D73),1)=(P73-Q73)/MAX(ABS(P73-Q73),1),1,TRUE,0)</f>
        <v/>
      </c>
      <c r="S73" s="18"/>
      <c r="T73" s="19"/>
      <c r="U73" s="33" t="str" cm="1">
        <f t="array" ref="U73">_xlfn.IFS($D73="","",AND(S73=$C73,T73=$D73),3,($C73-$D73)/MAX(ABS($C73-$D73),1)=(S73-T73)/MAX(ABS(S73-T73),1),1,TRUE,0)</f>
        <v/>
      </c>
      <c r="V73" s="18"/>
      <c r="W73" s="19"/>
      <c r="X73" s="33" t="str" cm="1">
        <f t="array" ref="X73">_xlfn.IFS($D73="","",AND(V73=$C73,W73=$D73),3,($C73-$D73)/MAX(ABS($C73-$D73),1)=(V73-W73)/MAX(ABS(V73-W73),1),1,TRUE,0)</f>
        <v/>
      </c>
      <c r="Y73" s="18"/>
      <c r="Z73" s="19"/>
      <c r="AA73" s="33" t="str" cm="1">
        <f t="array" ref="AA73">_xlfn.IFS($D73="","",AND(Y73=$C73,Z73=$D73),3,($C73-$D73)/MAX(ABS($C73-$D73),1)=(Y73-Z73)/MAX(ABS(Y73-Z73),1),1,TRUE,0)</f>
        <v/>
      </c>
      <c r="AB73" s="18"/>
      <c r="AC73" s="19"/>
      <c r="AD73" s="33" t="str" cm="1">
        <f t="array" ref="AD73">_xlfn.IFS($D73="","",AND(AB73=$C73,AC73=$D73),3,($C73-$D73)/MAX(ABS($C73-$D73),1)=(AB73-AC73)/MAX(ABS(AB73-AC73),1),1,TRUE,0)</f>
        <v/>
      </c>
      <c r="AE73" s="18"/>
      <c r="AF73" s="19"/>
      <c r="AG73" s="33" t="str" cm="1">
        <f t="array" ref="AG73">_xlfn.IFS($D73="","",AND(AE73=$C73,AF73=$D73),3,($C73-$D73)/MAX(ABS($C73-$D73),1)=(AE73-AF73)/MAX(ABS(AE73-AF73),1),1,TRUE,0)</f>
        <v/>
      </c>
      <c r="AH73" s="18"/>
      <c r="AI73" s="19"/>
      <c r="AJ73" s="33" t="str" cm="1">
        <f t="array" ref="AJ73">_xlfn.IFS($D73="","",AND(AH73=$C73,AI73=$D73),3,($C73-$D73)/MAX(ABS($C73-$D73),1)=(AH73-AI73)/MAX(ABS(AH73-AI73),1),1,TRUE,0)</f>
        <v/>
      </c>
      <c r="AK73" s="18"/>
      <c r="AL73" s="19"/>
      <c r="AM73" s="33" t="str" cm="1">
        <f t="array" ref="AM73">_xlfn.IFS($D73="","",AND(AK73=$C73,AL73=$D73),3,($C73-$D73)/MAX(ABS($C73-$D73),1)=(AK73-AL73)/MAX(ABS(AK73-AL73),1),1,TRUE,0)</f>
        <v/>
      </c>
      <c r="AN73" s="18"/>
      <c r="AO73" s="19"/>
      <c r="AP73" s="33" t="str" cm="1">
        <f t="array" ref="AP73">_xlfn.IFS($D73="","",AND(AN73=$C73,AO73=$D73),3,($C73-$D73)/MAX(ABS($C73-$D73),1)=(AN73-AO73)/MAX(ABS(AN73-AO73),1),1,TRUE,0)</f>
        <v/>
      </c>
      <c r="AQ73" s="18"/>
      <c r="AR73" s="19"/>
      <c r="AS73" s="33" t="str" cm="1">
        <f t="array" ref="AS73">_xlfn.IFS($D73="","",AND(AQ73=$C73,AR73=$D73),3,($C73-$D73)/MAX(ABS($C73-$D73),1)=(AQ73-AR73)/MAX(ABS(AQ73-AR73),1),1,TRUE,0)</f>
        <v/>
      </c>
      <c r="AT73" s="18"/>
      <c r="AU73" s="19"/>
      <c r="AV73" s="33" t="str" cm="1">
        <f t="array" ref="AV73">_xlfn.IFS($D73="","",AND(AT73=$C73,AU73=$D73),3,($C73-$D73)/MAX(ABS($C73-$D73),1)=(AT73-AU73)/MAX(ABS(AT73-AU73),1),1,TRUE,0)</f>
        <v/>
      </c>
      <c r="AW73" s="18"/>
      <c r="AX73" s="19"/>
      <c r="AY73" s="33" t="str" cm="1">
        <f t="array" ref="AY73">_xlfn.IFS($D73="","",AND(AW73=$C73,AX73=$D73),3,($C73-$D73)/MAX(ABS($C73-$D73),1)=(AW73-AX73)/MAX(ABS(AW73-AX73),1),1,TRUE,0)</f>
        <v/>
      </c>
      <c r="AZ73" s="18"/>
      <c r="BA73" s="19"/>
      <c r="BB73" s="33" t="str" cm="1">
        <f t="array" ref="BB73">_xlfn.IFS($D73="","",AND(AZ73=$C73,BA73=$D73),3,($C73-$D73)/MAX(ABS($C73-$D73),1)=(AZ73-BA73)/MAX(ABS(AZ73-BA73),1),1,TRUE,0)</f>
        <v/>
      </c>
      <c r="BC73" s="18"/>
      <c r="BD73" s="19"/>
      <c r="BE73" s="33" t="str" cm="1">
        <f t="array" ref="BE73">_xlfn.IFS($D73="","",AND(BC73=$C73,BD73=$D73),3,($C73-$D73)/MAX(ABS($C73-$D73),1)=(BC73-BD73)/MAX(ABS(BC73-BD73),1),1,TRUE,0)</f>
        <v/>
      </c>
      <c r="BF73" s="18"/>
      <c r="BG73" s="19"/>
      <c r="BH73" s="33" t="str" cm="1">
        <f t="array" ref="BH73">_xlfn.IFS($D73="","",AND(BF73=$C73,BG73=$D73),3,($C73-$D73)/MAX(ABS($C73-$D73),1)=(BF73-BG73)/MAX(ABS(BF73-BG73),1),1,TRUE,0)</f>
        <v/>
      </c>
      <c r="BI73" s="18"/>
      <c r="BJ73" s="19"/>
      <c r="BK73" s="33" t="str" cm="1">
        <f t="array" ref="BK73">_xlfn.IFS($D73="","",AND(BI73=$C73,BJ73=$D73),3,($C73-$D73)/MAX(ABS($C73-$D73),1)=(BI73-BJ73)/MAX(ABS(BI73-BJ73),1),1,TRUE,0)</f>
        <v/>
      </c>
      <c r="BL73" s="18"/>
      <c r="BM73" s="19"/>
      <c r="BN73" s="33" t="str" cm="1">
        <f t="array" ref="BN73">_xlfn.IFS($D73="","",AND(BL73=$C73,BM73=$D73),3,($C73-$D73)/MAX(ABS($C73-$D73),1)=(BL73-BM73)/MAX(ABS(BL73-BM73),1),1,TRUE,0)</f>
        <v/>
      </c>
      <c r="BO73" s="18"/>
      <c r="BP73" s="19"/>
      <c r="BQ73" s="33" t="str" cm="1">
        <f t="array" ref="BQ73">_xlfn.IFS($D73="","",AND(BO73=$C73,BP73=$D73),3,($C73-$D73)/MAX(ABS($C73-$D73),1)=(BO73-BP73)/MAX(ABS(BO73-BP73),1),1,TRUE,0)</f>
        <v/>
      </c>
      <c r="BR73" s="18"/>
      <c r="BS73" s="19"/>
      <c r="BT73" s="33" t="str" cm="1">
        <f t="array" ref="BT73">_xlfn.IFS($D73="","",AND(BR73=$C73,BS73=$D73),3,($C73-$D73)/MAX(ABS($C73-$D73),1)=(BR73-BS73)/MAX(ABS(BR73-BS73),1),1,TRUE,0)</f>
        <v/>
      </c>
      <c r="BU73" s="18"/>
      <c r="BV73" s="19"/>
      <c r="BW73" s="33" t="str" cm="1">
        <f t="array" ref="BW73">_xlfn.IFS($D73="","",AND(BU73=$C73,BV73=$D73),3,($C73-$D73)/MAX(ABS($C73-$D73),1)=(BU73-BV73)/MAX(ABS(BU73-BV73),1),1,TRUE,0)</f>
        <v/>
      </c>
      <c r="BX73" s="18"/>
      <c r="BY73" s="19"/>
      <c r="BZ73" s="33" t="str" cm="1">
        <f t="array" ref="BZ73">_xlfn.IFS($D73="","",AND(BX73=$C73,BY73=$D73),3,($C73-$D73)/MAX(ABS($C73-$D73),1)=(BX73-BY73)/MAX(ABS(BX73-BY73),1),1,TRUE,0)</f>
        <v/>
      </c>
      <c r="CA73" s="18"/>
      <c r="CB73" s="19"/>
      <c r="CC73" s="33" t="str" cm="1">
        <f t="array" ref="CC73">_xlfn.IFS($D73="","",AND(CA73=$C73,CB73=$D73),3,($C73-$D73)/MAX(ABS($C73-$D73),1)=(CA73-CB73)/MAX(ABS(CA73-CB73),1),1,TRUE,0)</f>
        <v/>
      </c>
      <c r="CD73" s="18"/>
      <c r="CE73" s="19"/>
      <c r="CF73" s="33" t="str" cm="1">
        <f t="array" ref="CF73">_xlfn.IFS($D73="","",AND(CD73=$C73,CE73=$D73),3,($C73-$D73)/MAX(ABS($C73-$D73),1)=(CD73-CE73)/MAX(ABS(CD73-CE73),1),1,TRUE,0)</f>
        <v/>
      </c>
      <c r="CG73" s="18"/>
      <c r="CH73" s="19"/>
      <c r="CI73" s="33" t="str" cm="1">
        <f t="array" ref="CI73">_xlfn.IFS($D73="","",AND(CG73=$C73,CH73=$D73),3,($C73-$D73)/MAX(ABS($C73-$D73),1)=(CG73-CH73)/MAX(ABS(CG73-CH73),1),1,TRUE,0)</f>
        <v/>
      </c>
      <c r="CJ73" s="18"/>
      <c r="CK73" s="19"/>
      <c r="CL73" s="33" t="str" cm="1">
        <f t="array" ref="CL73">_xlfn.IFS($D73="","",AND(CJ73=$C73,CK73=$D73),3,($C73-$D73)/MAX(ABS($C73-$D73),1)=(CJ73-CK73)/MAX(ABS(CJ73-CK73),1),1,TRUE,0)</f>
        <v/>
      </c>
      <c r="CM73" s="18"/>
      <c r="CN73" s="19"/>
      <c r="CO73" s="33" t="str" cm="1">
        <f t="array" ref="CO73">_xlfn.IFS($D73="","",AND(CM73=$C73,CN73=$D73),3,($C73-$D73)/MAX(ABS($C73-$D73),1)=(CM73-CN73)/MAX(ABS(CM73-CN73),1),1,TRUE,0)</f>
        <v/>
      </c>
      <c r="CP73" s="18"/>
      <c r="CQ73" s="19"/>
      <c r="CR73" s="33" t="str" cm="1">
        <f t="array" ref="CR73">_xlfn.IFS($D73="","",AND(CP73=$C73,CQ73=$D73),3,($C73-$D73)/MAX(ABS($C73-$D73),1)=(CP73-CQ73)/MAX(ABS(CP73-CQ73),1),1,TRUE,0)</f>
        <v/>
      </c>
      <c r="CS73" s="18"/>
      <c r="CT73" s="19"/>
      <c r="CU73" s="33" t="str" cm="1">
        <f t="array" ref="CU73">_xlfn.IFS($D73="","",AND(CS73=$C73,CT73=$D73),3,($C73-$D73)/MAX(ABS($C73-$D73),1)=(CS73-CT73)/MAX(ABS(CS73-CT73),1),1,TRUE,0)</f>
        <v/>
      </c>
      <c r="CV73" s="18"/>
      <c r="CW73" s="19"/>
      <c r="CX73" s="33" t="str" cm="1">
        <f t="array" ref="CX73">_xlfn.IFS($D73="","",AND(CV73=$C73,CW73=$D73),3,($C73-$D73)/MAX(ABS($C73-$D73),1)=(CV73-CW73)/MAX(ABS(CV73-CW73),1),1,TRUE,0)</f>
        <v/>
      </c>
      <c r="CY73" s="18"/>
      <c r="CZ73" s="19"/>
      <c r="DA73" s="33" t="str" cm="1">
        <f t="array" ref="DA73">_xlfn.IFS($D73="","",AND(CY73=$C73,CZ73=$D73),3,($C73-$D73)/MAX(ABS($C73-$D73),1)=(CY73-CZ73)/MAX(ABS(CY73-CZ73),1),1,TRUE,0)</f>
        <v/>
      </c>
      <c r="DB73" s="37"/>
      <c r="DC73" s="38"/>
      <c r="DD73" s="33" t="str" cm="1">
        <f t="array" ref="DD73">_xlfn.IFS($D73="","",AND(DB73=$C73,DC73=$D73),3,($C73-$D73)/MAX(ABS($C73-$D73),1)=(DB73-DC73)/MAX(ABS(DB73-DC73),1),1,TRUE,0)</f>
        <v/>
      </c>
      <c r="DE73" s="18"/>
      <c r="DF73" s="19"/>
      <c r="DG73" s="33" t="str" cm="1">
        <f t="array" ref="DG73">_xlfn.IFS($D73="","",AND(DE73=$C73,DF73=$D73),3,($C73-$D73)/MAX(ABS($C73-$D73),1)=(DE73-DF73)/MAX(ABS(DE73-DF73),1),1,TRUE,0)</f>
        <v/>
      </c>
      <c r="DH73" s="18"/>
      <c r="DI73" s="19"/>
      <c r="DJ73" s="33" t="str" cm="1">
        <f t="array" ref="DJ73">_xlfn.IFS($D73="","",AND(DH73=$C73,DI73=$D73),3,($C73-$D73)/MAX(ABS($C73-$D73),1)=(DH73-DI73)/MAX(ABS(DH73-DI73),1),1,TRUE,0)</f>
        <v/>
      </c>
      <c r="DK73" s="18"/>
      <c r="DL73" s="19"/>
      <c r="DM73" s="33" t="str" cm="1">
        <f t="array" ref="DM73">_xlfn.IFS($D73="","",AND(DK73=$C73,DL73=$D73),3,($C73-$D73)/MAX(ABS($C73-$D73),1)=(DK73-DL73)/MAX(ABS(DK73-DL73),1),1,TRUE,0)</f>
        <v/>
      </c>
      <c r="DN73" s="18"/>
      <c r="DO73" s="19"/>
      <c r="DP73" s="33" t="str" cm="1">
        <f t="array" ref="DP73">_xlfn.IFS($D73="","",AND(DN73=$C73,DO73=$D73),3,($C73-$D73)/MAX(ABS($C73-$D73),1)=(DN73-DO73)/MAX(ABS(DN73-DO73),1),1,TRUE,0)</f>
        <v/>
      </c>
      <c r="DQ73" s="18"/>
      <c r="DR73" s="19"/>
      <c r="DS73" s="33" t="str" cm="1">
        <f t="array" ref="DS73">_xlfn.IFS($D73="","",AND(DQ73=$C73,DR73=$D73),3,($C73-$D73)/MAX(ABS($C73-$D73),1)=(DQ73-DR73)/MAX(ABS(DQ73-DR73),1),1,TRUE,0)</f>
        <v/>
      </c>
      <c r="DT73" s="18"/>
      <c r="DU73" s="19"/>
      <c r="DV73" s="33" t="str" cm="1">
        <f t="array" ref="DV73">_xlfn.IFS($D73="","",AND(DT73=$C73,DU73=$D73),3,($C73-$D73)/MAX(ABS($C73-$D73),1)=(DT73-DU73)/MAX(ABS(DT73-DU73),1),1,TRUE,0)</f>
        <v/>
      </c>
      <c r="DW73" s="18"/>
      <c r="DX73" s="19"/>
      <c r="DY73" s="33" t="str" cm="1">
        <f t="array" ref="DY73">_xlfn.IFS($D73="","",AND(DW73=$C73,DX73=$D73),3,($C73-$D73)/MAX(ABS($C73-$D73),1)=(DW73-DX73)/MAX(ABS(DW73-DX73),1),1,TRUE,0)</f>
        <v/>
      </c>
      <c r="DZ73" s="18"/>
      <c r="EA73" s="19"/>
      <c r="EB73" s="33" t="str" cm="1">
        <f t="array" ref="EB73">_xlfn.IFS($D73="","",AND(DZ73=$C73,EA73=$D73),3,($C73-$D73)/MAX(ABS($C73-$D73),1)=(DZ73-EA73)/MAX(ABS(DZ73-EA73),1),1,TRUE,0)</f>
        <v/>
      </c>
      <c r="EC73" s="18"/>
      <c r="ED73" s="19"/>
      <c r="EE73" s="33" t="str" cm="1">
        <f t="array" ref="EE73">_xlfn.IFS($D73="","",AND(EC73=$C73,ED73=$D73),3,($C73-$D73)/MAX(ABS($C73-$D73),1)=(EC73-ED73)/MAX(ABS(EC73-ED73),1),1,TRUE,0)</f>
        <v/>
      </c>
      <c r="EF73" s="18"/>
      <c r="EG73" s="19"/>
      <c r="EH73" s="33" t="str" cm="1">
        <f t="array" ref="EH73">_xlfn.IFS($D73="","",AND(EF73=$C73,EG73=$D73),3,($C73-$D73)/MAX(ABS($C73-$D73),1)=(EF73-EG73)/MAX(ABS(EF73-EG73),1),1,TRUE,0)</f>
        <v/>
      </c>
      <c r="EI73" s="50"/>
      <c r="EJ73" s="51"/>
      <c r="EK73" s="33" t="str" cm="1">
        <f t="array" ref="EK73">_xlfn.IFS($D73="","",AND(EI73=$C73,EJ73=$D73),3,($C73-$D73)/MAX(ABS($C73-$D73),1)=(EI73-EJ73)/MAX(ABS(EI73-EJ73),1),1,TRUE,0)</f>
        <v/>
      </c>
      <c r="EL73" s="18"/>
      <c r="EM73" s="19"/>
      <c r="EN73" s="33" t="str" cm="1">
        <f t="array" ref="EN73">_xlfn.IFS($D73="","",AND(EL73=$C73,EM73=$D73),3,($C73-$D73)/MAX(ABS($C73-$D73),1)=(EL73-EM73)/MAX(ABS(EL73-EM73),1),1,TRUE,0)</f>
        <v/>
      </c>
      <c r="EO73" s="18"/>
      <c r="EP73" s="19"/>
      <c r="EQ73" s="33" t="str" cm="1">
        <f t="array" ref="EQ73">_xlfn.IFS($D73="","",AND(EO73=$C73,EP73=$D73),3,($C73-$D73)/MAX(ABS($C73-$D73),1)=(EO73-EP73)/MAX(ABS(EO73-EP73),1),1,TRUE,0)</f>
        <v/>
      </c>
      <c r="ER73" s="18"/>
      <c r="ES73" s="19"/>
      <c r="ET73" s="33" t="str" cm="1">
        <f t="array" ref="ET73">_xlfn.IFS($D73="","",AND(ER73=$C73,ES73=$D73),3,($C73-$D73)/MAX(ABS($C73-$D73),1)=(ER73-ES73)/MAX(ABS(ER73-ES73),1),1,TRUE,0)</f>
        <v/>
      </c>
      <c r="EU73" s="18"/>
      <c r="EV73" s="19"/>
      <c r="EW73" s="33" t="str" cm="1">
        <f t="array" ref="EW73">_xlfn.IFS($D73="","",AND(EU73=$C73,EV73=$D73),3,($C73-$D73)/MAX(ABS($C73-$D73),1)=(EU73-EV73)/MAX(ABS(EU73-EV73),1),1,TRUE,0)</f>
        <v/>
      </c>
      <c r="EX73" s="18"/>
      <c r="EY73" s="19"/>
      <c r="EZ73" s="33" t="str" cm="1">
        <f t="array" ref="EZ73">_xlfn.IFS($D73="","",AND(EX73=$C73,EY73=$D73),3,($C73-$D73)/MAX(ABS($C73-$D73),1)=(EX73-EY73)/MAX(ABS(EX73-EY73),1),1,TRUE,0)</f>
        <v/>
      </c>
      <c r="FA73" s="18"/>
      <c r="FB73" s="19"/>
      <c r="FC73" s="33" t="str" cm="1">
        <f t="array" ref="FC73">_xlfn.IFS($D73="","",AND(FA73=$C73,FB73=$D73),3,($C73-$D73)/MAX(ABS($C73-$D73),1)=(FA73-FB73)/MAX(ABS(FA73-FB73),1),1,TRUE,0)</f>
        <v/>
      </c>
      <c r="FD73" s="18"/>
      <c r="FE73" s="19"/>
      <c r="FF73" s="33" t="str" cm="1">
        <f t="array" ref="FF73">_xlfn.IFS($D73="","",AND(FD73=$C73,FE73=$D73),3,($C73-$D73)/MAX(ABS($C73-$D73),1)=(FD73-FE73)/MAX(ABS(FD73-FE73),1),1,TRUE,0)</f>
        <v/>
      </c>
      <c r="FG73" s="18"/>
      <c r="FH73" s="19"/>
      <c r="FI73" s="33" t="str" cm="1">
        <f t="array" ref="FI73">_xlfn.IFS($D73="","",AND(FG73=$C73,FH73=$D73),3,($C73-$D73)/MAX(ABS($C73-$D73),1)=(FG73-FH73)/MAX(ABS(FG73-FH73),1),1,TRUE,0)</f>
        <v/>
      </c>
      <c r="FJ73" s="18"/>
      <c r="FK73" s="19"/>
      <c r="FL73" s="33" t="str" cm="1">
        <f t="array" ref="FL73">_xlfn.IFS($D73="","",AND(FJ73=$C73,FK73=$D73),3,($C73-$D73)/MAX(ABS($C73-$D73),1)=(FJ73-FK73)/MAX(ABS(FJ73-FK73),1),1,TRUE,0)</f>
        <v/>
      </c>
      <c r="FM73" s="18"/>
      <c r="FN73" s="19"/>
      <c r="FO73" s="33" t="str" cm="1">
        <f t="array" ref="FO73">_xlfn.IFS($D73="","",AND(FM73=$C73,FN73=$D73),3,($C73-$D73)/MAX(ABS($C73-$D73),1)=(FM73-FN73)/MAX(ABS(FM73-FN73),1),1,TRUE,0)</f>
        <v/>
      </c>
      <c r="FP73" s="18"/>
      <c r="FQ73" s="19"/>
      <c r="FR73" s="33" t="str" cm="1">
        <f t="array" ref="FR73">_xlfn.IFS($D73="","",AND(FP73=$C73,FQ73=$D73),3,($C73-$D73)/MAX(ABS($C73-$D73),1)=(FP73-FQ73)/MAX(ABS(FP73-FQ73),1),1,TRUE,0)</f>
        <v/>
      </c>
      <c r="FS73" s="18"/>
      <c r="FT73" s="19"/>
      <c r="FU73" s="33" t="str" cm="1">
        <f t="array" ref="FU73">_xlfn.IFS($D73="","",AND(FS73=$C73,FT73=$D73),3,($C73-$D73)/MAX(ABS($C73-$D73),1)=(FS73-FT73)/MAX(ABS(FS73-FT73),1),1,TRUE,0)</f>
        <v/>
      </c>
      <c r="FV73" s="18"/>
      <c r="FW73" s="19"/>
      <c r="FX73" s="33" t="str" cm="1">
        <f t="array" ref="FX73">_xlfn.IFS($D73="","",AND(FV73=$C73,FW73=$D73),3,($C73-$D73)/MAX(ABS($C73-$D73),1)=(FV73-FW73)/MAX(ABS(FV73-FW73),1),1,TRUE,0)</f>
        <v/>
      </c>
      <c r="FY73" s="18"/>
      <c r="FZ73" s="19"/>
      <c r="GA73" s="33" t="str" cm="1">
        <f t="array" ref="GA73">_xlfn.IFS($D73="","",AND(FY73=$C73,FZ73=$D73),3,($C73-$D73)/MAX(ABS($C73-$D73),1)=(FY73-FZ73)/MAX(ABS(FY73-FZ73),1),1,TRUE,0)</f>
        <v/>
      </c>
      <c r="GB73" s="18"/>
      <c r="GC73" s="19"/>
      <c r="GD73" s="33" t="str" cm="1">
        <f t="array" ref="GD73">_xlfn.IFS($D73="","",AND(GB73=$C73,GC73=$D73),3,($C73-$D73)/MAX(ABS($C73-$D73),1)=(GB73-GC73)/MAX(ABS(GB73-GC73),1),1,TRUE,0)</f>
        <v/>
      </c>
      <c r="GE73" s="52"/>
      <c r="GF73" s="19"/>
      <c r="GG73" s="33" t="str" cm="1">
        <f t="array" ref="GG73">_xlfn.IFS($D73="","",AND(GE73=$C73,GF73=$D73),3,($C73-$D73)/MAX(ABS($C73-$D73),1)=(GE73-GF73)/MAX(ABS(GE73-GF73),1),1,TRUE,0)</f>
        <v/>
      </c>
      <c r="GH73" s="18"/>
      <c r="GI73" s="19"/>
      <c r="GJ73" s="33" t="str" cm="1">
        <f t="array" ref="GJ73">_xlfn.IFS($D73="","",AND(GH73=$C73,GI73=$D73),3,($C73-$D73)/MAX(ABS($C73-$D73),1)=(GH73-GI73)/MAX(ABS(GH73-GI73),1),1,TRUE,0)</f>
        <v/>
      </c>
      <c r="GK73" s="18"/>
      <c r="GL73" s="19"/>
      <c r="GM73" s="33" t="str" cm="1">
        <f t="array" ref="GM73">_xlfn.IFS($D73="","",AND(GK73=$C73,GL73=$D73),3,($C73-$D73)/MAX(ABS($C73-$D73),1)=(GK73-GL73)/MAX(ABS(GK73-GL73),1),1,TRUE,0)</f>
        <v/>
      </c>
      <c r="GN73" s="18"/>
      <c r="GO73" s="19"/>
      <c r="GP73" s="33" t="str" cm="1">
        <f t="array" ref="GP73">_xlfn.IFS($D73="","",AND(GN73=$C73,GO73=$D73),3,($C73-$D73)/MAX(ABS($C73-$D73),1)=(GN73-GO73)/MAX(ABS(GN73-GO73),1),1,TRUE,0)</f>
        <v/>
      </c>
      <c r="GQ73" s="18"/>
      <c r="GR73" s="19"/>
      <c r="GS73" s="33" t="str" cm="1">
        <f t="array" ref="GS73">_xlfn.IFS($D73="","",AND(GQ73=$C73,GR73=$D73),3,($C73-$D73)/MAX(ABS($C73-$D73),1)=(GQ73-GR73)/MAX(ABS(GQ73-GR73),1),1,TRUE,0)</f>
        <v/>
      </c>
      <c r="GT73" s="18"/>
      <c r="GU73" s="19"/>
      <c r="GV73" s="33" t="str" cm="1">
        <f t="array" ref="GV73">_xlfn.IFS($D73="","",AND(GT73=$C73,GU73=$D73),3,($C73-$D73)/MAX(ABS($C73-$D73),1)=(GT73-GU73)/MAX(ABS(GT73-GU73),1),1,TRUE,0)</f>
        <v/>
      </c>
      <c r="GW73" s="18"/>
      <c r="GX73" s="19"/>
      <c r="GY73" s="33" t="str" cm="1">
        <f t="array" ref="GY73">_xlfn.IFS($D73="","",AND(GW73=$C73,GX73=$D73),3,($C73-$D73)/MAX(ABS($C73-$D73),1)=(GW73-GX73)/MAX(ABS(GW73-GX73),1),1,TRUE,0)</f>
        <v/>
      </c>
      <c r="GZ73" s="18"/>
      <c r="HA73" s="19"/>
      <c r="HB73" s="33" t="str" cm="1">
        <f t="array" ref="HB73">_xlfn.IFS($D73="","",AND(GZ73=$C73,HA73=$D73),3,($C73-$D73)/MAX(ABS($C73-$D73),1)=(GZ73-HA73)/MAX(ABS(GZ73-HA73),1),1,TRUE,0)</f>
        <v/>
      </c>
      <c r="HC73" s="18"/>
      <c r="HD73" s="19"/>
      <c r="HE73" s="33" t="str" cm="1">
        <f t="array" ref="HE73">_xlfn.IFS($D73="","",AND(HC73=$C73,HD73=$D73),3,($C73-$D73)/MAX(ABS($C73-$D73),1)=(HC73-HD73)/MAX(ABS(HC73-HD73),1),1,TRUE,0)</f>
        <v/>
      </c>
      <c r="HF73" s="18"/>
      <c r="HG73" s="19"/>
      <c r="HH73" s="33" t="str" cm="1">
        <f t="array" ref="HH73">_xlfn.IFS($D73="","",AND(HF73=$C73,HG73=$D73),3,($C73-$D73)/MAX(ABS($C73-$D73),1)=(HF73-HG73)/MAX(ABS(HF73-HG73),1),1,TRUE,0)</f>
        <v/>
      </c>
      <c r="HI73" s="18"/>
      <c r="HJ73" s="19"/>
      <c r="HK73" s="33" t="str" cm="1">
        <f t="array" ref="HK73">_xlfn.IFS($D73="","",AND(HI73=$C73,HJ73=$D73),3,($C73-$D73)/MAX(ABS($C73-$D73),1)=(HI73-HJ73)/MAX(ABS(HI73-HJ73),1),1,TRUE,0)</f>
        <v/>
      </c>
      <c r="HL73" s="18"/>
      <c r="HM73" s="19"/>
      <c r="HN73" s="33" t="str" cm="1">
        <f t="array" ref="HN73">_xlfn.IFS($D73="","",AND(HL73=$C73,HM73=$D73),3,($C73-$D73)/MAX(ABS($C73-$D73),1)=(HL73-HM73)/MAX(ABS(HL73-HM73),1),1,TRUE,0)</f>
        <v/>
      </c>
      <c r="HO73" s="18"/>
      <c r="HP73" s="19"/>
      <c r="HQ73" s="33" t="str" cm="1">
        <f t="array" ref="HQ73">_xlfn.IFS($D73="","",AND(HO73=$C73,HP73=$D73),3,($C73-$D73)/MAX(ABS($C73-$D73),1)=(HO73-HP73)/MAX(ABS(HO73-HP73),1),1,TRUE,0)</f>
        <v/>
      </c>
      <c r="HR73" s="18"/>
      <c r="HS73" s="19"/>
      <c r="HT73" s="33" t="str" cm="1">
        <f t="array" ref="HT73">_xlfn.IFS($D73="","",AND(HR73=$C73,HS73=$D73),3,($C73-$D73)/MAX(ABS($C73-$D73),1)=(HR73-HS73)/MAX(ABS(HR73-HS73),1),1,TRUE,0)</f>
        <v/>
      </c>
      <c r="HU73" s="18"/>
      <c r="HV73" s="19"/>
      <c r="HW73" s="33" t="str" cm="1">
        <f t="array" ref="HW73">_xlfn.IFS($D73="","",AND(HU73=$C73,HV73=$D73),3,($C73-$D73)/MAX(ABS($C73-$D73),1)=(HU73-HV73)/MAX(ABS(HU73-HV73),1),1,TRUE,0)</f>
        <v/>
      </c>
      <c r="HX73" s="18"/>
      <c r="HY73" s="19"/>
      <c r="HZ73" s="33" t="str" cm="1">
        <f t="array" ref="HZ73">_xlfn.IFS($D73="","",AND(HX73=$C73,HY73=$D73),3,($C73-$D73)/MAX(ABS($C73-$D73),1)=(HX73-HY73)/MAX(ABS(HX73-HY73),1),1,TRUE,0)</f>
        <v/>
      </c>
      <c r="IA73" s="18"/>
      <c r="IB73" s="19"/>
      <c r="IC73" s="33" t="str" cm="1">
        <f t="array" ref="IC73">_xlfn.IFS($D73="","",AND(IA73=$C73,IB73=$D73),3,($C73-$D73)/MAX(ABS($C73-$D73),1)=(IA73-IB73)/MAX(ABS(IA73-IB73),1),1,TRUE,0)</f>
        <v/>
      </c>
      <c r="ID73" s="18"/>
      <c r="IE73" s="19"/>
      <c r="IF73" s="33" t="str" cm="1">
        <f t="array" ref="IF73">_xlfn.IFS($D73="","",AND(ID73=$C73,IE73=$D73),3,($C73-$D73)/MAX(ABS($C73-$D73),1)=(ID73-IE73)/MAX(ABS(ID73-IE73),1),1,TRUE,0)</f>
        <v/>
      </c>
      <c r="IG73" s="18"/>
      <c r="IH73" s="19"/>
      <c r="II73" s="33" t="str" cm="1">
        <f t="array" ref="II73">_xlfn.IFS($D73="","",AND(IG73=$C73,IH73=$D73),3,($C73-$D73)/MAX(ABS($C73-$D73),1)=(IG73-IH73)/MAX(ABS(IG73-IH73),1),1,TRUE,0)</f>
        <v/>
      </c>
      <c r="IJ73" s="18"/>
      <c r="IK73" s="19"/>
      <c r="IL73" s="33" t="str" cm="1">
        <f t="array" ref="IL73">_xlfn.IFS($D73="","",AND(IJ73=$C73,IK73=$D73),3,($C73-$D73)/MAX(ABS($C73-$D73),1)=(IJ73-IK73)/MAX(ABS(IJ73-IK73),1),1,TRUE,0)</f>
        <v/>
      </c>
      <c r="IM73" s="18"/>
      <c r="IN73" s="19"/>
      <c r="IO73" s="33" t="str" cm="1">
        <f t="array" ref="IO73">_xlfn.IFS($D73="","",AND(IM73=$C73,IN73=$D73),3,($C73-$D73)/MAX(ABS($C73-$D73),1)=(IM73-IN73)/MAX(ABS(IM73-IN73),1),1,TRUE,0)</f>
        <v/>
      </c>
      <c r="IP73" s="18"/>
      <c r="IQ73" s="19"/>
      <c r="IR73" s="33" t="str" cm="1">
        <f t="array" ref="IR73">_xlfn.IFS($D73="","",AND(IP73=$C73,IQ73=$D73),3,($C73-$D73)/MAX(ABS($C73-$D73),1)=(IP73-IQ73)/MAX(ABS(IP73-IQ73),1),1,TRUE,0)</f>
        <v/>
      </c>
      <c r="IS73" s="18"/>
      <c r="IT73" s="19"/>
      <c r="IU73" s="33" t="str" cm="1">
        <f t="array" ref="IU73">_xlfn.IFS($D73="","",AND(IS73=$C73,IT73=$D73),3,($C73-$D73)/MAX(ABS($C73-$D73),1)=(IS73-IT73)/MAX(ABS(IS73-IT73),1),1,TRUE,0)</f>
        <v/>
      </c>
      <c r="IV73" s="18"/>
      <c r="IW73" s="19"/>
      <c r="IX73" s="33" t="str" cm="1">
        <f t="array" ref="IX73">_xlfn.IFS($D73="","",AND(IV73=$C73,IW73=$D73),3,($C73-$D73)/MAX(ABS($C73-$D73),1)=(IV73-IW73)/MAX(ABS(IV73-IW73),1),1,TRUE,0)</f>
        <v/>
      </c>
      <c r="IY73" s="18"/>
      <c r="IZ73" s="19"/>
      <c r="JA73" s="33" t="str" cm="1">
        <f t="array" ref="JA73">_xlfn.IFS($D73="","",AND(IY73=$C73,IZ73=$D73),3,($C73-$D73)/MAX(ABS($C73-$D73),1)=(IY73-IZ73)/MAX(ABS(IY73-IZ73),1),1,TRUE,0)</f>
        <v/>
      </c>
      <c r="JB73" s="18"/>
      <c r="JC73" s="19"/>
      <c r="JD73" s="33" t="str" cm="1">
        <f t="array" ref="JD73">_xlfn.IFS($D73="","",AND(JB73=$C73,JC73=$D73),3,($C73-$D73)/MAX(ABS($C73-$D73),1)=(JB73-JC73)/MAX(ABS(JB73-JC73),1),1,TRUE,0)</f>
        <v/>
      </c>
    </row>
    <row r="74" spans="1:264" ht="15" thickBot="1" x14ac:dyDescent="0.35">
      <c r="A74" s="22">
        <v>46201</v>
      </c>
      <c r="B74" s="29" t="s">
        <v>56</v>
      </c>
      <c r="C74" s="53" t="str" cm="1">
        <f t="array" ref="C74">_xlfn.LET(
_xlpm.x,_xlfn.XLOOKUP(1,(Scores_Fixtures[Date]=A74)*(Scores_Fixtures[Home.1]=B74),Scores_Fixtures[Score.1],""),
IF(_xlpm.x="","",_xlpm.x)
)</f>
        <v/>
      </c>
      <c r="D74" s="53" t="str" cm="1">
        <f t="array" ref="D74">_xlfn.LET(
_xlpm.x,_xlfn.XLOOKUP(1,(Scores_Fixtures[Date]=A74)*(Scores_Fixtures[Home.1]=B74),Scores_Fixtures[Score.2],""),
IF(_xlpm.x="","",_xlpm.x)
)</f>
        <v/>
      </c>
      <c r="E74" s="30" t="s">
        <v>47</v>
      </c>
      <c r="F74" s="16"/>
      <c r="G74" s="53"/>
      <c r="H74" s="53"/>
      <c r="I74" s="54" t="str" cm="1">
        <f t="array" ref="I74">_xlfn.IFS($D74="","",AND(G74=$C74,H74=$D74),3,($C74-$D74)/MAX(ABS($C74-$D74),1)=(G74-H74)/MAX(ABS(G74-H74),1),1,TRUE,0)</f>
        <v/>
      </c>
      <c r="J74" s="20"/>
      <c r="K74" s="21"/>
      <c r="L74" s="54" t="str" cm="1">
        <f t="array" ref="L74">_xlfn.IFS($D74="","",AND(J74=$C74,K74=$D74),3,($C74-$D74)/MAX(ABS($C74-$D74),1)=(J74-K74)/MAX(ABS(J74-K74),1),1,TRUE,0)</f>
        <v/>
      </c>
      <c r="M74" s="20"/>
      <c r="N74" s="21"/>
      <c r="O74" s="54" t="str" cm="1">
        <f t="array" ref="O74">_xlfn.IFS($D74="","",AND(M74=$C74,N74=$D74),3,($C74-$D74)/MAX(ABS($C74-$D74),1)=(M74-N74)/MAX(ABS(M74-N74),1),1,TRUE,0)</f>
        <v/>
      </c>
      <c r="P74" s="20"/>
      <c r="Q74" s="21"/>
      <c r="R74" s="54" t="str" cm="1">
        <f t="array" ref="R74">_xlfn.IFS($D74="","",AND(P74=$C74,Q74=$D74),3,($C74-$D74)/MAX(ABS($C74-$D74),1)=(P74-Q74)/MAX(ABS(P74-Q74),1),1,TRUE,0)</f>
        <v/>
      </c>
      <c r="S74" s="20"/>
      <c r="T74" s="21"/>
      <c r="U74" s="54" t="str" cm="1">
        <f t="array" ref="U74">_xlfn.IFS($D74="","",AND(S74=$C74,T74=$D74),3,($C74-$D74)/MAX(ABS($C74-$D74),1)=(S74-T74)/MAX(ABS(S74-T74),1),1,TRUE,0)</f>
        <v/>
      </c>
      <c r="V74" s="20"/>
      <c r="W74" s="21"/>
      <c r="X74" s="54" t="str" cm="1">
        <f t="array" ref="X74">_xlfn.IFS($D74="","",AND(V74=$C74,W74=$D74),3,($C74-$D74)/MAX(ABS($C74-$D74),1)=(V74-W74)/MAX(ABS(V74-W74),1),1,TRUE,0)</f>
        <v/>
      </c>
      <c r="Y74" s="20"/>
      <c r="Z74" s="21"/>
      <c r="AA74" s="54" t="str" cm="1">
        <f t="array" ref="AA74">_xlfn.IFS($D74="","",AND(Y74=$C74,Z74=$D74),3,($C74-$D74)/MAX(ABS($C74-$D74),1)=(Y74-Z74)/MAX(ABS(Y74-Z74),1),1,TRUE,0)</f>
        <v/>
      </c>
      <c r="AB74" s="20"/>
      <c r="AC74" s="21"/>
      <c r="AD74" s="54" t="str" cm="1">
        <f t="array" ref="AD74">_xlfn.IFS($D74="","",AND(AB74=$C74,AC74=$D74),3,($C74-$D74)/MAX(ABS($C74-$D74),1)=(AB74-AC74)/MAX(ABS(AB74-AC74),1),1,TRUE,0)</f>
        <v/>
      </c>
      <c r="AE74" s="20"/>
      <c r="AF74" s="21"/>
      <c r="AG74" s="54" t="str" cm="1">
        <f t="array" ref="AG74">_xlfn.IFS($D74="","",AND(AE74=$C74,AF74=$D74),3,($C74-$D74)/MAX(ABS($C74-$D74),1)=(AE74-AF74)/MAX(ABS(AE74-AF74),1),1,TRUE,0)</f>
        <v/>
      </c>
      <c r="AH74" s="20"/>
      <c r="AI74" s="21"/>
      <c r="AJ74" s="54" t="str" cm="1">
        <f t="array" ref="AJ74">_xlfn.IFS($D74="","",AND(AH74=$C74,AI74=$D74),3,($C74-$D74)/MAX(ABS($C74-$D74),1)=(AH74-AI74)/MAX(ABS(AH74-AI74),1),1,TRUE,0)</f>
        <v/>
      </c>
      <c r="AK74" s="20"/>
      <c r="AL74" s="21"/>
      <c r="AM74" s="54" t="str" cm="1">
        <f t="array" ref="AM74">_xlfn.IFS($D74="","",AND(AK74=$C74,AL74=$D74),3,($C74-$D74)/MAX(ABS($C74-$D74),1)=(AK74-AL74)/MAX(ABS(AK74-AL74),1),1,TRUE,0)</f>
        <v/>
      </c>
      <c r="AN74" s="20"/>
      <c r="AO74" s="21"/>
      <c r="AP74" s="54" t="str" cm="1">
        <f t="array" ref="AP74">_xlfn.IFS($D74="","",AND(AN74=$C74,AO74=$D74),3,($C74-$D74)/MAX(ABS($C74-$D74),1)=(AN74-AO74)/MAX(ABS(AN74-AO74),1),1,TRUE,0)</f>
        <v/>
      </c>
      <c r="AQ74" s="20"/>
      <c r="AR74" s="21"/>
      <c r="AS74" s="54" t="str" cm="1">
        <f t="array" ref="AS74">_xlfn.IFS($D74="","",AND(AQ74=$C74,AR74=$D74),3,($C74-$D74)/MAX(ABS($C74-$D74),1)=(AQ74-AR74)/MAX(ABS(AQ74-AR74),1),1,TRUE,0)</f>
        <v/>
      </c>
      <c r="AT74" s="20"/>
      <c r="AU74" s="21"/>
      <c r="AV74" s="54" t="str" cm="1">
        <f t="array" ref="AV74">_xlfn.IFS($D74="","",AND(AT74=$C74,AU74=$D74),3,($C74-$D74)/MAX(ABS($C74-$D74),1)=(AT74-AU74)/MAX(ABS(AT74-AU74),1),1,TRUE,0)</f>
        <v/>
      </c>
      <c r="AW74" s="20"/>
      <c r="AX74" s="21"/>
      <c r="AY74" s="54" t="str" cm="1">
        <f t="array" ref="AY74">_xlfn.IFS($D74="","",AND(AW74=$C74,AX74=$D74),3,($C74-$D74)/MAX(ABS($C74-$D74),1)=(AW74-AX74)/MAX(ABS(AW74-AX74),1),1,TRUE,0)</f>
        <v/>
      </c>
      <c r="AZ74" s="20"/>
      <c r="BA74" s="21"/>
      <c r="BB74" s="54" t="str" cm="1">
        <f t="array" ref="BB74">_xlfn.IFS($D74="","",AND(AZ74=$C74,BA74=$D74),3,($C74-$D74)/MAX(ABS($C74-$D74),1)=(AZ74-BA74)/MAX(ABS(AZ74-BA74),1),1,TRUE,0)</f>
        <v/>
      </c>
      <c r="BC74" s="20"/>
      <c r="BD74" s="21"/>
      <c r="BE74" s="54" t="str" cm="1">
        <f t="array" ref="BE74">_xlfn.IFS($D74="","",AND(BC74=$C74,BD74=$D74),3,($C74-$D74)/MAX(ABS($C74-$D74),1)=(BC74-BD74)/MAX(ABS(BC74-BD74),1),1,TRUE,0)</f>
        <v/>
      </c>
      <c r="BF74" s="20"/>
      <c r="BG74" s="21"/>
      <c r="BH74" s="54" t="str" cm="1">
        <f t="array" ref="BH74">_xlfn.IFS($D74="","",AND(BF74=$C74,BG74=$D74),3,($C74-$D74)/MAX(ABS($C74-$D74),1)=(BF74-BG74)/MAX(ABS(BF74-BG74),1),1,TRUE,0)</f>
        <v/>
      </c>
      <c r="BI74" s="20"/>
      <c r="BJ74" s="21"/>
      <c r="BK74" s="54" t="str" cm="1">
        <f t="array" ref="BK74">_xlfn.IFS($D74="","",AND(BI74=$C74,BJ74=$D74),3,($C74-$D74)/MAX(ABS($C74-$D74),1)=(BI74-BJ74)/MAX(ABS(BI74-BJ74),1),1,TRUE,0)</f>
        <v/>
      </c>
      <c r="BL74" s="20"/>
      <c r="BM74" s="21"/>
      <c r="BN74" s="54" t="str" cm="1">
        <f t="array" ref="BN74">_xlfn.IFS($D74="","",AND(BL74=$C74,BM74=$D74),3,($C74-$D74)/MAX(ABS($C74-$D74),1)=(BL74-BM74)/MAX(ABS(BL74-BM74),1),1,TRUE,0)</f>
        <v/>
      </c>
      <c r="BO74" s="20"/>
      <c r="BP74" s="21"/>
      <c r="BQ74" s="54" t="str" cm="1">
        <f t="array" ref="BQ74">_xlfn.IFS($D74="","",AND(BO74=$C74,BP74=$D74),3,($C74-$D74)/MAX(ABS($C74-$D74),1)=(BO74-BP74)/MAX(ABS(BO74-BP74),1),1,TRUE,0)</f>
        <v/>
      </c>
      <c r="BR74" s="20"/>
      <c r="BS74" s="21"/>
      <c r="BT74" s="54" t="str" cm="1">
        <f t="array" ref="BT74">_xlfn.IFS($D74="","",AND(BR74=$C74,BS74=$D74),3,($C74-$D74)/MAX(ABS($C74-$D74),1)=(BR74-BS74)/MAX(ABS(BR74-BS74),1),1,TRUE,0)</f>
        <v/>
      </c>
      <c r="BU74" s="20"/>
      <c r="BV74" s="21"/>
      <c r="BW74" s="54" t="str" cm="1">
        <f t="array" ref="BW74">_xlfn.IFS($D74="","",AND(BU74=$C74,BV74=$D74),3,($C74-$D74)/MAX(ABS($C74-$D74),1)=(BU74-BV74)/MAX(ABS(BU74-BV74),1),1,TRUE,0)</f>
        <v/>
      </c>
      <c r="BX74" s="20"/>
      <c r="BY74" s="21"/>
      <c r="BZ74" s="54" t="str" cm="1">
        <f t="array" ref="BZ74">_xlfn.IFS($D74="","",AND(BX74=$C74,BY74=$D74),3,($C74-$D74)/MAX(ABS($C74-$D74),1)=(BX74-BY74)/MAX(ABS(BX74-BY74),1),1,TRUE,0)</f>
        <v/>
      </c>
      <c r="CA74" s="20"/>
      <c r="CB74" s="21"/>
      <c r="CC74" s="54" t="str" cm="1">
        <f t="array" ref="CC74">_xlfn.IFS($D74="","",AND(CA74=$C74,CB74=$D74),3,($C74-$D74)/MAX(ABS($C74-$D74),1)=(CA74-CB74)/MAX(ABS(CA74-CB74),1),1,TRUE,0)</f>
        <v/>
      </c>
      <c r="CD74" s="20"/>
      <c r="CE74" s="21"/>
      <c r="CF74" s="54" t="str" cm="1">
        <f t="array" ref="CF74">_xlfn.IFS($D74="","",AND(CD74=$C74,CE74=$D74),3,($C74-$D74)/MAX(ABS($C74-$D74),1)=(CD74-CE74)/MAX(ABS(CD74-CE74),1),1,TRUE,0)</f>
        <v/>
      </c>
      <c r="CG74" s="20"/>
      <c r="CH74" s="21"/>
      <c r="CI74" s="54" t="str" cm="1">
        <f t="array" ref="CI74">_xlfn.IFS($D74="","",AND(CG74=$C74,CH74=$D74),3,($C74-$D74)/MAX(ABS($C74-$D74),1)=(CG74-CH74)/MAX(ABS(CG74-CH74),1),1,TRUE,0)</f>
        <v/>
      </c>
      <c r="CJ74" s="20"/>
      <c r="CK74" s="21"/>
      <c r="CL74" s="54" t="str" cm="1">
        <f t="array" ref="CL74">_xlfn.IFS($D74="","",AND(CJ74=$C74,CK74=$D74),3,($C74-$D74)/MAX(ABS($C74-$D74),1)=(CJ74-CK74)/MAX(ABS(CJ74-CK74),1),1,TRUE,0)</f>
        <v/>
      </c>
      <c r="CM74" s="20"/>
      <c r="CN74" s="21"/>
      <c r="CO74" s="54" t="str" cm="1">
        <f t="array" ref="CO74">_xlfn.IFS($D74="","",AND(CM74=$C74,CN74=$D74),3,($C74-$D74)/MAX(ABS($C74-$D74),1)=(CM74-CN74)/MAX(ABS(CM74-CN74),1),1,TRUE,0)</f>
        <v/>
      </c>
      <c r="CP74" s="20"/>
      <c r="CQ74" s="21"/>
      <c r="CR74" s="54" t="str" cm="1">
        <f t="array" ref="CR74">_xlfn.IFS($D74="","",AND(CP74=$C74,CQ74=$D74),3,($C74-$D74)/MAX(ABS($C74-$D74),1)=(CP74-CQ74)/MAX(ABS(CP74-CQ74),1),1,TRUE,0)</f>
        <v/>
      </c>
      <c r="CS74" s="20"/>
      <c r="CT74" s="21"/>
      <c r="CU74" s="54" t="str" cm="1">
        <f t="array" ref="CU74">_xlfn.IFS($D74="","",AND(CS74=$C74,CT74=$D74),3,($C74-$D74)/MAX(ABS($C74-$D74),1)=(CS74-CT74)/MAX(ABS(CS74-CT74),1),1,TRUE,0)</f>
        <v/>
      </c>
      <c r="CV74" s="20"/>
      <c r="CW74" s="21"/>
      <c r="CX74" s="54" t="str" cm="1">
        <f t="array" ref="CX74">_xlfn.IFS($D74="","",AND(CV74=$C74,CW74=$D74),3,($C74-$D74)/MAX(ABS($C74-$D74),1)=(CV74-CW74)/MAX(ABS(CV74-CW74),1),1,TRUE,0)</f>
        <v/>
      </c>
      <c r="CY74" s="20"/>
      <c r="CZ74" s="21"/>
      <c r="DA74" s="54" t="str" cm="1">
        <f t="array" ref="DA74">_xlfn.IFS($D74="","",AND(CY74=$C74,CZ74=$D74),3,($C74-$D74)/MAX(ABS($C74-$D74),1)=(CY74-CZ74)/MAX(ABS(CY74-CZ74),1),1,TRUE,0)</f>
        <v/>
      </c>
      <c r="DB74" s="39"/>
      <c r="DC74" s="40"/>
      <c r="DD74" s="54" t="str" cm="1">
        <f t="array" ref="DD74">_xlfn.IFS($D74="","",AND(DB74=$C74,DC74=$D74),3,($C74-$D74)/MAX(ABS($C74-$D74),1)=(DB74-DC74)/MAX(ABS(DB74-DC74),1),1,TRUE,0)</f>
        <v/>
      </c>
      <c r="DE74" s="20"/>
      <c r="DF74" s="21"/>
      <c r="DG74" s="54" t="str" cm="1">
        <f t="array" ref="DG74">_xlfn.IFS($D74="","",AND(DE74=$C74,DF74=$D74),3,($C74-$D74)/MAX(ABS($C74-$D74),1)=(DE74-DF74)/MAX(ABS(DE74-DF74),1),1,TRUE,0)</f>
        <v/>
      </c>
      <c r="DH74" s="20"/>
      <c r="DI74" s="21"/>
      <c r="DJ74" s="54" t="str" cm="1">
        <f t="array" ref="DJ74">_xlfn.IFS($D74="","",AND(DH74=$C74,DI74=$D74),3,($C74-$D74)/MAX(ABS($C74-$D74),1)=(DH74-DI74)/MAX(ABS(DH74-DI74),1),1,TRUE,0)</f>
        <v/>
      </c>
      <c r="DK74" s="20"/>
      <c r="DL74" s="21"/>
      <c r="DM74" s="54" t="str" cm="1">
        <f t="array" ref="DM74">_xlfn.IFS($D74="","",AND(DK74=$C74,DL74=$D74),3,($C74-$D74)/MAX(ABS($C74-$D74),1)=(DK74-DL74)/MAX(ABS(DK74-DL74),1),1,TRUE,0)</f>
        <v/>
      </c>
      <c r="DN74" s="20"/>
      <c r="DO74" s="21"/>
      <c r="DP74" s="54" t="str" cm="1">
        <f t="array" ref="DP74">_xlfn.IFS($D74="","",AND(DN74=$C74,DO74=$D74),3,($C74-$D74)/MAX(ABS($C74-$D74),1)=(DN74-DO74)/MAX(ABS(DN74-DO74),1),1,TRUE,0)</f>
        <v/>
      </c>
      <c r="DQ74" s="20"/>
      <c r="DR74" s="21"/>
      <c r="DS74" s="54" t="str" cm="1">
        <f t="array" ref="DS74">_xlfn.IFS($D74="","",AND(DQ74=$C74,DR74=$D74),3,($C74-$D74)/MAX(ABS($C74-$D74),1)=(DQ74-DR74)/MAX(ABS(DQ74-DR74),1),1,TRUE,0)</f>
        <v/>
      </c>
      <c r="DT74" s="20"/>
      <c r="DU74" s="21"/>
      <c r="DV74" s="54" t="str" cm="1">
        <f t="array" ref="DV74">_xlfn.IFS($D74="","",AND(DT74=$C74,DU74=$D74),3,($C74-$D74)/MAX(ABS($C74-$D74),1)=(DT74-DU74)/MAX(ABS(DT74-DU74),1),1,TRUE,0)</f>
        <v/>
      </c>
      <c r="DW74" s="20"/>
      <c r="DX74" s="21"/>
      <c r="DY74" s="54" t="str" cm="1">
        <f t="array" ref="DY74">_xlfn.IFS($D74="","",AND(DW74=$C74,DX74=$D74),3,($C74-$D74)/MAX(ABS($C74-$D74),1)=(DW74-DX74)/MAX(ABS(DW74-DX74),1),1,TRUE,0)</f>
        <v/>
      </c>
      <c r="DZ74" s="20"/>
      <c r="EA74" s="21"/>
      <c r="EB74" s="54" t="str" cm="1">
        <f t="array" ref="EB74">_xlfn.IFS($D74="","",AND(DZ74=$C74,EA74=$D74),3,($C74-$D74)/MAX(ABS($C74-$D74),1)=(DZ74-EA74)/MAX(ABS(DZ74-EA74),1),1,TRUE,0)</f>
        <v/>
      </c>
      <c r="EC74" s="20"/>
      <c r="ED74" s="21"/>
      <c r="EE74" s="54" t="str" cm="1">
        <f t="array" ref="EE74">_xlfn.IFS($D74="","",AND(EC74=$C74,ED74=$D74),3,($C74-$D74)/MAX(ABS($C74-$D74),1)=(EC74-ED74)/MAX(ABS(EC74-ED74),1),1,TRUE,0)</f>
        <v/>
      </c>
      <c r="EF74" s="20"/>
      <c r="EG74" s="21"/>
      <c r="EH74" s="54" t="str" cm="1">
        <f t="array" ref="EH74">_xlfn.IFS($D74="","",AND(EF74=$C74,EG74=$D74),3,($C74-$D74)/MAX(ABS($C74-$D74),1)=(EF74-EG74)/MAX(ABS(EF74-EG74),1),1,TRUE,0)</f>
        <v/>
      </c>
      <c r="EI74" s="55"/>
      <c r="EJ74" s="56"/>
      <c r="EK74" s="54" t="str" cm="1">
        <f t="array" ref="EK74">_xlfn.IFS($D74="","",AND(EI74=$C74,EJ74=$D74),3,($C74-$D74)/MAX(ABS($C74-$D74),1)=(EI74-EJ74)/MAX(ABS(EI74-EJ74),1),1,TRUE,0)</f>
        <v/>
      </c>
      <c r="EL74" s="20"/>
      <c r="EM74" s="21"/>
      <c r="EN74" s="54" t="str" cm="1">
        <f t="array" ref="EN74">_xlfn.IFS($D74="","",AND(EL74=$C74,EM74=$D74),3,($C74-$D74)/MAX(ABS($C74-$D74),1)=(EL74-EM74)/MAX(ABS(EL74-EM74),1),1,TRUE,0)</f>
        <v/>
      </c>
      <c r="EO74" s="20"/>
      <c r="EP74" s="21"/>
      <c r="EQ74" s="54" t="str" cm="1">
        <f t="array" ref="EQ74">_xlfn.IFS($D74="","",AND(EO74=$C74,EP74=$D74),3,($C74-$D74)/MAX(ABS($C74-$D74),1)=(EO74-EP74)/MAX(ABS(EO74-EP74),1),1,TRUE,0)</f>
        <v/>
      </c>
      <c r="ER74" s="20"/>
      <c r="ES74" s="21"/>
      <c r="ET74" s="54" t="str" cm="1">
        <f t="array" ref="ET74">_xlfn.IFS($D74="","",AND(ER74=$C74,ES74=$D74),3,($C74-$D74)/MAX(ABS($C74-$D74),1)=(ER74-ES74)/MAX(ABS(ER74-ES74),1),1,TRUE,0)</f>
        <v/>
      </c>
      <c r="EU74" s="20"/>
      <c r="EV74" s="21"/>
      <c r="EW74" s="54" t="str" cm="1">
        <f t="array" ref="EW74">_xlfn.IFS($D74="","",AND(EU74=$C74,EV74=$D74),3,($C74-$D74)/MAX(ABS($C74-$D74),1)=(EU74-EV74)/MAX(ABS(EU74-EV74),1),1,TRUE,0)</f>
        <v/>
      </c>
      <c r="EX74" s="20"/>
      <c r="EY74" s="21"/>
      <c r="EZ74" s="54" t="str" cm="1">
        <f t="array" ref="EZ74">_xlfn.IFS($D74="","",AND(EX74=$C74,EY74=$D74),3,($C74-$D74)/MAX(ABS($C74-$D74),1)=(EX74-EY74)/MAX(ABS(EX74-EY74),1),1,TRUE,0)</f>
        <v/>
      </c>
      <c r="FA74" s="20"/>
      <c r="FB74" s="21"/>
      <c r="FC74" s="54" t="str" cm="1">
        <f t="array" ref="FC74">_xlfn.IFS($D74="","",AND(FA74=$C74,FB74=$D74),3,($C74-$D74)/MAX(ABS($C74-$D74),1)=(FA74-FB74)/MAX(ABS(FA74-FB74),1),1,TRUE,0)</f>
        <v/>
      </c>
      <c r="FD74" s="20"/>
      <c r="FE74" s="21"/>
      <c r="FF74" s="54" t="str" cm="1">
        <f t="array" ref="FF74">_xlfn.IFS($D74="","",AND(FD74=$C74,FE74=$D74),3,($C74-$D74)/MAX(ABS($C74-$D74),1)=(FD74-FE74)/MAX(ABS(FD74-FE74),1),1,TRUE,0)</f>
        <v/>
      </c>
      <c r="FG74" s="20"/>
      <c r="FH74" s="21"/>
      <c r="FI74" s="54" t="str" cm="1">
        <f t="array" ref="FI74">_xlfn.IFS($D74="","",AND(FG74=$C74,FH74=$D74),3,($C74-$D74)/MAX(ABS($C74-$D74),1)=(FG74-FH74)/MAX(ABS(FG74-FH74),1),1,TRUE,0)</f>
        <v/>
      </c>
      <c r="FJ74" s="20"/>
      <c r="FK74" s="21"/>
      <c r="FL74" s="54" t="str" cm="1">
        <f t="array" ref="FL74">_xlfn.IFS($D74="","",AND(FJ74=$C74,FK74=$D74),3,($C74-$D74)/MAX(ABS($C74-$D74),1)=(FJ74-FK74)/MAX(ABS(FJ74-FK74),1),1,TRUE,0)</f>
        <v/>
      </c>
      <c r="FM74" s="20"/>
      <c r="FN74" s="21"/>
      <c r="FO74" s="54" t="str" cm="1">
        <f t="array" ref="FO74">_xlfn.IFS($D74="","",AND(FM74=$C74,FN74=$D74),3,($C74-$D74)/MAX(ABS($C74-$D74),1)=(FM74-FN74)/MAX(ABS(FM74-FN74),1),1,TRUE,0)</f>
        <v/>
      </c>
      <c r="FP74" s="20"/>
      <c r="FQ74" s="21"/>
      <c r="FR74" s="54" t="str" cm="1">
        <f t="array" ref="FR74">_xlfn.IFS($D74="","",AND(FP74=$C74,FQ74=$D74),3,($C74-$D74)/MAX(ABS($C74-$D74),1)=(FP74-FQ74)/MAX(ABS(FP74-FQ74),1),1,TRUE,0)</f>
        <v/>
      </c>
      <c r="FS74" s="20"/>
      <c r="FT74" s="21"/>
      <c r="FU74" s="54" t="str" cm="1">
        <f t="array" ref="FU74">_xlfn.IFS($D74="","",AND(FS74=$C74,FT74=$D74),3,($C74-$D74)/MAX(ABS($C74-$D74),1)=(FS74-FT74)/MAX(ABS(FS74-FT74),1),1,TRUE,0)</f>
        <v/>
      </c>
      <c r="FV74" s="20"/>
      <c r="FW74" s="21"/>
      <c r="FX74" s="54" t="str" cm="1">
        <f t="array" ref="FX74">_xlfn.IFS($D74="","",AND(FV74=$C74,FW74=$D74),3,($C74-$D74)/MAX(ABS($C74-$D74),1)=(FV74-FW74)/MAX(ABS(FV74-FW74),1),1,TRUE,0)</f>
        <v/>
      </c>
      <c r="FY74" s="20"/>
      <c r="FZ74" s="21"/>
      <c r="GA74" s="54" t="str" cm="1">
        <f t="array" ref="GA74">_xlfn.IFS($D74="","",AND(FY74=$C74,FZ74=$D74),3,($C74-$D74)/MAX(ABS($C74-$D74),1)=(FY74-FZ74)/MAX(ABS(FY74-FZ74),1),1,TRUE,0)</f>
        <v/>
      </c>
      <c r="GB74" s="20"/>
      <c r="GC74" s="21"/>
      <c r="GD74" s="54" t="str" cm="1">
        <f t="array" ref="GD74">_xlfn.IFS($D74="","",AND(GB74=$C74,GC74=$D74),3,($C74-$D74)/MAX(ABS($C74-$D74),1)=(GB74-GC74)/MAX(ABS(GB74-GC74),1),1,TRUE,0)</f>
        <v/>
      </c>
      <c r="GE74" s="48"/>
      <c r="GF74" s="21"/>
      <c r="GG74" s="54" t="str" cm="1">
        <f t="array" ref="GG74">_xlfn.IFS($D74="","",AND(GE74=$C74,GF74=$D74),3,($C74-$D74)/MAX(ABS($C74-$D74),1)=(GE74-GF74)/MAX(ABS(GE74-GF74),1),1,TRUE,0)</f>
        <v/>
      </c>
      <c r="GH74" s="20"/>
      <c r="GI74" s="21"/>
      <c r="GJ74" s="54" t="str" cm="1">
        <f t="array" ref="GJ74">_xlfn.IFS($D74="","",AND(GH74=$C74,GI74=$D74),3,($C74-$D74)/MAX(ABS($C74-$D74),1)=(GH74-GI74)/MAX(ABS(GH74-GI74),1),1,TRUE,0)</f>
        <v/>
      </c>
      <c r="GK74" s="20"/>
      <c r="GL74" s="21"/>
      <c r="GM74" s="54" t="str" cm="1">
        <f t="array" ref="GM74">_xlfn.IFS($D74="","",AND(GK74=$C74,GL74=$D74),3,($C74-$D74)/MAX(ABS($C74-$D74),1)=(GK74-GL74)/MAX(ABS(GK74-GL74),1),1,TRUE,0)</f>
        <v/>
      </c>
      <c r="GN74" s="20"/>
      <c r="GO74" s="21"/>
      <c r="GP74" s="54" t="str" cm="1">
        <f t="array" ref="GP74">_xlfn.IFS($D74="","",AND(GN74=$C74,GO74=$D74),3,($C74-$D74)/MAX(ABS($C74-$D74),1)=(GN74-GO74)/MAX(ABS(GN74-GO74),1),1,TRUE,0)</f>
        <v/>
      </c>
      <c r="GQ74" s="20"/>
      <c r="GR74" s="21"/>
      <c r="GS74" s="54" t="str" cm="1">
        <f t="array" ref="GS74">_xlfn.IFS($D74="","",AND(GQ74=$C74,GR74=$D74),3,($C74-$D74)/MAX(ABS($C74-$D74),1)=(GQ74-GR74)/MAX(ABS(GQ74-GR74),1),1,TRUE,0)</f>
        <v/>
      </c>
      <c r="GT74" s="20"/>
      <c r="GU74" s="21"/>
      <c r="GV74" s="54" t="str" cm="1">
        <f t="array" ref="GV74">_xlfn.IFS($D74="","",AND(GT74=$C74,GU74=$D74),3,($C74-$D74)/MAX(ABS($C74-$D74),1)=(GT74-GU74)/MAX(ABS(GT74-GU74),1),1,TRUE,0)</f>
        <v/>
      </c>
      <c r="GW74" s="20"/>
      <c r="GX74" s="21"/>
      <c r="GY74" s="54" t="str" cm="1">
        <f t="array" ref="GY74">_xlfn.IFS($D74="","",AND(GW74=$C74,GX74=$D74),3,($C74-$D74)/MAX(ABS($C74-$D74),1)=(GW74-GX74)/MAX(ABS(GW74-GX74),1),1,TRUE,0)</f>
        <v/>
      </c>
      <c r="GZ74" s="20"/>
      <c r="HA74" s="21"/>
      <c r="HB74" s="54" t="str" cm="1">
        <f t="array" ref="HB74">_xlfn.IFS($D74="","",AND(GZ74=$C74,HA74=$D74),3,($C74-$D74)/MAX(ABS($C74-$D74),1)=(GZ74-HA74)/MAX(ABS(GZ74-HA74),1),1,TRUE,0)</f>
        <v/>
      </c>
      <c r="HC74" s="20"/>
      <c r="HD74" s="21"/>
      <c r="HE74" s="54" t="str" cm="1">
        <f t="array" ref="HE74">_xlfn.IFS($D74="","",AND(HC74=$C74,HD74=$D74),3,($C74-$D74)/MAX(ABS($C74-$D74),1)=(HC74-HD74)/MAX(ABS(HC74-HD74),1),1,TRUE,0)</f>
        <v/>
      </c>
      <c r="HF74" s="20"/>
      <c r="HG74" s="21"/>
      <c r="HH74" s="54" t="str" cm="1">
        <f t="array" ref="HH74">_xlfn.IFS($D74="","",AND(HF74=$C74,HG74=$D74),3,($C74-$D74)/MAX(ABS($C74-$D74),1)=(HF74-HG74)/MAX(ABS(HF74-HG74),1),1,TRUE,0)</f>
        <v/>
      </c>
      <c r="HI74" s="20"/>
      <c r="HJ74" s="21"/>
      <c r="HK74" s="54" t="str" cm="1">
        <f t="array" ref="HK74">_xlfn.IFS($D74="","",AND(HI74=$C74,HJ74=$D74),3,($C74-$D74)/MAX(ABS($C74-$D74),1)=(HI74-HJ74)/MAX(ABS(HI74-HJ74),1),1,TRUE,0)</f>
        <v/>
      </c>
      <c r="HL74" s="20"/>
      <c r="HM74" s="21"/>
      <c r="HN74" s="54" t="str" cm="1">
        <f t="array" ref="HN74">_xlfn.IFS($D74="","",AND(HL74=$C74,HM74=$D74),3,($C74-$D74)/MAX(ABS($C74-$D74),1)=(HL74-HM74)/MAX(ABS(HL74-HM74),1),1,TRUE,0)</f>
        <v/>
      </c>
      <c r="HO74" s="20"/>
      <c r="HP74" s="21"/>
      <c r="HQ74" s="54" t="str" cm="1">
        <f t="array" ref="HQ74">_xlfn.IFS($D74="","",AND(HO74=$C74,HP74=$D74),3,($C74-$D74)/MAX(ABS($C74-$D74),1)=(HO74-HP74)/MAX(ABS(HO74-HP74),1),1,TRUE,0)</f>
        <v/>
      </c>
      <c r="HR74" s="20"/>
      <c r="HS74" s="21"/>
      <c r="HT74" s="54" t="str" cm="1">
        <f t="array" ref="HT74">_xlfn.IFS($D74="","",AND(HR74=$C74,HS74=$D74),3,($C74-$D74)/MAX(ABS($C74-$D74),1)=(HR74-HS74)/MAX(ABS(HR74-HS74),1),1,TRUE,0)</f>
        <v/>
      </c>
      <c r="HU74" s="20"/>
      <c r="HV74" s="21"/>
      <c r="HW74" s="54" t="str" cm="1">
        <f t="array" ref="HW74">_xlfn.IFS($D74="","",AND(HU74=$C74,HV74=$D74),3,($C74-$D74)/MAX(ABS($C74-$D74),1)=(HU74-HV74)/MAX(ABS(HU74-HV74),1),1,TRUE,0)</f>
        <v/>
      </c>
      <c r="HX74" s="20"/>
      <c r="HY74" s="21"/>
      <c r="HZ74" s="54" t="str" cm="1">
        <f t="array" ref="HZ74">_xlfn.IFS($D74="","",AND(HX74=$C74,HY74=$D74),3,($C74-$D74)/MAX(ABS($C74-$D74),1)=(HX74-HY74)/MAX(ABS(HX74-HY74),1),1,TRUE,0)</f>
        <v/>
      </c>
      <c r="IA74" s="20"/>
      <c r="IB74" s="21"/>
      <c r="IC74" s="54" t="str" cm="1">
        <f t="array" ref="IC74">_xlfn.IFS($D74="","",AND(IA74=$C74,IB74=$D74),3,($C74-$D74)/MAX(ABS($C74-$D74),1)=(IA74-IB74)/MAX(ABS(IA74-IB74),1),1,TRUE,0)</f>
        <v/>
      </c>
      <c r="ID74" s="20"/>
      <c r="IE74" s="21"/>
      <c r="IF74" s="54" t="str" cm="1">
        <f t="array" ref="IF74">_xlfn.IFS($D74="","",AND(ID74=$C74,IE74=$D74),3,($C74-$D74)/MAX(ABS($C74-$D74),1)=(ID74-IE74)/MAX(ABS(ID74-IE74),1),1,TRUE,0)</f>
        <v/>
      </c>
      <c r="IG74" s="20"/>
      <c r="IH74" s="21"/>
      <c r="II74" s="54" t="str" cm="1">
        <f t="array" ref="II74">_xlfn.IFS($D74="","",AND(IG74=$C74,IH74=$D74),3,($C74-$D74)/MAX(ABS($C74-$D74),1)=(IG74-IH74)/MAX(ABS(IG74-IH74),1),1,TRUE,0)</f>
        <v/>
      </c>
      <c r="IJ74" s="20"/>
      <c r="IK74" s="21"/>
      <c r="IL74" s="54" t="str" cm="1">
        <f t="array" ref="IL74">_xlfn.IFS($D74="","",AND(IJ74=$C74,IK74=$D74),3,($C74-$D74)/MAX(ABS($C74-$D74),1)=(IJ74-IK74)/MAX(ABS(IJ74-IK74),1),1,TRUE,0)</f>
        <v/>
      </c>
      <c r="IM74" s="20"/>
      <c r="IN74" s="21"/>
      <c r="IO74" s="54" t="str" cm="1">
        <f t="array" ref="IO74">_xlfn.IFS($D74="","",AND(IM74=$C74,IN74=$D74),3,($C74-$D74)/MAX(ABS($C74-$D74),1)=(IM74-IN74)/MAX(ABS(IM74-IN74),1),1,TRUE,0)</f>
        <v/>
      </c>
      <c r="IP74" s="20"/>
      <c r="IQ74" s="21"/>
      <c r="IR74" s="54" t="str" cm="1">
        <f t="array" ref="IR74">_xlfn.IFS($D74="","",AND(IP74=$C74,IQ74=$D74),3,($C74-$D74)/MAX(ABS($C74-$D74),1)=(IP74-IQ74)/MAX(ABS(IP74-IQ74),1),1,TRUE,0)</f>
        <v/>
      </c>
      <c r="IS74" s="20"/>
      <c r="IT74" s="21"/>
      <c r="IU74" s="54" t="str" cm="1">
        <f t="array" ref="IU74">_xlfn.IFS($D74="","",AND(IS74=$C74,IT74=$D74),3,($C74-$D74)/MAX(ABS($C74-$D74),1)=(IS74-IT74)/MAX(ABS(IS74-IT74),1),1,TRUE,0)</f>
        <v/>
      </c>
      <c r="IV74" s="20"/>
      <c r="IW74" s="21"/>
      <c r="IX74" s="54" t="str" cm="1">
        <f t="array" ref="IX74">_xlfn.IFS($D74="","",AND(IV74=$C74,IW74=$D74),3,($C74-$D74)/MAX(ABS($C74-$D74),1)=(IV74-IW74)/MAX(ABS(IV74-IW74),1),1,TRUE,0)</f>
        <v/>
      </c>
      <c r="IY74" s="20"/>
      <c r="IZ74" s="21"/>
      <c r="JA74" s="54" t="str" cm="1">
        <f t="array" ref="JA74">_xlfn.IFS($D74="","",AND(IY74=$C74,IZ74=$D74),3,($C74-$D74)/MAX(ABS($C74-$D74),1)=(IY74-IZ74)/MAX(ABS(IY74-IZ74),1),1,TRUE,0)</f>
        <v/>
      </c>
      <c r="JB74" s="20"/>
      <c r="JC74" s="21"/>
      <c r="JD74" s="54" t="str" cm="1">
        <f t="array" ref="JD74">_xlfn.IFS($D74="","",AND(JB74=$C74,JC74=$D74),3,($C74-$D74)/MAX(ABS($C74-$D74),1)=(JB74-JC74)/MAX(ABS(JB74-JC74),1),1,TRUE,0)</f>
        <v/>
      </c>
    </row>
    <row r="75" spans="1:264" x14ac:dyDescent="0.3">
      <c r="H75" s="10" t="s">
        <v>18</v>
      </c>
      <c r="I75" s="9">
        <f>SUM(I3:I74)</f>
        <v>0</v>
      </c>
      <c r="K75" s="10" t="s">
        <v>18</v>
      </c>
      <c r="L75" s="9">
        <f>SUM(L3:L74)</f>
        <v>0</v>
      </c>
      <c r="N75" s="10" t="s">
        <v>18</v>
      </c>
      <c r="O75" s="9">
        <f>SUM(O3:O74)</f>
        <v>0</v>
      </c>
      <c r="Q75" s="10" t="s">
        <v>18</v>
      </c>
      <c r="R75" s="9">
        <f>SUM(R3:R74)</f>
        <v>0</v>
      </c>
      <c r="T75" s="10" t="s">
        <v>18</v>
      </c>
      <c r="U75" s="9">
        <f>SUM(U3:U74)</f>
        <v>0</v>
      </c>
      <c r="W75" s="10" t="s">
        <v>18</v>
      </c>
      <c r="X75" s="9">
        <f>SUM(X3:X74)</f>
        <v>0</v>
      </c>
      <c r="Y75" s="17"/>
      <c r="Z75" s="10" t="s">
        <v>18</v>
      </c>
      <c r="AA75" s="9">
        <f>SUM(AA3:AA74)</f>
        <v>0</v>
      </c>
      <c r="AB75" s="17"/>
      <c r="AC75" s="10" t="s">
        <v>18</v>
      </c>
      <c r="AD75" s="9">
        <f>SUM(AD3:AD74)</f>
        <v>0</v>
      </c>
      <c r="AE75" s="17"/>
      <c r="AF75" s="10" t="s">
        <v>18</v>
      </c>
      <c r="AG75" s="9">
        <f>SUM(AG3:AG74)</f>
        <v>0</v>
      </c>
      <c r="AH75" s="17"/>
      <c r="AI75" s="10" t="s">
        <v>18</v>
      </c>
      <c r="AJ75" s="9">
        <f>SUM(AJ3:AJ74)</f>
        <v>0</v>
      </c>
      <c r="AK75" s="17"/>
      <c r="AL75" s="10" t="s">
        <v>18</v>
      </c>
      <c r="AM75" s="9">
        <f>SUM(AM3:AM74)</f>
        <v>0</v>
      </c>
      <c r="AN75" s="17"/>
      <c r="AO75" s="10" t="s">
        <v>18</v>
      </c>
      <c r="AP75" s="9">
        <f>SUM(AP3:AP74)</f>
        <v>0</v>
      </c>
      <c r="AQ75" s="17"/>
      <c r="AR75" s="10" t="s">
        <v>18</v>
      </c>
      <c r="AS75" s="9">
        <f>SUM(AS3:AS74)</f>
        <v>0</v>
      </c>
      <c r="AT75" s="17"/>
      <c r="AU75" s="10" t="s">
        <v>18</v>
      </c>
      <c r="AV75" s="9">
        <f>SUM(AV3:AV74)</f>
        <v>0</v>
      </c>
      <c r="AW75" s="17"/>
      <c r="AX75" s="10" t="s">
        <v>18</v>
      </c>
      <c r="AY75" s="9">
        <f>SUM(AY3:AY74)</f>
        <v>0</v>
      </c>
      <c r="AZ75" s="17"/>
      <c r="BA75" s="10" t="s">
        <v>18</v>
      </c>
      <c r="BB75" s="9">
        <f>SUM(BB3:BB74)</f>
        <v>0</v>
      </c>
      <c r="BC75" s="17"/>
      <c r="BD75" s="10" t="s">
        <v>18</v>
      </c>
      <c r="BE75" s="9">
        <f>SUM(BE3:BE74)</f>
        <v>0</v>
      </c>
      <c r="BF75" s="17"/>
      <c r="BG75" s="10" t="s">
        <v>18</v>
      </c>
      <c r="BH75" s="9">
        <f>SUM(BH3:BH74)</f>
        <v>0</v>
      </c>
      <c r="BI75" s="17"/>
      <c r="BJ75" s="10" t="s">
        <v>18</v>
      </c>
      <c r="BK75" s="9">
        <f>SUM(BK3:BK74)</f>
        <v>0</v>
      </c>
      <c r="BL75" s="17"/>
      <c r="BM75" s="10" t="s">
        <v>18</v>
      </c>
      <c r="BN75" s="9">
        <f>SUM(BN3:BN74)</f>
        <v>0</v>
      </c>
      <c r="BO75" s="17"/>
      <c r="BP75" s="10" t="s">
        <v>18</v>
      </c>
      <c r="BQ75" s="9">
        <f>SUM(BQ3:BQ74)</f>
        <v>0</v>
      </c>
      <c r="BR75" s="17"/>
      <c r="BS75" s="10" t="s">
        <v>18</v>
      </c>
      <c r="BT75" s="9">
        <f>SUM(BT3:BT74)</f>
        <v>0</v>
      </c>
      <c r="BU75" s="17"/>
      <c r="BV75" s="10" t="s">
        <v>18</v>
      </c>
      <c r="BW75" s="9">
        <f>SUM(BW3:BW74)</f>
        <v>0</v>
      </c>
      <c r="BX75" s="17"/>
      <c r="BY75" s="10" t="s">
        <v>18</v>
      </c>
      <c r="BZ75" s="9">
        <f>SUM(BZ3:BZ74)</f>
        <v>0</v>
      </c>
      <c r="CA75" s="17"/>
      <c r="CB75" s="10" t="s">
        <v>18</v>
      </c>
      <c r="CC75" s="9">
        <f>SUM(CC3:CC74)</f>
        <v>0</v>
      </c>
      <c r="CD75" s="17"/>
      <c r="CE75" s="10" t="s">
        <v>18</v>
      </c>
      <c r="CF75" s="9">
        <f>SUM(CF3:CF74)</f>
        <v>0</v>
      </c>
      <c r="CG75" s="17"/>
      <c r="CH75" s="10" t="s">
        <v>18</v>
      </c>
      <c r="CI75" s="9">
        <f>SUM(CI3:CI74)</f>
        <v>0</v>
      </c>
      <c r="CJ75" s="17"/>
      <c r="CK75" s="10" t="s">
        <v>18</v>
      </c>
      <c r="CL75" s="9">
        <f>SUM(CL3:CL74)</f>
        <v>0</v>
      </c>
      <c r="CM75" s="17"/>
      <c r="CN75" s="10" t="s">
        <v>18</v>
      </c>
      <c r="CO75" s="9">
        <f>SUM(CO3:CO74)</f>
        <v>0</v>
      </c>
      <c r="CP75" s="17"/>
      <c r="CQ75" s="10" t="s">
        <v>18</v>
      </c>
      <c r="CR75" s="9">
        <f>SUM(CR3:CR74)</f>
        <v>0</v>
      </c>
      <c r="CS75" s="17"/>
      <c r="CT75" s="10" t="s">
        <v>18</v>
      </c>
      <c r="CU75" s="9">
        <f>SUM(CU3:CU74)</f>
        <v>0</v>
      </c>
      <c r="CV75" s="17"/>
      <c r="CW75" s="10" t="s">
        <v>18</v>
      </c>
      <c r="CX75" s="9">
        <f>SUM(CX3:CX74)</f>
        <v>0</v>
      </c>
      <c r="CY75" s="17"/>
      <c r="CZ75" s="10" t="s">
        <v>18</v>
      </c>
      <c r="DA75" s="9">
        <f>SUM(DA3:DA74)</f>
        <v>0</v>
      </c>
      <c r="DB75" s="17"/>
      <c r="DC75" s="10" t="s">
        <v>18</v>
      </c>
      <c r="DD75" s="9">
        <f>SUM(DD3:DD74)</f>
        <v>0</v>
      </c>
      <c r="DE75" s="17"/>
      <c r="DF75" s="10" t="s">
        <v>18</v>
      </c>
      <c r="DG75" s="9">
        <f>SUM(DG3:DG74)</f>
        <v>0</v>
      </c>
      <c r="DH75" s="17"/>
      <c r="DI75" s="10" t="s">
        <v>18</v>
      </c>
      <c r="DJ75" s="9">
        <f>SUM(DJ3:DJ74)</f>
        <v>0</v>
      </c>
      <c r="DK75" s="17"/>
      <c r="DL75" s="10" t="s">
        <v>18</v>
      </c>
      <c r="DM75" s="9">
        <f>SUM(DM3:DM74)</f>
        <v>0</v>
      </c>
      <c r="DN75" s="17"/>
      <c r="DO75" s="10" t="s">
        <v>18</v>
      </c>
      <c r="DP75" s="9">
        <f>SUM(DP3:DP74)</f>
        <v>0</v>
      </c>
      <c r="DQ75" s="17"/>
      <c r="DR75" s="10" t="s">
        <v>18</v>
      </c>
      <c r="DS75" s="9">
        <f>SUM(DS3:DS74)</f>
        <v>0</v>
      </c>
      <c r="DT75" s="17"/>
      <c r="DU75" s="10" t="s">
        <v>18</v>
      </c>
      <c r="DV75" s="9">
        <f>SUM(DV3:DV74)</f>
        <v>0</v>
      </c>
      <c r="DW75" s="17"/>
      <c r="DX75" s="10" t="s">
        <v>18</v>
      </c>
      <c r="DY75" s="9">
        <f>SUM(DY3:DY74)</f>
        <v>0</v>
      </c>
      <c r="DZ75" s="17"/>
      <c r="EA75" s="10" t="s">
        <v>18</v>
      </c>
      <c r="EB75" s="9">
        <f>SUM(EB3:EB74)</f>
        <v>0</v>
      </c>
      <c r="EC75" s="17"/>
      <c r="ED75" s="10" t="s">
        <v>18</v>
      </c>
      <c r="EE75" s="9">
        <f>SUM(EE3:EE74)</f>
        <v>0</v>
      </c>
      <c r="EF75" s="17"/>
      <c r="EG75" s="10" t="s">
        <v>18</v>
      </c>
      <c r="EH75" s="9">
        <f>SUM(EH3:EH74)</f>
        <v>0</v>
      </c>
      <c r="EI75" s="17"/>
      <c r="EJ75" s="10" t="s">
        <v>18</v>
      </c>
      <c r="EK75" s="9">
        <f>SUM(EK3:EK74)</f>
        <v>0</v>
      </c>
      <c r="EL75" s="17"/>
      <c r="EM75" s="10" t="s">
        <v>18</v>
      </c>
      <c r="EN75" s="9">
        <f>SUM(EN3:EN74)</f>
        <v>0</v>
      </c>
      <c r="EO75" s="17"/>
      <c r="EP75" s="10" t="s">
        <v>18</v>
      </c>
      <c r="EQ75" s="9">
        <f>SUM(EQ3:EQ74)</f>
        <v>0</v>
      </c>
      <c r="ER75" s="17"/>
      <c r="ES75" s="10" t="s">
        <v>18</v>
      </c>
      <c r="ET75" s="9">
        <f>SUM(ET3:ET74)</f>
        <v>0</v>
      </c>
      <c r="EU75" s="17"/>
      <c r="EV75" s="10" t="s">
        <v>18</v>
      </c>
      <c r="EW75" s="9">
        <f>SUM(EW3:EW74)</f>
        <v>0</v>
      </c>
      <c r="EX75" s="17"/>
      <c r="EY75" s="10" t="s">
        <v>18</v>
      </c>
      <c r="EZ75" s="9">
        <f>SUM(EZ3:EZ74)</f>
        <v>0</v>
      </c>
      <c r="FA75" s="17"/>
      <c r="FB75" s="10" t="s">
        <v>18</v>
      </c>
      <c r="FC75" s="9">
        <f>SUM(FC3:FC74)</f>
        <v>0</v>
      </c>
      <c r="FD75" s="17"/>
      <c r="FE75" s="10" t="s">
        <v>18</v>
      </c>
      <c r="FF75" s="9">
        <f>SUM(FF3:FF74)</f>
        <v>0</v>
      </c>
      <c r="FG75" s="17"/>
      <c r="FH75" s="10" t="s">
        <v>18</v>
      </c>
      <c r="FI75" s="9">
        <f>SUM(FI3:FI74)</f>
        <v>0</v>
      </c>
      <c r="FJ75" s="17"/>
      <c r="FK75" s="10" t="s">
        <v>18</v>
      </c>
      <c r="FL75" s="9">
        <f>SUM(FL3:FL74)</f>
        <v>0</v>
      </c>
      <c r="FM75" s="17"/>
      <c r="FN75" s="10" t="s">
        <v>18</v>
      </c>
      <c r="FO75" s="9">
        <f>SUM(FO3:FO74)</f>
        <v>0</v>
      </c>
      <c r="FP75" s="17"/>
      <c r="FQ75" s="10" t="s">
        <v>18</v>
      </c>
      <c r="FR75" s="9">
        <f>SUM(FR3:FR74)</f>
        <v>0</v>
      </c>
      <c r="FS75" s="17"/>
      <c r="FT75" s="10" t="s">
        <v>18</v>
      </c>
      <c r="FU75" s="9">
        <f>SUM(FU3:FU74)</f>
        <v>0</v>
      </c>
      <c r="FV75" s="17"/>
      <c r="FW75" s="10" t="s">
        <v>18</v>
      </c>
      <c r="FX75" s="9">
        <f>SUM(FX3:FX74)</f>
        <v>0</v>
      </c>
      <c r="FY75" s="17"/>
      <c r="FZ75" s="10" t="s">
        <v>18</v>
      </c>
      <c r="GA75" s="9">
        <f>SUM(GA3:GA74)</f>
        <v>0</v>
      </c>
      <c r="GB75" s="17"/>
      <c r="GC75" s="10" t="s">
        <v>18</v>
      </c>
      <c r="GD75" s="9">
        <f>SUM(GD3:GD74)</f>
        <v>0</v>
      </c>
      <c r="GE75" s="17"/>
      <c r="GF75" s="10" t="s">
        <v>18</v>
      </c>
      <c r="GG75" s="9">
        <f>SUM(GG3:GG74)</f>
        <v>0</v>
      </c>
      <c r="GH75" s="17"/>
      <c r="GI75" s="10" t="s">
        <v>18</v>
      </c>
      <c r="GJ75" s="9">
        <f>SUM(GJ3:GJ74)</f>
        <v>0</v>
      </c>
      <c r="GK75" s="17"/>
      <c r="GL75" s="10" t="s">
        <v>18</v>
      </c>
      <c r="GM75" s="9">
        <f>SUM(GM3:GM74)</f>
        <v>0</v>
      </c>
      <c r="GN75" s="17"/>
      <c r="GO75" s="10" t="s">
        <v>18</v>
      </c>
      <c r="GP75" s="9">
        <f>SUM(GP3:GP74)</f>
        <v>0</v>
      </c>
      <c r="GQ75" s="17"/>
      <c r="GR75" s="10" t="s">
        <v>18</v>
      </c>
      <c r="GS75" s="9">
        <f>SUM(GS3:GS74)</f>
        <v>0</v>
      </c>
      <c r="GT75" s="17"/>
      <c r="GU75" s="10" t="s">
        <v>18</v>
      </c>
      <c r="GV75" s="9">
        <f>SUM(GV3:GV74)</f>
        <v>0</v>
      </c>
      <c r="GW75" s="17"/>
      <c r="GX75" s="10" t="s">
        <v>18</v>
      </c>
      <c r="GY75" s="9">
        <f>SUM(GY3:GY74)</f>
        <v>0</v>
      </c>
      <c r="GZ75" s="17"/>
      <c r="HA75" s="10" t="s">
        <v>18</v>
      </c>
      <c r="HB75" s="9">
        <f>SUM(HB3:HB74)</f>
        <v>0</v>
      </c>
      <c r="HC75" s="17"/>
      <c r="HD75" s="10" t="s">
        <v>18</v>
      </c>
      <c r="HE75" s="9">
        <f>SUM(HE3:HE74)</f>
        <v>0</v>
      </c>
      <c r="HF75" s="17"/>
      <c r="HG75" s="10" t="s">
        <v>18</v>
      </c>
      <c r="HH75" s="9">
        <f>SUM(HH3:HH74)</f>
        <v>0</v>
      </c>
      <c r="HI75" s="17"/>
      <c r="HJ75" s="10" t="s">
        <v>18</v>
      </c>
      <c r="HK75" s="9">
        <f>SUM(HK3:HK74)</f>
        <v>0</v>
      </c>
      <c r="HL75" s="17"/>
      <c r="HM75" s="10" t="s">
        <v>18</v>
      </c>
      <c r="HN75" s="9">
        <f>SUM(HN3:HN74)</f>
        <v>0</v>
      </c>
      <c r="HO75" s="17"/>
      <c r="HP75" s="10" t="s">
        <v>18</v>
      </c>
      <c r="HQ75" s="9">
        <f>SUM(HQ3:HQ74)</f>
        <v>0</v>
      </c>
      <c r="HR75" s="17"/>
      <c r="HS75" s="10" t="s">
        <v>18</v>
      </c>
      <c r="HT75" s="9">
        <f>SUM(HT3:HT74)</f>
        <v>0</v>
      </c>
      <c r="HU75" s="17"/>
      <c r="HV75" s="10" t="s">
        <v>18</v>
      </c>
      <c r="HW75" s="9">
        <f>SUM(HW3:HW74)</f>
        <v>0</v>
      </c>
      <c r="HX75" s="17"/>
      <c r="HY75" s="10" t="s">
        <v>18</v>
      </c>
      <c r="HZ75" s="9">
        <f>SUM(HZ3:HZ74)</f>
        <v>0</v>
      </c>
      <c r="IA75" s="17"/>
      <c r="IB75" s="10" t="s">
        <v>18</v>
      </c>
      <c r="IC75" s="9">
        <f>SUM(IC3:IC74)</f>
        <v>0</v>
      </c>
      <c r="ID75" s="17"/>
      <c r="IE75" s="10" t="s">
        <v>18</v>
      </c>
      <c r="IF75" s="9">
        <f>SUM(IF3:IF74)</f>
        <v>0</v>
      </c>
      <c r="IG75" s="17"/>
      <c r="IH75" s="10" t="s">
        <v>18</v>
      </c>
      <c r="II75" s="9">
        <f>SUM(II3:II74)</f>
        <v>0</v>
      </c>
      <c r="IJ75" s="17"/>
      <c r="IK75" s="10" t="s">
        <v>18</v>
      </c>
      <c r="IL75" s="9">
        <f>SUM(IL3:IL74)</f>
        <v>0</v>
      </c>
      <c r="IM75" s="17"/>
      <c r="IN75" s="10" t="s">
        <v>18</v>
      </c>
      <c r="IO75" s="9">
        <f>SUM(IO3:IO74)</f>
        <v>0</v>
      </c>
      <c r="IP75" s="17"/>
      <c r="IQ75" s="10" t="s">
        <v>18</v>
      </c>
      <c r="IR75" s="9">
        <f>SUM(IR3:IR74)</f>
        <v>0</v>
      </c>
      <c r="IS75" s="17"/>
      <c r="IT75" s="10" t="s">
        <v>18</v>
      </c>
      <c r="IU75" s="9">
        <f>SUM(IU3:IU74)</f>
        <v>0</v>
      </c>
      <c r="IV75" s="17"/>
      <c r="IW75" s="10" t="s">
        <v>18</v>
      </c>
      <c r="IX75" s="9">
        <f>SUM(IX3:IX74)</f>
        <v>0</v>
      </c>
      <c r="IY75" s="17"/>
      <c r="IZ75" s="10" t="s">
        <v>18</v>
      </c>
      <c r="JA75" s="9">
        <f>SUM(JA3:JA74)</f>
        <v>0</v>
      </c>
      <c r="JC75" s="10" t="s">
        <v>18</v>
      </c>
      <c r="JD75" s="9">
        <f>SUM(JD3:JD74)</f>
        <v>0</v>
      </c>
    </row>
    <row r="76" spans="1:264" x14ac:dyDescent="0.3">
      <c r="A76" s="3" t="s">
        <v>3</v>
      </c>
      <c r="I76" s="4" t="str">
        <f>G1</f>
        <v>Name</v>
      </c>
      <c r="L76" s="4" t="str">
        <f t="shared" ref="L76" si="0">J1</f>
        <v>Name</v>
      </c>
      <c r="O76" s="4" t="str">
        <f t="shared" ref="O76" si="1">M1</f>
        <v>Name</v>
      </c>
      <c r="R76" s="4" t="str">
        <f t="shared" ref="R76" si="2">P1</f>
        <v>Name</v>
      </c>
      <c r="U76" s="4" t="str">
        <f t="shared" ref="U76" si="3">S1</f>
        <v>Name</v>
      </c>
      <c r="X76" s="4" t="str">
        <f t="shared" ref="X76" si="4">V1</f>
        <v>Name</v>
      </c>
      <c r="Y76" s="17"/>
      <c r="Z76" s="17"/>
      <c r="AA76" s="4" t="str">
        <f t="shared" ref="AA76" si="5">Y1</f>
        <v>Name</v>
      </c>
      <c r="AB76" s="17"/>
      <c r="AC76" s="17"/>
      <c r="AD76" s="4" t="str">
        <f t="shared" ref="AD76" si="6">AB1</f>
        <v>Name</v>
      </c>
      <c r="AE76" s="17"/>
      <c r="AF76" s="17"/>
      <c r="AG76" s="4" t="str">
        <f t="shared" ref="AG76" si="7">AE1</f>
        <v>Name</v>
      </c>
      <c r="AH76" s="17"/>
      <c r="AI76" s="17"/>
      <c r="AJ76" s="4" t="str">
        <f t="shared" ref="AJ76" si="8">AH1</f>
        <v>Name</v>
      </c>
      <c r="AK76" s="17"/>
      <c r="AL76" s="17"/>
      <c r="AM76" s="4" t="str">
        <f t="shared" ref="AM76" si="9">AK1</f>
        <v>Name</v>
      </c>
      <c r="AN76" s="17"/>
      <c r="AO76" s="17"/>
      <c r="AP76" s="4" t="str">
        <f t="shared" ref="AP76" si="10">AN1</f>
        <v>Name</v>
      </c>
      <c r="AQ76" s="17"/>
      <c r="AR76" s="17"/>
      <c r="AS76" s="4" t="str">
        <f t="shared" ref="AS76" si="11">AQ1</f>
        <v>Name</v>
      </c>
      <c r="AT76" s="17"/>
      <c r="AU76" s="17"/>
      <c r="AV76" s="4" t="str">
        <f t="shared" ref="AV76" si="12">AT1</f>
        <v>Name</v>
      </c>
      <c r="AW76" s="17"/>
      <c r="AX76" s="17"/>
      <c r="AY76" s="4" t="str">
        <f t="shared" ref="AY76" si="13">AW1</f>
        <v>Name</v>
      </c>
      <c r="AZ76" s="17"/>
      <c r="BA76" s="17"/>
      <c r="BB76" s="4" t="str">
        <f t="shared" ref="BB76" si="14">AZ1</f>
        <v>Name</v>
      </c>
      <c r="BC76" s="17"/>
      <c r="BD76" s="17"/>
      <c r="BE76" s="4" t="str">
        <f t="shared" ref="BE76" si="15">BC1</f>
        <v>Name</v>
      </c>
      <c r="BF76" s="17"/>
      <c r="BG76" s="17"/>
      <c r="BH76" s="4" t="str">
        <f t="shared" ref="BH76" si="16">BF1</f>
        <v>Name</v>
      </c>
      <c r="BI76" s="17"/>
      <c r="BJ76" s="17"/>
      <c r="BK76" s="4" t="str">
        <f t="shared" ref="BK76" si="17">BI1</f>
        <v>Name</v>
      </c>
      <c r="BL76" s="17"/>
      <c r="BM76" s="17"/>
      <c r="BN76" s="4" t="str">
        <f t="shared" ref="BN76" si="18">BL1</f>
        <v>Name</v>
      </c>
      <c r="BO76" s="17"/>
      <c r="BP76" s="17"/>
      <c r="BQ76" s="4" t="str">
        <f t="shared" ref="BQ76" si="19">BO1</f>
        <v>Name</v>
      </c>
      <c r="BR76" s="17"/>
      <c r="BS76" s="17"/>
      <c r="BT76" s="4" t="str">
        <f t="shared" ref="BT76" si="20">BR1</f>
        <v>Name</v>
      </c>
      <c r="BU76" s="17"/>
      <c r="BV76" s="17"/>
      <c r="BW76" s="4" t="str">
        <f t="shared" ref="BW76" si="21">BU1</f>
        <v>Name</v>
      </c>
      <c r="BX76" s="17"/>
      <c r="BY76" s="17"/>
      <c r="BZ76" s="4" t="str">
        <f t="shared" ref="BZ76" si="22">BX1</f>
        <v>Name</v>
      </c>
      <c r="CA76" s="17"/>
      <c r="CB76" s="17"/>
      <c r="CC76" s="4" t="str">
        <f t="shared" ref="CC76" si="23">CA1</f>
        <v>Name</v>
      </c>
      <c r="CD76" s="17"/>
      <c r="CE76" s="17"/>
      <c r="CF76" s="4" t="str">
        <f t="shared" ref="CF76" si="24">CD1</f>
        <v>Name</v>
      </c>
      <c r="CG76" s="17"/>
      <c r="CH76" s="17"/>
      <c r="CI76" s="4" t="str">
        <f t="shared" ref="CI76" si="25">CG1</f>
        <v>Name</v>
      </c>
      <c r="CJ76" s="17"/>
      <c r="CK76" s="17"/>
      <c r="CL76" s="4" t="str">
        <f t="shared" ref="CL76" si="26">CJ1</f>
        <v>Name</v>
      </c>
      <c r="CM76" s="17"/>
      <c r="CN76" s="17"/>
      <c r="CO76" s="4" t="str">
        <f t="shared" ref="CO76" si="27">CM1</f>
        <v>Name</v>
      </c>
      <c r="CP76" s="17"/>
      <c r="CQ76" s="17"/>
      <c r="CR76" s="4" t="str">
        <f t="shared" ref="CR76" si="28">CP1</f>
        <v>Name</v>
      </c>
      <c r="CS76" s="17"/>
      <c r="CT76" s="17"/>
      <c r="CU76" s="4" t="str">
        <f t="shared" ref="CU76" si="29">CS1</f>
        <v>Name</v>
      </c>
      <c r="CV76" s="17"/>
      <c r="CW76" s="17"/>
      <c r="CX76" s="4" t="str">
        <f t="shared" ref="CX76" si="30">CV1</f>
        <v>Name</v>
      </c>
      <c r="CY76" s="17"/>
      <c r="CZ76" s="17"/>
      <c r="DA76" s="4" t="str">
        <f t="shared" ref="DA76" si="31">CY1</f>
        <v>Name</v>
      </c>
      <c r="DB76" s="17"/>
      <c r="DC76" s="17"/>
      <c r="DD76" s="4" t="str">
        <f t="shared" ref="DD76" si="32">DB1</f>
        <v>Name</v>
      </c>
      <c r="DE76" s="17"/>
      <c r="DF76" s="17"/>
      <c r="DG76" s="4" t="str">
        <f t="shared" ref="DG76" si="33">DE1</f>
        <v>Name</v>
      </c>
      <c r="DH76" s="17"/>
      <c r="DI76" s="17"/>
      <c r="DJ76" s="4" t="str">
        <f t="shared" ref="DJ76" si="34">DH1</f>
        <v>Name</v>
      </c>
      <c r="DK76" s="17"/>
      <c r="DL76" s="17"/>
      <c r="DM76" s="4" t="str">
        <f t="shared" ref="DM76" si="35">DK1</f>
        <v>Name</v>
      </c>
      <c r="DN76" s="17"/>
      <c r="DO76" s="17"/>
      <c r="DP76" s="4" t="str">
        <f t="shared" ref="DP76" si="36">DN1</f>
        <v>Name</v>
      </c>
      <c r="DQ76" s="17"/>
      <c r="DR76" s="17"/>
      <c r="DS76" s="4" t="str">
        <f t="shared" ref="DS76" si="37">DQ1</f>
        <v>Name</v>
      </c>
      <c r="DT76" s="17"/>
      <c r="DU76" s="17"/>
      <c r="DV76" s="4" t="str">
        <f t="shared" ref="DV76" si="38">DT1</f>
        <v>Name</v>
      </c>
      <c r="DW76" s="17"/>
      <c r="DX76" s="17"/>
      <c r="DY76" s="4" t="str">
        <f t="shared" ref="DY76" si="39">DW1</f>
        <v>Name</v>
      </c>
      <c r="DZ76" s="17"/>
      <c r="EA76" s="17"/>
      <c r="EB76" s="4" t="str">
        <f t="shared" ref="EB76" si="40">DZ1</f>
        <v>Name</v>
      </c>
      <c r="EC76" s="17"/>
      <c r="ED76" s="17"/>
      <c r="EE76" s="4" t="str">
        <f t="shared" ref="EE76" si="41">EC1</f>
        <v>Name</v>
      </c>
      <c r="EF76" s="17"/>
      <c r="EG76" s="17"/>
      <c r="EH76" s="4" t="str">
        <f t="shared" ref="EH76" si="42">EF1</f>
        <v>Name</v>
      </c>
      <c r="EI76" s="17"/>
      <c r="EJ76" s="17"/>
      <c r="EK76" s="4" t="str">
        <f t="shared" ref="EK76" si="43">EI1</f>
        <v>Name</v>
      </c>
      <c r="EL76" s="17"/>
      <c r="EM76" s="17"/>
      <c r="EN76" s="4" t="str">
        <f t="shared" ref="EN76" si="44">EL1</f>
        <v>Name</v>
      </c>
      <c r="EO76" s="17"/>
      <c r="EP76" s="17"/>
      <c r="EQ76" s="4" t="str">
        <f t="shared" ref="EQ76" si="45">EO1</f>
        <v>Name</v>
      </c>
      <c r="ER76" s="17"/>
      <c r="ES76" s="17"/>
      <c r="ET76" s="4" t="str">
        <f t="shared" ref="ET76" si="46">ER1</f>
        <v>Name</v>
      </c>
      <c r="EU76" s="17"/>
      <c r="EV76" s="17"/>
      <c r="EW76" s="4" t="str">
        <f t="shared" ref="EW76" si="47">EU1</f>
        <v>Name</v>
      </c>
      <c r="EX76" s="17"/>
      <c r="EY76" s="17"/>
      <c r="EZ76" s="4" t="str">
        <f t="shared" ref="EZ76" si="48">EX1</f>
        <v>Name</v>
      </c>
      <c r="FA76" s="17"/>
      <c r="FB76" s="17"/>
      <c r="FC76" s="4" t="str">
        <f t="shared" ref="FC76" si="49">FA1</f>
        <v>Name</v>
      </c>
      <c r="FD76" s="17"/>
      <c r="FE76" s="17"/>
      <c r="FF76" s="4" t="str">
        <f t="shared" ref="FF76" si="50">FD1</f>
        <v>Name</v>
      </c>
      <c r="FG76" s="17"/>
      <c r="FH76" s="17"/>
      <c r="FI76" s="4" t="str">
        <f t="shared" ref="FI76" si="51">FG1</f>
        <v>Name</v>
      </c>
      <c r="FJ76" s="17"/>
      <c r="FK76" s="17"/>
      <c r="FL76" s="4" t="str">
        <f t="shared" ref="FL76" si="52">FJ1</f>
        <v>Name</v>
      </c>
      <c r="FM76" s="17"/>
      <c r="FN76" s="17"/>
      <c r="FO76" s="4" t="str">
        <f t="shared" ref="FO76" si="53">FM1</f>
        <v>Name</v>
      </c>
      <c r="FP76" s="17"/>
      <c r="FQ76" s="17"/>
      <c r="FR76" s="4" t="str">
        <f t="shared" ref="FR76" si="54">FP1</f>
        <v>Name</v>
      </c>
      <c r="FS76" s="17"/>
      <c r="FT76" s="17"/>
      <c r="FU76" s="4" t="str">
        <f t="shared" ref="FU76" si="55">FS1</f>
        <v>Name</v>
      </c>
      <c r="FV76" s="17"/>
      <c r="FW76" s="17"/>
      <c r="FX76" s="4" t="str">
        <f t="shared" ref="FX76" si="56">FV1</f>
        <v>Name</v>
      </c>
      <c r="FY76" s="17"/>
      <c r="FZ76" s="17"/>
      <c r="GA76" s="4" t="str">
        <f t="shared" ref="GA76" si="57">FY1</f>
        <v>Name</v>
      </c>
      <c r="GB76" s="17"/>
      <c r="GC76" s="17"/>
      <c r="GD76" s="4" t="str">
        <f t="shared" ref="GD76" si="58">GB1</f>
        <v>Name</v>
      </c>
      <c r="GE76" s="17"/>
      <c r="GF76" s="17"/>
      <c r="GG76" s="4" t="str">
        <f t="shared" ref="GG76" si="59">GE1</f>
        <v>Name</v>
      </c>
      <c r="GH76" s="17"/>
      <c r="GI76" s="17"/>
      <c r="GJ76" s="4" t="str">
        <f t="shared" ref="GJ76" si="60">GH1</f>
        <v>Name</v>
      </c>
      <c r="GK76" s="17"/>
      <c r="GL76" s="17"/>
      <c r="GM76" s="4" t="str">
        <f t="shared" ref="GM76" si="61">GK1</f>
        <v>Name</v>
      </c>
      <c r="GN76" s="17"/>
      <c r="GO76" s="17"/>
      <c r="GP76" s="4" t="str">
        <f t="shared" ref="GP76" si="62">GN1</f>
        <v>Name</v>
      </c>
      <c r="GQ76" s="17"/>
      <c r="GR76" s="17"/>
      <c r="GS76" s="4" t="str">
        <f t="shared" ref="GS76" si="63">GQ1</f>
        <v>Name</v>
      </c>
      <c r="GT76" s="17"/>
      <c r="GU76" s="17"/>
      <c r="GV76" s="4" t="str">
        <f t="shared" ref="GV76" si="64">GT1</f>
        <v>Name</v>
      </c>
      <c r="GW76" s="17"/>
      <c r="GX76" s="17"/>
      <c r="GY76" s="4" t="str">
        <f t="shared" ref="GY76" si="65">GW1</f>
        <v>Name</v>
      </c>
      <c r="GZ76" s="17"/>
      <c r="HA76" s="17"/>
      <c r="HB76" s="4" t="str">
        <f t="shared" ref="HB76" si="66">GZ1</f>
        <v>Name</v>
      </c>
      <c r="HC76" s="17"/>
      <c r="HD76" s="17"/>
      <c r="HE76" s="4" t="str">
        <f t="shared" ref="HE76" si="67">HC1</f>
        <v>Name</v>
      </c>
      <c r="HF76" s="17"/>
      <c r="HG76" s="17"/>
      <c r="HH76" s="4" t="str">
        <f t="shared" ref="HH76" si="68">HF1</f>
        <v>Name</v>
      </c>
      <c r="HI76" s="17"/>
      <c r="HJ76" s="17"/>
      <c r="HK76" s="4" t="str">
        <f t="shared" ref="HK76" si="69">HI1</f>
        <v>Name</v>
      </c>
      <c r="HL76" s="17"/>
      <c r="HM76" s="17"/>
      <c r="HN76" s="4" t="str">
        <f t="shared" ref="HN76" si="70">HL1</f>
        <v>Name</v>
      </c>
      <c r="HO76" s="17"/>
      <c r="HP76" s="17"/>
      <c r="HQ76" s="4" t="str">
        <f t="shared" ref="HQ76" si="71">HO1</f>
        <v>Name</v>
      </c>
      <c r="HR76" s="17"/>
      <c r="HS76" s="17"/>
      <c r="HT76" s="4" t="str">
        <f t="shared" ref="HT76" si="72">HR1</f>
        <v>Name</v>
      </c>
      <c r="HU76" s="17"/>
      <c r="HV76" s="17"/>
      <c r="HW76" s="4" t="str">
        <f t="shared" ref="HW76" si="73">HU1</f>
        <v>Name</v>
      </c>
      <c r="HX76" s="17"/>
      <c r="HY76" s="17"/>
      <c r="HZ76" s="4" t="str">
        <f t="shared" ref="HZ76" si="74">HX1</f>
        <v>Name</v>
      </c>
      <c r="IA76" s="17"/>
      <c r="IB76" s="17"/>
      <c r="IC76" s="4" t="str">
        <f t="shared" ref="IC76" si="75">IA1</f>
        <v>Name</v>
      </c>
      <c r="ID76" s="17"/>
      <c r="IE76" s="17"/>
      <c r="IF76" s="4" t="str">
        <f t="shared" ref="IF76" si="76">ID1</f>
        <v>Name</v>
      </c>
      <c r="IG76" s="17"/>
      <c r="IH76" s="17"/>
      <c r="II76" s="4" t="str">
        <f t="shared" ref="II76" si="77">IG1</f>
        <v>Name</v>
      </c>
      <c r="IJ76" s="17"/>
      <c r="IK76" s="17"/>
      <c r="IL76" s="4" t="str">
        <f t="shared" ref="IL76" si="78">IJ1</f>
        <v>Name</v>
      </c>
      <c r="IM76" s="17"/>
      <c r="IN76" s="17"/>
      <c r="IO76" s="4" t="str">
        <f t="shared" ref="IO76" si="79">IM1</f>
        <v>Name</v>
      </c>
      <c r="IP76" s="17"/>
      <c r="IQ76" s="17"/>
      <c r="IR76" s="4" t="str">
        <f t="shared" ref="IR76" si="80">IP1</f>
        <v>Name</v>
      </c>
      <c r="IS76" s="17"/>
      <c r="IT76" s="17"/>
      <c r="IU76" s="4" t="str">
        <f t="shared" ref="IU76" si="81">IS1</f>
        <v>Name</v>
      </c>
      <c r="IV76" s="17"/>
      <c r="IW76" s="17"/>
      <c r="IX76" s="4" t="str">
        <f t="shared" ref="IX76" si="82">IV1</f>
        <v>Name</v>
      </c>
      <c r="IY76" s="17"/>
      <c r="IZ76" s="17"/>
      <c r="JA76" s="4" t="str">
        <f t="shared" ref="JA76" si="83">IY1</f>
        <v>Name</v>
      </c>
      <c r="JD76" s="4" t="str">
        <f>JB1</f>
        <v>Name</v>
      </c>
    </row>
  </sheetData>
  <mergeCells count="173">
    <mergeCell ref="JB1:JD1"/>
    <mergeCell ref="JB2:JC2"/>
    <mergeCell ref="CM1:CO1"/>
    <mergeCell ref="CM2:CN2"/>
    <mergeCell ref="CP1:CR1"/>
    <mergeCell ref="CP2:CQ2"/>
    <mergeCell ref="CS1:CU1"/>
    <mergeCell ref="CS2:CT2"/>
    <mergeCell ref="BX1:BZ1"/>
    <mergeCell ref="BX2:BY2"/>
    <mergeCell ref="CA1:CC1"/>
    <mergeCell ref="CA2:CB2"/>
    <mergeCell ref="CD1:CF1"/>
    <mergeCell ref="CD2:CE2"/>
    <mergeCell ref="CG1:CI1"/>
    <mergeCell ref="CG2:CH2"/>
    <mergeCell ref="CJ1:CL1"/>
    <mergeCell ref="CJ2:CK2"/>
    <mergeCell ref="DE1:DG1"/>
    <mergeCell ref="DE2:DF2"/>
    <mergeCell ref="DH1:DJ1"/>
    <mergeCell ref="DH2:DI2"/>
    <mergeCell ref="DK1:DM1"/>
    <mergeCell ref="DK2:DL2"/>
    <mergeCell ref="AN1:AP1"/>
    <mergeCell ref="AN2:AO2"/>
    <mergeCell ref="AQ1:AS1"/>
    <mergeCell ref="AQ2:AR2"/>
    <mergeCell ref="AT1:AV1"/>
    <mergeCell ref="AT2:AU2"/>
    <mergeCell ref="AW1:AY1"/>
    <mergeCell ref="AW2:AX2"/>
    <mergeCell ref="BU1:BW1"/>
    <mergeCell ref="BU2:BV2"/>
    <mergeCell ref="BR1:BT1"/>
    <mergeCell ref="BR2:BS2"/>
    <mergeCell ref="BI1:BK1"/>
    <mergeCell ref="BI2:BJ2"/>
    <mergeCell ref="BL1:BN1"/>
    <mergeCell ref="BL2:BM2"/>
    <mergeCell ref="BO1:BQ1"/>
    <mergeCell ref="BO2:BP2"/>
    <mergeCell ref="AZ1:BB1"/>
    <mergeCell ref="AZ2:BA2"/>
    <mergeCell ref="BC1:BE1"/>
    <mergeCell ref="BC2:BD2"/>
    <mergeCell ref="BF1:BH1"/>
    <mergeCell ref="BF2:BG2"/>
    <mergeCell ref="Y1:AA1"/>
    <mergeCell ref="Y2:Z2"/>
    <mergeCell ref="AB1:AD1"/>
    <mergeCell ref="AB2:AC2"/>
    <mergeCell ref="AE1:AG1"/>
    <mergeCell ref="AE2:AF2"/>
    <mergeCell ref="AH1:AJ1"/>
    <mergeCell ref="AH2:AI2"/>
    <mergeCell ref="AK1:AM1"/>
    <mergeCell ref="AK2:AL2"/>
    <mergeCell ref="S1:U1"/>
    <mergeCell ref="V1:X1"/>
    <mergeCell ref="G2:H2"/>
    <mergeCell ref="J2:K2"/>
    <mergeCell ref="M2:N2"/>
    <mergeCell ref="P2:Q2"/>
    <mergeCell ref="S2:T2"/>
    <mergeCell ref="V2:W2"/>
    <mergeCell ref="C2:D2"/>
    <mergeCell ref="G1:I1"/>
    <mergeCell ref="J1:L1"/>
    <mergeCell ref="M1:O1"/>
    <mergeCell ref="P1:R1"/>
    <mergeCell ref="CV1:CX1"/>
    <mergeCell ref="CV2:CW2"/>
    <mergeCell ref="CY1:DA1"/>
    <mergeCell ref="CY2:CZ2"/>
    <mergeCell ref="DB1:DD1"/>
    <mergeCell ref="DB2:DC2"/>
    <mergeCell ref="DW1:DY1"/>
    <mergeCell ref="DW2:DX2"/>
    <mergeCell ref="DZ1:EB1"/>
    <mergeCell ref="DZ2:EA2"/>
    <mergeCell ref="EC1:EE1"/>
    <mergeCell ref="EC2:ED2"/>
    <mergeCell ref="DN1:DP1"/>
    <mergeCell ref="DN2:DO2"/>
    <mergeCell ref="DQ1:DS1"/>
    <mergeCell ref="DQ2:DR2"/>
    <mergeCell ref="DT1:DV1"/>
    <mergeCell ref="DT2:DU2"/>
    <mergeCell ref="EO1:EQ1"/>
    <mergeCell ref="EO2:EP2"/>
    <mergeCell ref="ER1:ET1"/>
    <mergeCell ref="ER2:ES2"/>
    <mergeCell ref="EU1:EW1"/>
    <mergeCell ref="EU2:EV2"/>
    <mergeCell ref="EF1:EH1"/>
    <mergeCell ref="EF2:EG2"/>
    <mergeCell ref="EI1:EK1"/>
    <mergeCell ref="EI2:EJ2"/>
    <mergeCell ref="EL1:EN1"/>
    <mergeCell ref="EL2:EM2"/>
    <mergeCell ref="FG1:FI1"/>
    <mergeCell ref="FG2:FH2"/>
    <mergeCell ref="FJ1:FL1"/>
    <mergeCell ref="FJ2:FK2"/>
    <mergeCell ref="FM1:FO1"/>
    <mergeCell ref="FM2:FN2"/>
    <mergeCell ref="EX1:EZ1"/>
    <mergeCell ref="EX2:EY2"/>
    <mergeCell ref="FA1:FC1"/>
    <mergeCell ref="FA2:FB2"/>
    <mergeCell ref="FD1:FF1"/>
    <mergeCell ref="FD2:FE2"/>
    <mergeCell ref="FY1:GA1"/>
    <mergeCell ref="FY2:FZ2"/>
    <mergeCell ref="GB1:GD1"/>
    <mergeCell ref="GB2:GC2"/>
    <mergeCell ref="GE1:GG1"/>
    <mergeCell ref="GE2:GF2"/>
    <mergeCell ref="FP1:FR1"/>
    <mergeCell ref="FP2:FQ2"/>
    <mergeCell ref="FS1:FU1"/>
    <mergeCell ref="FS2:FT2"/>
    <mergeCell ref="FV1:FX1"/>
    <mergeCell ref="FV2:FW2"/>
    <mergeCell ref="GQ1:GS1"/>
    <mergeCell ref="GQ2:GR2"/>
    <mergeCell ref="GT1:GV1"/>
    <mergeCell ref="GT2:GU2"/>
    <mergeCell ref="GW1:GY1"/>
    <mergeCell ref="GW2:GX2"/>
    <mergeCell ref="GH1:GJ1"/>
    <mergeCell ref="GH2:GI2"/>
    <mergeCell ref="GK1:GM1"/>
    <mergeCell ref="GK2:GL2"/>
    <mergeCell ref="GN1:GP1"/>
    <mergeCell ref="GN2:GO2"/>
    <mergeCell ref="HI1:HK1"/>
    <mergeCell ref="HI2:HJ2"/>
    <mergeCell ref="HL1:HN1"/>
    <mergeCell ref="HL2:HM2"/>
    <mergeCell ref="HO1:HQ1"/>
    <mergeCell ref="HO2:HP2"/>
    <mergeCell ref="GZ1:HB1"/>
    <mergeCell ref="GZ2:HA2"/>
    <mergeCell ref="HC1:HE1"/>
    <mergeCell ref="HC2:HD2"/>
    <mergeCell ref="HF1:HH1"/>
    <mergeCell ref="HF2:HG2"/>
    <mergeCell ref="IA1:IC1"/>
    <mergeCell ref="IA2:IB2"/>
    <mergeCell ref="ID1:IF1"/>
    <mergeCell ref="ID2:IE2"/>
    <mergeCell ref="IG1:II1"/>
    <mergeCell ref="IG2:IH2"/>
    <mergeCell ref="HR1:HT1"/>
    <mergeCell ref="HR2:HS2"/>
    <mergeCell ref="HU1:HW1"/>
    <mergeCell ref="HU2:HV2"/>
    <mergeCell ref="HX1:HZ1"/>
    <mergeCell ref="HX2:HY2"/>
    <mergeCell ref="IS1:IU1"/>
    <mergeCell ref="IS2:IT2"/>
    <mergeCell ref="IV1:IX1"/>
    <mergeCell ref="IV2:IW2"/>
    <mergeCell ref="IY1:JA1"/>
    <mergeCell ref="IY2:IZ2"/>
    <mergeCell ref="IJ1:IL1"/>
    <mergeCell ref="IJ2:IK2"/>
    <mergeCell ref="IM1:IO1"/>
    <mergeCell ref="IM2:IN2"/>
    <mergeCell ref="IP1:IR1"/>
    <mergeCell ref="IP2:IQ2"/>
  </mergeCells>
  <phoneticPr fontId="7" type="noConversion"/>
  <conditionalFormatting sqref="I3:I74 L3:L74 R3:R74 U3:U74 X3:X74">
    <cfRule type="colorScale" priority="96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O3:O74">
    <cfRule type="colorScale" priority="1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AA3:AA74">
    <cfRule type="colorScale" priority="94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AD3:AD74">
    <cfRule type="colorScale" priority="93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AG3:AG74">
    <cfRule type="colorScale" priority="92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AJ3:AJ74">
    <cfRule type="colorScale" priority="91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AM3:AM74">
    <cfRule type="colorScale" priority="90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AP3:AP74">
    <cfRule type="colorScale" priority="89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AS3:AS74">
    <cfRule type="colorScale" priority="88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AV3:AV74">
    <cfRule type="colorScale" priority="87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AY3:AY74">
    <cfRule type="colorScale" priority="86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BB3:BB74">
    <cfRule type="colorScale" priority="85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BE3:BE74">
    <cfRule type="colorScale" priority="84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BH3:BH74">
    <cfRule type="colorScale" priority="83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BK3:BK74">
    <cfRule type="colorScale" priority="82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BN3:BN74">
    <cfRule type="colorScale" priority="81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BQ3:BQ74">
    <cfRule type="colorScale" priority="80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BT3:BT74">
    <cfRule type="colorScale" priority="79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BW3:BW74">
    <cfRule type="colorScale" priority="78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BZ3:BZ74">
    <cfRule type="colorScale" priority="77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CC3:CC74">
    <cfRule type="colorScale" priority="76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CF3:CF74">
    <cfRule type="colorScale" priority="75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CI3:CI74">
    <cfRule type="colorScale" priority="74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CL3:CL74">
    <cfRule type="colorScale" priority="73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CO3:CO74">
    <cfRule type="colorScale" priority="72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CR3:CR74">
    <cfRule type="colorScale" priority="71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CU3:CU74">
    <cfRule type="colorScale" priority="70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CX3:CX74">
    <cfRule type="colorScale" priority="69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DA3:DA74">
    <cfRule type="colorScale" priority="68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DD3:DD74">
    <cfRule type="colorScale" priority="67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DG3:DG74">
    <cfRule type="colorScale" priority="66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DJ3:DJ74">
    <cfRule type="colorScale" priority="65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DM3:DM74">
    <cfRule type="colorScale" priority="64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DP3:DP74">
    <cfRule type="colorScale" priority="14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DV3:DV74 DS3:DS74">
    <cfRule type="colorScale" priority="13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DY3:DY74">
    <cfRule type="colorScale" priority="12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EB3:EB74">
    <cfRule type="colorScale" priority="11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EE3:EE74">
    <cfRule type="colorScale" priority="10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EH3:EH74">
    <cfRule type="colorScale" priority="9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ET3:ET74 EQ3:EQ74 EN3:EN74 EK3:EK74">
    <cfRule type="colorScale" priority="8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EW3:EW74">
    <cfRule type="colorScale" priority="7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FX3:FX74 FU3:FU74 FR3:FR74 FO3:FO74 FL3:FL74 FI3:FI74 FF3:FF74 FC3:FC74 EZ3:EZ74">
    <cfRule type="colorScale" priority="6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GV3:GV74 GS3:GS74 GP3:GP74 GM3:GM74 GJ3:GJ74 GG3:GG74 GD3:GD74 GA3:GA74">
    <cfRule type="colorScale" priority="5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HK3:HK74 HH3:HH74 HE3:HE74 HB3:HB74 GY3:GY74">
    <cfRule type="colorScale" priority="4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IL3:IL74 II3:II74 IF3:IF74 IC3:IC74 HZ3:HZ74 HW3:HW74 HT3:HT74 HQ3:HQ74 HN3:HN74">
    <cfRule type="colorScale" priority="3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conditionalFormatting sqref="JD3:JD74 JA3:JA74 IX3:IX74 IU3:IU74 IR3:IR74 IO3:IO74">
    <cfRule type="colorScale" priority="2">
      <colorScale>
        <cfvo type="num" val="0"/>
        <cfvo type="num" val="1"/>
        <cfvo type="num" val="3"/>
        <color theme="0"/>
        <color theme="7" tint="0.39997558519241921"/>
        <color rgb="FF63BE7B"/>
      </colorScale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DA95-0FCC-411D-BA6B-26E8DAC90FE7}">
  <sheetPr codeName="Sheet5">
    <tabColor rgb="FFFFC000"/>
  </sheetPr>
  <dimension ref="A1:F73"/>
  <sheetViews>
    <sheetView workbookViewId="0">
      <selection activeCell="D2" sqref="D2"/>
    </sheetView>
  </sheetViews>
  <sheetFormatPr defaultRowHeight="14.4" x14ac:dyDescent="0.3"/>
  <cols>
    <col min="1" max="1" width="10.77734375" bestFit="1" customWidth="1"/>
    <col min="2" max="2" width="10.5546875" bestFit="1" customWidth="1"/>
    <col min="3" max="3" width="13.109375" bestFit="1" customWidth="1"/>
    <col min="4" max="5" width="9.44140625" bestFit="1" customWidth="1"/>
    <col min="6" max="6" width="13.109375" bestFit="1" customWidth="1"/>
    <col min="7" max="7" width="9.6640625" bestFit="1" customWidth="1"/>
    <col min="8" max="9" width="16.44140625" bestFit="1" customWidth="1"/>
  </cols>
  <sheetData>
    <row r="1" spans="1:6" ht="15" thickBot="1" x14ac:dyDescent="0.35">
      <c r="A1" t="s">
        <v>29</v>
      </c>
      <c r="B1" t="s">
        <v>3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t="s">
        <v>30</v>
      </c>
      <c r="B2" s="23">
        <v>46184</v>
      </c>
      <c r="C2" s="63" t="s">
        <v>34</v>
      </c>
      <c r="D2" s="65"/>
      <c r="E2" s="65"/>
      <c r="F2" s="64" t="s">
        <v>61</v>
      </c>
    </row>
    <row r="3" spans="1:6" x14ac:dyDescent="0.3">
      <c r="A3" t="s">
        <v>30</v>
      </c>
      <c r="B3" s="22">
        <v>46185</v>
      </c>
      <c r="C3" s="28" t="s">
        <v>35</v>
      </c>
      <c r="D3" s="4"/>
      <c r="E3" s="4"/>
      <c r="F3" s="12" t="s">
        <v>33</v>
      </c>
    </row>
    <row r="4" spans="1:6" x14ac:dyDescent="0.3">
      <c r="A4" t="s">
        <v>30</v>
      </c>
      <c r="B4" s="22">
        <v>46185</v>
      </c>
      <c r="C4" s="28" t="s">
        <v>36</v>
      </c>
      <c r="D4" s="4"/>
      <c r="E4" s="4"/>
      <c r="F4" s="12" t="s">
        <v>59</v>
      </c>
    </row>
    <row r="5" spans="1:6" x14ac:dyDescent="0.3">
      <c r="A5" t="s">
        <v>30</v>
      </c>
      <c r="B5" s="22">
        <v>46186</v>
      </c>
      <c r="C5" s="28" t="s">
        <v>37</v>
      </c>
      <c r="D5" s="4"/>
      <c r="E5" s="4"/>
      <c r="F5" s="12" t="s">
        <v>64</v>
      </c>
    </row>
    <row r="6" spans="1:6" x14ac:dyDescent="0.3">
      <c r="A6" t="s">
        <v>30</v>
      </c>
      <c r="B6" s="22">
        <v>46186</v>
      </c>
      <c r="C6" s="28" t="s">
        <v>38</v>
      </c>
      <c r="D6" s="4"/>
      <c r="E6" s="4"/>
      <c r="F6" s="12" t="s">
        <v>16</v>
      </c>
    </row>
    <row r="7" spans="1:6" x14ac:dyDescent="0.3">
      <c r="A7" t="s">
        <v>30</v>
      </c>
      <c r="B7" s="22">
        <v>46187</v>
      </c>
      <c r="C7" s="28" t="s">
        <v>39</v>
      </c>
      <c r="D7" s="4"/>
      <c r="E7" s="4"/>
      <c r="F7" s="12" t="s">
        <v>60</v>
      </c>
    </row>
    <row r="8" spans="1:6" x14ac:dyDescent="0.3">
      <c r="A8" t="s">
        <v>30</v>
      </c>
      <c r="B8" s="22">
        <v>46187</v>
      </c>
      <c r="C8" s="28" t="s">
        <v>40</v>
      </c>
      <c r="D8" s="4"/>
      <c r="E8" s="4"/>
      <c r="F8" s="12" t="s">
        <v>31</v>
      </c>
    </row>
    <row r="9" spans="1:6" x14ac:dyDescent="0.3">
      <c r="A9" t="s">
        <v>30</v>
      </c>
      <c r="B9" s="22">
        <v>46187</v>
      </c>
      <c r="C9" s="28" t="s">
        <v>41</v>
      </c>
      <c r="D9" s="4"/>
      <c r="E9" s="4"/>
      <c r="F9" s="12" t="s">
        <v>50</v>
      </c>
    </row>
    <row r="10" spans="1:6" x14ac:dyDescent="0.3">
      <c r="A10" t="s">
        <v>30</v>
      </c>
      <c r="B10" s="22">
        <v>46187</v>
      </c>
      <c r="C10" s="28" t="s">
        <v>13</v>
      </c>
      <c r="D10" s="4"/>
      <c r="E10" s="4"/>
      <c r="F10" s="12" t="s">
        <v>62</v>
      </c>
    </row>
    <row r="11" spans="1:6" x14ac:dyDescent="0.3">
      <c r="A11" t="s">
        <v>30</v>
      </c>
      <c r="B11" s="22">
        <v>46187</v>
      </c>
      <c r="C11" s="28" t="s">
        <v>10</v>
      </c>
      <c r="D11" s="4"/>
      <c r="E11" s="4"/>
      <c r="F11" s="12" t="s">
        <v>63</v>
      </c>
    </row>
    <row r="12" spans="1:6" x14ac:dyDescent="0.3">
      <c r="A12" t="s">
        <v>30</v>
      </c>
      <c r="B12" s="22">
        <v>46188</v>
      </c>
      <c r="C12" s="28" t="s">
        <v>42</v>
      </c>
      <c r="D12" s="4"/>
      <c r="E12" s="4"/>
      <c r="F12" s="12" t="s">
        <v>51</v>
      </c>
    </row>
    <row r="13" spans="1:6" x14ac:dyDescent="0.3">
      <c r="A13" t="s">
        <v>30</v>
      </c>
      <c r="B13" s="22">
        <v>46188</v>
      </c>
      <c r="C13" s="28" t="s">
        <v>43</v>
      </c>
      <c r="D13" s="4"/>
      <c r="E13" s="4"/>
      <c r="F13" s="12" t="s">
        <v>52</v>
      </c>
    </row>
    <row r="14" spans="1:6" x14ac:dyDescent="0.3">
      <c r="A14" t="s">
        <v>30</v>
      </c>
      <c r="B14" s="22">
        <v>46188</v>
      </c>
      <c r="C14" s="28" t="s">
        <v>14</v>
      </c>
      <c r="D14" s="4"/>
      <c r="E14" s="4"/>
      <c r="F14" s="12" t="s">
        <v>66</v>
      </c>
    </row>
    <row r="15" spans="1:6" x14ac:dyDescent="0.3">
      <c r="A15" t="s">
        <v>30</v>
      </c>
      <c r="B15" s="22">
        <v>46188</v>
      </c>
      <c r="C15" s="28" t="s">
        <v>15</v>
      </c>
      <c r="D15" s="4"/>
      <c r="E15" s="4"/>
      <c r="F15" s="12" t="s">
        <v>67</v>
      </c>
    </row>
    <row r="16" spans="1:6" x14ac:dyDescent="0.3">
      <c r="A16" t="s">
        <v>30</v>
      </c>
      <c r="B16" s="22">
        <v>46189</v>
      </c>
      <c r="C16" s="28" t="s">
        <v>44</v>
      </c>
      <c r="D16" s="4"/>
      <c r="E16" s="4"/>
      <c r="F16" s="12" t="s">
        <v>53</v>
      </c>
    </row>
    <row r="17" spans="1:6" x14ac:dyDescent="0.3">
      <c r="A17" t="s">
        <v>30</v>
      </c>
      <c r="B17" s="22">
        <v>46189</v>
      </c>
      <c r="C17" s="28" t="s">
        <v>45</v>
      </c>
      <c r="D17" s="4"/>
      <c r="E17" s="4"/>
      <c r="F17" s="12" t="s">
        <v>54</v>
      </c>
    </row>
    <row r="18" spans="1:6" x14ac:dyDescent="0.3">
      <c r="A18" t="s">
        <v>30</v>
      </c>
      <c r="B18" s="22">
        <v>46189</v>
      </c>
      <c r="C18" s="28" t="s">
        <v>11</v>
      </c>
      <c r="D18" s="4"/>
      <c r="E18" s="4"/>
      <c r="F18" s="12" t="s">
        <v>65</v>
      </c>
    </row>
    <row r="19" spans="1:6" x14ac:dyDescent="0.3">
      <c r="A19" t="s">
        <v>30</v>
      </c>
      <c r="B19" s="22">
        <v>46190</v>
      </c>
      <c r="C19" s="28" t="s">
        <v>46</v>
      </c>
      <c r="D19" s="4"/>
      <c r="E19" s="4"/>
      <c r="F19" s="12" t="s">
        <v>55</v>
      </c>
    </row>
    <row r="20" spans="1:6" x14ac:dyDescent="0.3">
      <c r="A20" t="s">
        <v>30</v>
      </c>
      <c r="B20" s="22">
        <v>46190</v>
      </c>
      <c r="C20" s="28" t="s">
        <v>47</v>
      </c>
      <c r="D20" s="4"/>
      <c r="E20" s="4"/>
      <c r="F20" s="12" t="s">
        <v>69</v>
      </c>
    </row>
    <row r="21" spans="1:6" x14ac:dyDescent="0.3">
      <c r="A21" t="s">
        <v>30</v>
      </c>
      <c r="B21" s="22">
        <v>46190</v>
      </c>
      <c r="C21" s="28" t="s">
        <v>32</v>
      </c>
      <c r="D21" s="4"/>
      <c r="E21" s="4"/>
      <c r="F21" s="12" t="s">
        <v>56</v>
      </c>
    </row>
    <row r="22" spans="1:6" x14ac:dyDescent="0.3">
      <c r="A22" t="s">
        <v>30</v>
      </c>
      <c r="B22" s="22">
        <v>46190</v>
      </c>
      <c r="C22" s="28" t="s">
        <v>17</v>
      </c>
      <c r="D22" s="4"/>
      <c r="E22" s="4"/>
      <c r="F22" s="12" t="s">
        <v>68</v>
      </c>
    </row>
    <row r="23" spans="1:6" x14ac:dyDescent="0.3">
      <c r="A23" t="s">
        <v>30</v>
      </c>
      <c r="B23" s="22">
        <v>46190</v>
      </c>
      <c r="C23" s="28" t="s">
        <v>9</v>
      </c>
      <c r="D23" s="4"/>
      <c r="E23" s="4"/>
      <c r="F23" s="12" t="s">
        <v>12</v>
      </c>
    </row>
    <row r="24" spans="1:6" x14ac:dyDescent="0.3">
      <c r="A24" t="s">
        <v>30</v>
      </c>
      <c r="B24" s="22">
        <v>46191</v>
      </c>
      <c r="C24" s="28" t="s">
        <v>48</v>
      </c>
      <c r="D24" s="4"/>
      <c r="E24" s="4"/>
      <c r="F24" s="12" t="s">
        <v>57</v>
      </c>
    </row>
    <row r="25" spans="1:6" x14ac:dyDescent="0.3">
      <c r="A25" t="s">
        <v>30</v>
      </c>
      <c r="B25" s="22">
        <v>46191</v>
      </c>
      <c r="C25" s="28" t="s">
        <v>49</v>
      </c>
      <c r="D25" s="4"/>
      <c r="E25" s="4"/>
      <c r="F25" s="12" t="s">
        <v>58</v>
      </c>
    </row>
    <row r="26" spans="1:6" x14ac:dyDescent="0.3">
      <c r="A26" t="s">
        <v>30</v>
      </c>
      <c r="B26" s="22">
        <v>46191</v>
      </c>
      <c r="C26" s="28" t="s">
        <v>33</v>
      </c>
      <c r="D26" s="4"/>
      <c r="E26" s="4"/>
      <c r="F26" s="12" t="s">
        <v>61</v>
      </c>
    </row>
    <row r="27" spans="1:6" x14ac:dyDescent="0.3">
      <c r="A27" t="s">
        <v>30</v>
      </c>
      <c r="B27" s="22">
        <v>46191</v>
      </c>
      <c r="C27" s="28" t="s">
        <v>16</v>
      </c>
      <c r="D27" s="4"/>
      <c r="E27" s="4"/>
      <c r="F27" s="12" t="s">
        <v>59</v>
      </c>
    </row>
    <row r="28" spans="1:6" x14ac:dyDescent="0.3">
      <c r="A28" t="s">
        <v>30</v>
      </c>
      <c r="B28" s="22">
        <v>46192</v>
      </c>
      <c r="C28" s="28" t="s">
        <v>36</v>
      </c>
      <c r="D28" s="4"/>
      <c r="E28" s="4"/>
      <c r="F28" s="12" t="s">
        <v>38</v>
      </c>
    </row>
    <row r="29" spans="1:6" x14ac:dyDescent="0.3">
      <c r="A29" t="s">
        <v>30</v>
      </c>
      <c r="B29" s="22">
        <v>46192</v>
      </c>
      <c r="C29" s="28" t="s">
        <v>34</v>
      </c>
      <c r="D29" s="4"/>
      <c r="E29" s="4"/>
      <c r="F29" s="12" t="s">
        <v>35</v>
      </c>
    </row>
    <row r="30" spans="1:6" x14ac:dyDescent="0.3">
      <c r="A30" t="s">
        <v>30</v>
      </c>
      <c r="B30" s="22">
        <v>46192</v>
      </c>
      <c r="C30" s="28" t="s">
        <v>37</v>
      </c>
      <c r="D30" s="4"/>
      <c r="E30" s="4"/>
      <c r="F30" s="12" t="s">
        <v>41</v>
      </c>
    </row>
    <row r="31" spans="1:6" x14ac:dyDescent="0.3">
      <c r="A31" t="s">
        <v>30</v>
      </c>
      <c r="B31" s="22">
        <v>46193</v>
      </c>
      <c r="C31" s="28" t="s">
        <v>31</v>
      </c>
      <c r="D31" s="4"/>
      <c r="E31" s="4"/>
      <c r="F31" s="12" t="s">
        <v>60</v>
      </c>
    </row>
    <row r="32" spans="1:6" x14ac:dyDescent="0.3">
      <c r="A32" t="s">
        <v>30</v>
      </c>
      <c r="B32" s="22">
        <v>46193</v>
      </c>
      <c r="C32" s="28" t="s">
        <v>39</v>
      </c>
      <c r="D32" s="4"/>
      <c r="E32" s="4"/>
      <c r="F32" s="12" t="s">
        <v>40</v>
      </c>
    </row>
    <row r="33" spans="1:6" x14ac:dyDescent="0.3">
      <c r="A33" t="s">
        <v>30</v>
      </c>
      <c r="B33" s="22">
        <v>46193</v>
      </c>
      <c r="C33" s="28" t="s">
        <v>50</v>
      </c>
      <c r="D33" s="4"/>
      <c r="E33" s="4"/>
      <c r="F33" s="12" t="s">
        <v>64</v>
      </c>
    </row>
    <row r="34" spans="1:6" x14ac:dyDescent="0.3">
      <c r="A34" t="s">
        <v>30</v>
      </c>
      <c r="B34" s="22">
        <v>46193</v>
      </c>
      <c r="C34" s="28" t="s">
        <v>10</v>
      </c>
      <c r="D34" s="4"/>
      <c r="E34" s="4"/>
      <c r="F34" s="12" t="s">
        <v>43</v>
      </c>
    </row>
    <row r="35" spans="1:6" x14ac:dyDescent="0.3">
      <c r="A35" t="s">
        <v>30</v>
      </c>
      <c r="B35" s="22">
        <v>46193</v>
      </c>
      <c r="C35" s="28" t="s">
        <v>13</v>
      </c>
      <c r="D35" s="4"/>
      <c r="E35" s="4"/>
      <c r="F35" s="12" t="s">
        <v>42</v>
      </c>
    </row>
    <row r="36" spans="1:6" x14ac:dyDescent="0.3">
      <c r="A36" t="s">
        <v>30</v>
      </c>
      <c r="B36" s="22">
        <v>46194</v>
      </c>
      <c r="C36" s="28" t="s">
        <v>51</v>
      </c>
      <c r="D36" s="4"/>
      <c r="E36" s="4"/>
      <c r="F36" s="12" t="s">
        <v>62</v>
      </c>
    </row>
    <row r="37" spans="1:6" x14ac:dyDescent="0.3">
      <c r="A37" t="s">
        <v>30</v>
      </c>
      <c r="B37" s="22">
        <v>46194</v>
      </c>
      <c r="C37" s="28" t="s">
        <v>52</v>
      </c>
      <c r="D37" s="4"/>
      <c r="E37" s="4"/>
      <c r="F37" s="12" t="s">
        <v>63</v>
      </c>
    </row>
    <row r="38" spans="1:6" x14ac:dyDescent="0.3">
      <c r="A38" t="s">
        <v>30</v>
      </c>
      <c r="B38" s="22">
        <v>46194</v>
      </c>
      <c r="C38" s="28" t="s">
        <v>14</v>
      </c>
      <c r="D38" s="4"/>
      <c r="E38" s="4"/>
      <c r="F38" s="12" t="s">
        <v>44</v>
      </c>
    </row>
    <row r="39" spans="1:6" x14ac:dyDescent="0.3">
      <c r="A39" t="s">
        <v>30</v>
      </c>
      <c r="B39" s="22">
        <v>46194</v>
      </c>
      <c r="C39" s="28" t="s">
        <v>15</v>
      </c>
      <c r="D39" s="4"/>
      <c r="E39" s="4"/>
      <c r="F39" s="12" t="s">
        <v>45</v>
      </c>
    </row>
    <row r="40" spans="1:6" x14ac:dyDescent="0.3">
      <c r="A40" t="s">
        <v>30</v>
      </c>
      <c r="B40" s="22">
        <v>46195</v>
      </c>
      <c r="C40" s="28" t="s">
        <v>53</v>
      </c>
      <c r="D40" s="4"/>
      <c r="E40" s="4"/>
      <c r="F40" s="12" t="s">
        <v>66</v>
      </c>
    </row>
    <row r="41" spans="1:6" x14ac:dyDescent="0.3">
      <c r="A41" t="s">
        <v>30</v>
      </c>
      <c r="B41" s="22">
        <v>46195</v>
      </c>
      <c r="C41" s="28" t="s">
        <v>54</v>
      </c>
      <c r="D41" s="4"/>
      <c r="E41" s="4"/>
      <c r="F41" s="12" t="s">
        <v>67</v>
      </c>
    </row>
    <row r="42" spans="1:6" x14ac:dyDescent="0.3">
      <c r="A42" t="s">
        <v>30</v>
      </c>
      <c r="B42" s="22">
        <v>46195</v>
      </c>
      <c r="C42" s="28" t="s">
        <v>47</v>
      </c>
      <c r="D42" s="4"/>
      <c r="E42" s="4"/>
      <c r="F42" s="12" t="s">
        <v>32</v>
      </c>
    </row>
    <row r="43" spans="1:6" x14ac:dyDescent="0.3">
      <c r="A43" t="s">
        <v>30</v>
      </c>
      <c r="B43" s="22">
        <v>46195</v>
      </c>
      <c r="C43" s="28" t="s">
        <v>11</v>
      </c>
      <c r="D43" s="4"/>
      <c r="E43" s="4"/>
      <c r="F43" s="12" t="s">
        <v>46</v>
      </c>
    </row>
    <row r="44" spans="1:6" x14ac:dyDescent="0.3">
      <c r="A44" t="s">
        <v>30</v>
      </c>
      <c r="B44" s="22">
        <v>46196</v>
      </c>
      <c r="C44" s="28" t="s">
        <v>55</v>
      </c>
      <c r="D44" s="4"/>
      <c r="E44" s="4"/>
      <c r="F44" s="12" t="s">
        <v>65</v>
      </c>
    </row>
    <row r="45" spans="1:6" x14ac:dyDescent="0.3">
      <c r="A45" t="s">
        <v>30</v>
      </c>
      <c r="B45" s="22">
        <v>46196</v>
      </c>
      <c r="C45" s="28" t="s">
        <v>56</v>
      </c>
      <c r="D45" s="4"/>
      <c r="E45" s="4"/>
      <c r="F45" s="12" t="s">
        <v>69</v>
      </c>
    </row>
    <row r="46" spans="1:6" x14ac:dyDescent="0.3">
      <c r="A46" t="s">
        <v>30</v>
      </c>
      <c r="B46" s="22">
        <v>46196</v>
      </c>
      <c r="C46" s="28" t="s">
        <v>17</v>
      </c>
      <c r="D46" s="4"/>
      <c r="E46" s="4"/>
      <c r="F46" s="12" t="s">
        <v>49</v>
      </c>
    </row>
    <row r="47" spans="1:6" x14ac:dyDescent="0.3">
      <c r="A47" t="s">
        <v>30</v>
      </c>
      <c r="B47" s="22">
        <v>46196</v>
      </c>
      <c r="C47" s="28" t="s">
        <v>9</v>
      </c>
      <c r="D47" s="4"/>
      <c r="E47" s="4"/>
      <c r="F47" s="12" t="s">
        <v>48</v>
      </c>
    </row>
    <row r="48" spans="1:6" x14ac:dyDescent="0.3">
      <c r="A48" t="s">
        <v>30</v>
      </c>
      <c r="B48" s="22">
        <v>46197</v>
      </c>
      <c r="C48" s="28" t="s">
        <v>57</v>
      </c>
      <c r="D48" s="4"/>
      <c r="E48" s="4"/>
      <c r="F48" s="12" t="s">
        <v>12</v>
      </c>
    </row>
    <row r="49" spans="1:6" x14ac:dyDescent="0.3">
      <c r="A49" t="s">
        <v>30</v>
      </c>
      <c r="B49" s="22">
        <v>46197</v>
      </c>
      <c r="C49" s="28" t="s">
        <v>58</v>
      </c>
      <c r="D49" s="4"/>
      <c r="E49" s="4"/>
      <c r="F49" s="12" t="s">
        <v>68</v>
      </c>
    </row>
    <row r="50" spans="1:6" x14ac:dyDescent="0.3">
      <c r="A50" t="s">
        <v>30</v>
      </c>
      <c r="B50" s="22">
        <v>46197</v>
      </c>
      <c r="C50" s="28" t="s">
        <v>16</v>
      </c>
      <c r="D50" s="4"/>
      <c r="E50" s="4"/>
      <c r="F50" s="12" t="s">
        <v>36</v>
      </c>
    </row>
    <row r="51" spans="1:6" x14ac:dyDescent="0.3">
      <c r="A51" t="s">
        <v>30</v>
      </c>
      <c r="B51" s="22">
        <v>46197</v>
      </c>
      <c r="C51" s="28" t="s">
        <v>59</v>
      </c>
      <c r="D51" s="4"/>
      <c r="E51" s="4"/>
      <c r="F51" s="12" t="s">
        <v>38</v>
      </c>
    </row>
    <row r="52" spans="1:6" x14ac:dyDescent="0.3">
      <c r="A52" t="s">
        <v>30</v>
      </c>
      <c r="B52" s="22">
        <v>46198</v>
      </c>
      <c r="C52" s="28" t="s">
        <v>31</v>
      </c>
      <c r="D52" s="4"/>
      <c r="E52" s="4"/>
      <c r="F52" s="12" t="s">
        <v>39</v>
      </c>
    </row>
    <row r="53" spans="1:6" x14ac:dyDescent="0.3">
      <c r="A53" t="s">
        <v>30</v>
      </c>
      <c r="B53" s="22">
        <v>46198</v>
      </c>
      <c r="C53" s="28" t="s">
        <v>60</v>
      </c>
      <c r="D53" s="4"/>
      <c r="E53" s="4"/>
      <c r="F53" s="12" t="s">
        <v>40</v>
      </c>
    </row>
    <row r="54" spans="1:6" x14ac:dyDescent="0.3">
      <c r="A54" t="s">
        <v>30</v>
      </c>
      <c r="B54" s="22">
        <v>46198</v>
      </c>
      <c r="C54" s="28" t="s">
        <v>33</v>
      </c>
      <c r="D54" s="4"/>
      <c r="E54" s="4"/>
      <c r="F54" s="12" t="s">
        <v>34</v>
      </c>
    </row>
    <row r="55" spans="1:6" x14ac:dyDescent="0.3">
      <c r="A55" t="s">
        <v>30</v>
      </c>
      <c r="B55" s="22">
        <v>46198</v>
      </c>
      <c r="C55" s="28" t="s">
        <v>61</v>
      </c>
      <c r="D55" s="4"/>
      <c r="E55" s="4"/>
      <c r="F55" s="12" t="s">
        <v>35</v>
      </c>
    </row>
    <row r="56" spans="1:6" x14ac:dyDescent="0.3">
      <c r="A56" t="s">
        <v>30</v>
      </c>
      <c r="B56" s="22">
        <v>46198</v>
      </c>
      <c r="C56" s="28" t="s">
        <v>62</v>
      </c>
      <c r="D56" s="4"/>
      <c r="E56" s="4"/>
      <c r="F56" s="12" t="s">
        <v>42</v>
      </c>
    </row>
    <row r="57" spans="1:6" x14ac:dyDescent="0.3">
      <c r="A57" t="s">
        <v>30</v>
      </c>
      <c r="B57" s="22">
        <v>46198</v>
      </c>
      <c r="C57" s="28" t="s">
        <v>51</v>
      </c>
      <c r="D57" s="4"/>
      <c r="E57" s="4"/>
      <c r="F57" s="12" t="s">
        <v>13</v>
      </c>
    </row>
    <row r="58" spans="1:6" x14ac:dyDescent="0.3">
      <c r="A58" t="s">
        <v>30</v>
      </c>
      <c r="B58" s="22">
        <v>46199</v>
      </c>
      <c r="C58" s="28" t="s">
        <v>63</v>
      </c>
      <c r="D58" s="4"/>
      <c r="E58" s="4"/>
      <c r="F58" s="12" t="s">
        <v>43</v>
      </c>
    </row>
    <row r="59" spans="1:6" x14ac:dyDescent="0.3">
      <c r="A59" t="s">
        <v>30</v>
      </c>
      <c r="B59" s="22">
        <v>46199</v>
      </c>
      <c r="C59" s="28" t="s">
        <v>52</v>
      </c>
      <c r="D59" s="4"/>
      <c r="E59" s="4"/>
      <c r="F59" s="12" t="s">
        <v>10</v>
      </c>
    </row>
    <row r="60" spans="1:6" x14ac:dyDescent="0.3">
      <c r="A60" t="s">
        <v>30</v>
      </c>
      <c r="B60" s="22">
        <v>46199</v>
      </c>
      <c r="C60" s="28" t="s">
        <v>50</v>
      </c>
      <c r="D60" s="4"/>
      <c r="E60" s="4"/>
      <c r="F60" s="12" t="s">
        <v>37</v>
      </c>
    </row>
    <row r="61" spans="1:6" x14ac:dyDescent="0.3">
      <c r="A61" t="s">
        <v>30</v>
      </c>
      <c r="B61" s="22">
        <v>46199</v>
      </c>
      <c r="C61" s="28" t="s">
        <v>64</v>
      </c>
      <c r="D61" s="4"/>
      <c r="E61" s="4"/>
      <c r="F61" s="12" t="s">
        <v>41</v>
      </c>
    </row>
    <row r="62" spans="1:6" x14ac:dyDescent="0.3">
      <c r="A62" t="s">
        <v>30</v>
      </c>
      <c r="B62" s="22">
        <v>46199</v>
      </c>
      <c r="C62" s="28" t="s">
        <v>55</v>
      </c>
      <c r="D62" s="4"/>
      <c r="E62" s="4"/>
      <c r="F62" s="12" t="s">
        <v>11</v>
      </c>
    </row>
    <row r="63" spans="1:6" x14ac:dyDescent="0.3">
      <c r="A63" t="s">
        <v>30</v>
      </c>
      <c r="B63" s="22">
        <v>46199</v>
      </c>
      <c r="C63" s="28" t="s">
        <v>65</v>
      </c>
      <c r="D63" s="4"/>
      <c r="E63" s="4"/>
      <c r="F63" s="12" t="s">
        <v>46</v>
      </c>
    </row>
    <row r="64" spans="1:6" x14ac:dyDescent="0.3">
      <c r="A64" t="s">
        <v>30</v>
      </c>
      <c r="B64" s="22">
        <v>46200</v>
      </c>
      <c r="C64" s="28" t="s">
        <v>66</v>
      </c>
      <c r="D64" s="4"/>
      <c r="E64" s="4"/>
      <c r="F64" s="12" t="s">
        <v>44</v>
      </c>
    </row>
    <row r="65" spans="1:6" x14ac:dyDescent="0.3">
      <c r="A65" t="s">
        <v>30</v>
      </c>
      <c r="B65" s="22">
        <v>46200</v>
      </c>
      <c r="C65" s="28" t="s">
        <v>53</v>
      </c>
      <c r="D65" s="4"/>
      <c r="E65" s="4"/>
      <c r="F65" s="12" t="s">
        <v>14</v>
      </c>
    </row>
    <row r="66" spans="1:6" x14ac:dyDescent="0.3">
      <c r="A66" t="s">
        <v>30</v>
      </c>
      <c r="B66" s="22">
        <v>46200</v>
      </c>
      <c r="C66" s="28" t="s">
        <v>67</v>
      </c>
      <c r="D66" s="4"/>
      <c r="E66" s="4"/>
      <c r="F66" s="12" t="s">
        <v>45</v>
      </c>
    </row>
    <row r="67" spans="1:6" x14ac:dyDescent="0.3">
      <c r="A67" t="s">
        <v>30</v>
      </c>
      <c r="B67" s="22">
        <v>46200</v>
      </c>
      <c r="C67" s="28" t="s">
        <v>54</v>
      </c>
      <c r="D67" s="4"/>
      <c r="E67" s="4"/>
      <c r="F67" s="12" t="s">
        <v>15</v>
      </c>
    </row>
    <row r="68" spans="1:6" x14ac:dyDescent="0.3">
      <c r="A68" t="s">
        <v>30</v>
      </c>
      <c r="B68" s="22">
        <v>46200</v>
      </c>
      <c r="C68" s="28" t="s">
        <v>57</v>
      </c>
      <c r="D68" s="4"/>
      <c r="E68" s="4"/>
      <c r="F68" s="12" t="s">
        <v>9</v>
      </c>
    </row>
    <row r="69" spans="1:6" x14ac:dyDescent="0.3">
      <c r="A69" t="s">
        <v>30</v>
      </c>
      <c r="B69" s="22">
        <v>46200</v>
      </c>
      <c r="C69" s="28" t="s">
        <v>12</v>
      </c>
      <c r="D69" s="4"/>
      <c r="E69" s="4"/>
      <c r="F69" s="12" t="s">
        <v>48</v>
      </c>
    </row>
    <row r="70" spans="1:6" x14ac:dyDescent="0.3">
      <c r="A70" t="s">
        <v>30</v>
      </c>
      <c r="B70" s="22">
        <v>46201</v>
      </c>
      <c r="C70" s="28" t="s">
        <v>58</v>
      </c>
      <c r="D70" s="4"/>
      <c r="E70" s="4"/>
      <c r="F70" s="12" t="s">
        <v>17</v>
      </c>
    </row>
    <row r="71" spans="1:6" x14ac:dyDescent="0.3">
      <c r="A71" t="s">
        <v>30</v>
      </c>
      <c r="B71" s="22">
        <v>46201</v>
      </c>
      <c r="C71" s="28" t="s">
        <v>68</v>
      </c>
      <c r="D71" s="4"/>
      <c r="E71" s="4"/>
      <c r="F71" s="12" t="s">
        <v>49</v>
      </c>
    </row>
    <row r="72" spans="1:6" x14ac:dyDescent="0.3">
      <c r="A72" t="s">
        <v>30</v>
      </c>
      <c r="B72" s="22">
        <v>46201</v>
      </c>
      <c r="C72" s="28" t="s">
        <v>69</v>
      </c>
      <c r="D72" s="4"/>
      <c r="E72" s="4"/>
      <c r="F72" s="12" t="s">
        <v>32</v>
      </c>
    </row>
    <row r="73" spans="1:6" ht="15" thickBot="1" x14ac:dyDescent="0.35">
      <c r="A73" s="49" t="s">
        <v>30</v>
      </c>
      <c r="B73" s="25">
        <v>46201</v>
      </c>
      <c r="C73" s="29" t="s">
        <v>56</v>
      </c>
      <c r="D73" s="57"/>
      <c r="E73" s="57"/>
      <c r="F73" s="30" t="s">
        <v>47</v>
      </c>
    </row>
  </sheetData>
  <sortState xmlns:xlrd2="http://schemas.microsoft.com/office/spreadsheetml/2017/richdata2" ref="K5:K76">
    <sortCondition ref="K5:K76"/>
  </sortState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1BC7-387B-4A30-96C4-72EC2642B6E4}">
  <sheetPr codeName="Sheet6"/>
  <dimension ref="A1:H73"/>
  <sheetViews>
    <sheetView workbookViewId="0">
      <pane ySplit="1" topLeftCell="A2" activePane="bottomLeft" state="frozen"/>
      <selection pane="bottomLeft" activeCell="I7" sqref="I7"/>
    </sheetView>
  </sheetViews>
  <sheetFormatPr defaultRowHeight="14.4" x14ac:dyDescent="0.3"/>
  <cols>
    <col min="1" max="1" width="11.5546875" style="3" bestFit="1" customWidth="1"/>
    <col min="2" max="2" width="16.44140625" style="4" bestFit="1" customWidth="1"/>
    <col min="3" max="4" width="6" style="17" customWidth="1"/>
    <col min="5" max="5" width="16.44140625" style="4" bestFit="1" customWidth="1"/>
    <col min="6" max="6" width="2.6640625" customWidth="1"/>
    <col min="7" max="7" width="20.88671875" bestFit="1" customWidth="1"/>
    <col min="8" max="8" width="12.6640625" style="3" customWidth="1"/>
  </cols>
  <sheetData>
    <row r="1" spans="1:8" s="1" customFormat="1" ht="15" thickBot="1" x14ac:dyDescent="0.35">
      <c r="A1" s="5" t="s">
        <v>3</v>
      </c>
      <c r="B1" s="31" t="s">
        <v>4</v>
      </c>
      <c r="C1" s="68" t="s">
        <v>23</v>
      </c>
      <c r="D1" s="70"/>
      <c r="E1" s="32" t="s">
        <v>6</v>
      </c>
      <c r="F1" s="8"/>
      <c r="H1" s="2"/>
    </row>
    <row r="2" spans="1:8" x14ac:dyDescent="0.3">
      <c r="A2" s="59">
        <v>46184</v>
      </c>
      <c r="B2" s="4" t="s">
        <v>34</v>
      </c>
      <c r="C2" s="60"/>
      <c r="D2" s="60"/>
      <c r="E2" s="12" t="s">
        <v>61</v>
      </c>
      <c r="F2" s="15"/>
    </row>
    <row r="3" spans="1:8" x14ac:dyDescent="0.3">
      <c r="A3" s="58">
        <v>46185</v>
      </c>
      <c r="B3" s="4" t="s">
        <v>35</v>
      </c>
      <c r="C3" s="61"/>
      <c r="D3" s="61"/>
      <c r="E3" s="12" t="s">
        <v>33</v>
      </c>
      <c r="F3" s="15"/>
      <c r="G3" s="1" t="s">
        <v>24</v>
      </c>
      <c r="H3" s="1"/>
    </row>
    <row r="4" spans="1:8" x14ac:dyDescent="0.3">
      <c r="A4" s="58">
        <v>46185</v>
      </c>
      <c r="B4" s="4" t="s">
        <v>36</v>
      </c>
      <c r="C4" s="61"/>
      <c r="D4" s="61"/>
      <c r="E4" s="12" t="s">
        <v>59</v>
      </c>
      <c r="F4" s="15"/>
      <c r="G4" t="s">
        <v>25</v>
      </c>
      <c r="H4" s="3" t="s">
        <v>26</v>
      </c>
    </row>
    <row r="5" spans="1:8" x14ac:dyDescent="0.3">
      <c r="A5" s="58">
        <v>46186</v>
      </c>
      <c r="B5" s="4" t="s">
        <v>37</v>
      </c>
      <c r="C5" s="61"/>
      <c r="D5" s="61"/>
      <c r="E5" s="12" t="s">
        <v>64</v>
      </c>
      <c r="F5" s="15"/>
      <c r="G5" t="s">
        <v>27</v>
      </c>
      <c r="H5" s="3" t="s">
        <v>28</v>
      </c>
    </row>
    <row r="6" spans="1:8" x14ac:dyDescent="0.3">
      <c r="A6" s="58">
        <v>46186</v>
      </c>
      <c r="B6" s="4" t="s">
        <v>38</v>
      </c>
      <c r="C6" s="61"/>
      <c r="D6" s="61"/>
      <c r="E6" s="12" t="s">
        <v>16</v>
      </c>
      <c r="F6" s="15"/>
    </row>
    <row r="7" spans="1:8" x14ac:dyDescent="0.3">
      <c r="A7" s="58">
        <v>46187</v>
      </c>
      <c r="B7" s="4" t="s">
        <v>39</v>
      </c>
      <c r="C7" s="61"/>
      <c r="D7" s="61"/>
      <c r="E7" s="12" t="s">
        <v>60</v>
      </c>
      <c r="F7" s="15"/>
      <c r="H7"/>
    </row>
    <row r="8" spans="1:8" x14ac:dyDescent="0.3">
      <c r="A8" s="58">
        <v>46187</v>
      </c>
      <c r="B8" s="4" t="s">
        <v>40</v>
      </c>
      <c r="C8" s="61"/>
      <c r="D8" s="61"/>
      <c r="E8" s="12" t="s">
        <v>31</v>
      </c>
      <c r="F8" s="15"/>
      <c r="H8"/>
    </row>
    <row r="9" spans="1:8" x14ac:dyDescent="0.3">
      <c r="A9" s="58">
        <v>46187</v>
      </c>
      <c r="B9" s="4" t="s">
        <v>41</v>
      </c>
      <c r="C9" s="61"/>
      <c r="D9" s="61"/>
      <c r="E9" s="12" t="s">
        <v>50</v>
      </c>
      <c r="F9" s="15"/>
      <c r="H9"/>
    </row>
    <row r="10" spans="1:8" x14ac:dyDescent="0.3">
      <c r="A10" s="58">
        <v>46187</v>
      </c>
      <c r="B10" s="4" t="s">
        <v>13</v>
      </c>
      <c r="C10" s="61"/>
      <c r="D10" s="61"/>
      <c r="E10" s="12" t="s">
        <v>62</v>
      </c>
      <c r="F10" s="15"/>
      <c r="H10"/>
    </row>
    <row r="11" spans="1:8" x14ac:dyDescent="0.3">
      <c r="A11" s="58">
        <v>46187</v>
      </c>
      <c r="B11" s="4" t="s">
        <v>10</v>
      </c>
      <c r="C11" s="61"/>
      <c r="D11" s="61"/>
      <c r="E11" s="12" t="s">
        <v>63</v>
      </c>
      <c r="F11" s="15"/>
      <c r="H11"/>
    </row>
    <row r="12" spans="1:8" x14ac:dyDescent="0.3">
      <c r="A12" s="58">
        <v>46188</v>
      </c>
      <c r="B12" s="4" t="s">
        <v>42</v>
      </c>
      <c r="C12" s="61"/>
      <c r="D12" s="61"/>
      <c r="E12" s="12" t="s">
        <v>51</v>
      </c>
      <c r="F12" s="15"/>
      <c r="H12"/>
    </row>
    <row r="13" spans="1:8" x14ac:dyDescent="0.3">
      <c r="A13" s="58">
        <v>46188</v>
      </c>
      <c r="B13" s="4" t="s">
        <v>43</v>
      </c>
      <c r="C13" s="61"/>
      <c r="D13" s="61"/>
      <c r="E13" s="12" t="s">
        <v>52</v>
      </c>
      <c r="F13" s="15"/>
      <c r="H13"/>
    </row>
    <row r="14" spans="1:8" x14ac:dyDescent="0.3">
      <c r="A14" s="58">
        <v>46188</v>
      </c>
      <c r="B14" s="4" t="s">
        <v>14</v>
      </c>
      <c r="C14" s="61"/>
      <c r="D14" s="61"/>
      <c r="E14" s="12" t="s">
        <v>66</v>
      </c>
      <c r="F14" s="15"/>
      <c r="H14"/>
    </row>
    <row r="15" spans="1:8" x14ac:dyDescent="0.3">
      <c r="A15" s="58">
        <v>46188</v>
      </c>
      <c r="B15" s="4" t="s">
        <v>15</v>
      </c>
      <c r="C15" s="61"/>
      <c r="D15" s="61"/>
      <c r="E15" s="12" t="s">
        <v>67</v>
      </c>
      <c r="F15" s="15"/>
      <c r="H15"/>
    </row>
    <row r="16" spans="1:8" x14ac:dyDescent="0.3">
      <c r="A16" s="58">
        <v>46189</v>
      </c>
      <c r="B16" s="4" t="s">
        <v>44</v>
      </c>
      <c r="C16" s="61"/>
      <c r="D16" s="61"/>
      <c r="E16" s="12" t="s">
        <v>53</v>
      </c>
      <c r="F16" s="15"/>
      <c r="H16"/>
    </row>
    <row r="17" spans="1:8" x14ac:dyDescent="0.3">
      <c r="A17" s="58">
        <v>46189</v>
      </c>
      <c r="B17" s="4" t="s">
        <v>45</v>
      </c>
      <c r="C17" s="61"/>
      <c r="D17" s="61"/>
      <c r="E17" s="12" t="s">
        <v>54</v>
      </c>
      <c r="F17" s="15"/>
      <c r="H17"/>
    </row>
    <row r="18" spans="1:8" x14ac:dyDescent="0.3">
      <c r="A18" s="58">
        <v>46189</v>
      </c>
      <c r="B18" s="4" t="s">
        <v>11</v>
      </c>
      <c r="C18" s="61"/>
      <c r="D18" s="61"/>
      <c r="E18" s="12" t="s">
        <v>65</v>
      </c>
      <c r="F18" s="15"/>
      <c r="H18"/>
    </row>
    <row r="19" spans="1:8" x14ac:dyDescent="0.3">
      <c r="A19" s="58">
        <v>46190</v>
      </c>
      <c r="B19" s="4" t="s">
        <v>46</v>
      </c>
      <c r="C19" s="61"/>
      <c r="D19" s="61"/>
      <c r="E19" s="12" t="s">
        <v>55</v>
      </c>
      <c r="F19" s="15"/>
      <c r="H19"/>
    </row>
    <row r="20" spans="1:8" x14ac:dyDescent="0.3">
      <c r="A20" s="58">
        <v>46190</v>
      </c>
      <c r="B20" s="4" t="s">
        <v>47</v>
      </c>
      <c r="C20" s="61"/>
      <c r="D20" s="61"/>
      <c r="E20" s="12" t="s">
        <v>69</v>
      </c>
      <c r="F20" s="15"/>
      <c r="H20"/>
    </row>
    <row r="21" spans="1:8" x14ac:dyDescent="0.3">
      <c r="A21" s="58">
        <v>46190</v>
      </c>
      <c r="B21" s="4" t="s">
        <v>32</v>
      </c>
      <c r="C21" s="61"/>
      <c r="D21" s="61"/>
      <c r="E21" s="12" t="s">
        <v>56</v>
      </c>
      <c r="F21" s="15"/>
      <c r="H21"/>
    </row>
    <row r="22" spans="1:8" x14ac:dyDescent="0.3">
      <c r="A22" s="58">
        <v>46190</v>
      </c>
      <c r="B22" s="4" t="s">
        <v>17</v>
      </c>
      <c r="C22" s="61"/>
      <c r="D22" s="61"/>
      <c r="E22" s="12" t="s">
        <v>68</v>
      </c>
      <c r="F22" s="15"/>
      <c r="H22"/>
    </row>
    <row r="23" spans="1:8" x14ac:dyDescent="0.3">
      <c r="A23" s="58">
        <v>46190</v>
      </c>
      <c r="B23" s="4" t="s">
        <v>9</v>
      </c>
      <c r="C23" s="61"/>
      <c r="D23" s="61"/>
      <c r="E23" s="12" t="s">
        <v>12</v>
      </c>
      <c r="F23" s="15"/>
      <c r="H23"/>
    </row>
    <row r="24" spans="1:8" x14ac:dyDescent="0.3">
      <c r="A24" s="58">
        <v>46191</v>
      </c>
      <c r="B24" s="4" t="s">
        <v>48</v>
      </c>
      <c r="C24" s="61"/>
      <c r="D24" s="61"/>
      <c r="E24" s="12" t="s">
        <v>57</v>
      </c>
      <c r="F24" s="15"/>
      <c r="H24"/>
    </row>
    <row r="25" spans="1:8" x14ac:dyDescent="0.3">
      <c r="A25" s="58">
        <v>46191</v>
      </c>
      <c r="B25" s="4" t="s">
        <v>49</v>
      </c>
      <c r="C25" s="61"/>
      <c r="D25" s="61"/>
      <c r="E25" s="12" t="s">
        <v>58</v>
      </c>
      <c r="F25" s="15"/>
      <c r="H25"/>
    </row>
    <row r="26" spans="1:8" x14ac:dyDescent="0.3">
      <c r="A26" s="58">
        <v>46191</v>
      </c>
      <c r="B26" s="4" t="s">
        <v>33</v>
      </c>
      <c r="C26" s="61"/>
      <c r="D26" s="61"/>
      <c r="E26" s="12" t="s">
        <v>61</v>
      </c>
      <c r="F26" s="15"/>
      <c r="H26"/>
    </row>
    <row r="27" spans="1:8" x14ac:dyDescent="0.3">
      <c r="A27" s="58">
        <v>46191</v>
      </c>
      <c r="B27" s="4" t="s">
        <v>16</v>
      </c>
      <c r="C27" s="61"/>
      <c r="D27" s="61"/>
      <c r="E27" s="12" t="s">
        <v>59</v>
      </c>
      <c r="F27" s="15"/>
      <c r="H27"/>
    </row>
    <row r="28" spans="1:8" x14ac:dyDescent="0.3">
      <c r="A28" s="58">
        <v>46192</v>
      </c>
      <c r="B28" s="4" t="s">
        <v>36</v>
      </c>
      <c r="C28" s="61"/>
      <c r="D28" s="61"/>
      <c r="E28" s="12" t="s">
        <v>38</v>
      </c>
      <c r="F28" s="15"/>
      <c r="H28"/>
    </row>
    <row r="29" spans="1:8" x14ac:dyDescent="0.3">
      <c r="A29" s="58">
        <v>46192</v>
      </c>
      <c r="B29" s="4" t="s">
        <v>34</v>
      </c>
      <c r="C29" s="61"/>
      <c r="D29" s="61"/>
      <c r="E29" s="12" t="s">
        <v>35</v>
      </c>
      <c r="F29" s="15"/>
      <c r="H29"/>
    </row>
    <row r="30" spans="1:8" x14ac:dyDescent="0.3">
      <c r="A30" s="58">
        <v>46192</v>
      </c>
      <c r="B30" s="4" t="s">
        <v>37</v>
      </c>
      <c r="C30" s="61"/>
      <c r="D30" s="61"/>
      <c r="E30" s="12" t="s">
        <v>41</v>
      </c>
      <c r="F30" s="15"/>
      <c r="H30"/>
    </row>
    <row r="31" spans="1:8" x14ac:dyDescent="0.3">
      <c r="A31" s="58">
        <v>46193</v>
      </c>
      <c r="B31" s="4" t="s">
        <v>31</v>
      </c>
      <c r="C31" s="61"/>
      <c r="D31" s="61"/>
      <c r="E31" s="12" t="s">
        <v>60</v>
      </c>
      <c r="F31" s="15"/>
      <c r="H31"/>
    </row>
    <row r="32" spans="1:8" x14ac:dyDescent="0.3">
      <c r="A32" s="58">
        <v>46193</v>
      </c>
      <c r="B32" s="4" t="s">
        <v>39</v>
      </c>
      <c r="C32" s="61"/>
      <c r="D32" s="61"/>
      <c r="E32" s="12" t="s">
        <v>40</v>
      </c>
      <c r="F32" s="15"/>
      <c r="H32"/>
    </row>
    <row r="33" spans="1:8" x14ac:dyDescent="0.3">
      <c r="A33" s="58">
        <v>46193</v>
      </c>
      <c r="B33" s="4" t="s">
        <v>50</v>
      </c>
      <c r="C33" s="61"/>
      <c r="D33" s="61"/>
      <c r="E33" s="12" t="s">
        <v>64</v>
      </c>
      <c r="F33" s="15"/>
      <c r="H33"/>
    </row>
    <row r="34" spans="1:8" x14ac:dyDescent="0.3">
      <c r="A34" s="58">
        <v>46193</v>
      </c>
      <c r="B34" s="4" t="s">
        <v>10</v>
      </c>
      <c r="C34" s="61"/>
      <c r="D34" s="61"/>
      <c r="E34" s="12" t="s">
        <v>43</v>
      </c>
      <c r="F34" s="15"/>
      <c r="H34"/>
    </row>
    <row r="35" spans="1:8" x14ac:dyDescent="0.3">
      <c r="A35" s="58">
        <v>46193</v>
      </c>
      <c r="B35" s="4" t="s">
        <v>13</v>
      </c>
      <c r="C35" s="61"/>
      <c r="D35" s="61"/>
      <c r="E35" s="12" t="s">
        <v>42</v>
      </c>
      <c r="F35" s="15"/>
      <c r="H35"/>
    </row>
    <row r="36" spans="1:8" ht="14.4" customHeight="1" x14ac:dyDescent="0.3">
      <c r="A36" s="58">
        <v>46194</v>
      </c>
      <c r="B36" s="4" t="s">
        <v>51</v>
      </c>
      <c r="C36" s="61"/>
      <c r="D36" s="61"/>
      <c r="E36" s="12" t="s">
        <v>62</v>
      </c>
      <c r="F36" s="15"/>
      <c r="H36"/>
    </row>
    <row r="37" spans="1:8" ht="14.4" customHeight="1" x14ac:dyDescent="0.3">
      <c r="A37" s="58">
        <v>46194</v>
      </c>
      <c r="B37" s="4" t="s">
        <v>52</v>
      </c>
      <c r="C37" s="61"/>
      <c r="D37" s="61"/>
      <c r="E37" s="12" t="s">
        <v>63</v>
      </c>
      <c r="F37" s="15"/>
      <c r="H37"/>
    </row>
    <row r="38" spans="1:8" ht="14.4" customHeight="1" x14ac:dyDescent="0.3">
      <c r="A38" s="58">
        <v>46194</v>
      </c>
      <c r="B38" s="4" t="s">
        <v>14</v>
      </c>
      <c r="C38" s="61"/>
      <c r="D38" s="61"/>
      <c r="E38" s="12" t="s">
        <v>44</v>
      </c>
      <c r="F38" s="15"/>
      <c r="H38"/>
    </row>
    <row r="39" spans="1:8" ht="14.4" customHeight="1" x14ac:dyDescent="0.3">
      <c r="A39" s="58">
        <v>46194</v>
      </c>
      <c r="B39" s="4" t="s">
        <v>15</v>
      </c>
      <c r="C39" s="61"/>
      <c r="D39" s="61"/>
      <c r="E39" s="12" t="s">
        <v>45</v>
      </c>
      <c r="F39" s="15"/>
      <c r="H39"/>
    </row>
    <row r="40" spans="1:8" ht="14.4" customHeight="1" x14ac:dyDescent="0.3">
      <c r="A40" s="58">
        <v>46195</v>
      </c>
      <c r="B40" s="4" t="s">
        <v>53</v>
      </c>
      <c r="C40" s="61"/>
      <c r="D40" s="61"/>
      <c r="E40" s="12" t="s">
        <v>66</v>
      </c>
      <c r="F40" s="15"/>
      <c r="H40"/>
    </row>
    <row r="41" spans="1:8" ht="14.4" customHeight="1" x14ac:dyDescent="0.3">
      <c r="A41" s="58">
        <v>46195</v>
      </c>
      <c r="B41" s="4" t="s">
        <v>54</v>
      </c>
      <c r="C41" s="61"/>
      <c r="D41" s="61"/>
      <c r="E41" s="12" t="s">
        <v>67</v>
      </c>
      <c r="F41" s="15"/>
      <c r="H41"/>
    </row>
    <row r="42" spans="1:8" ht="14.4" customHeight="1" x14ac:dyDescent="0.3">
      <c r="A42" s="58">
        <v>46195</v>
      </c>
      <c r="B42" s="4" t="s">
        <v>47</v>
      </c>
      <c r="C42" s="61"/>
      <c r="D42" s="61"/>
      <c r="E42" s="12" t="s">
        <v>32</v>
      </c>
      <c r="F42" s="15"/>
      <c r="H42"/>
    </row>
    <row r="43" spans="1:8" ht="14.4" customHeight="1" x14ac:dyDescent="0.3">
      <c r="A43" s="58">
        <v>46195</v>
      </c>
      <c r="B43" s="4" t="s">
        <v>11</v>
      </c>
      <c r="C43" s="61"/>
      <c r="D43" s="61"/>
      <c r="E43" s="12" t="s">
        <v>46</v>
      </c>
      <c r="F43" s="15"/>
      <c r="H43"/>
    </row>
    <row r="44" spans="1:8" ht="14.4" customHeight="1" x14ac:dyDescent="0.3">
      <c r="A44" s="58">
        <v>46196</v>
      </c>
      <c r="B44" s="4" t="s">
        <v>55</v>
      </c>
      <c r="C44" s="61"/>
      <c r="D44" s="61"/>
      <c r="E44" s="12" t="s">
        <v>65</v>
      </c>
      <c r="F44" s="15"/>
      <c r="H44"/>
    </row>
    <row r="45" spans="1:8" ht="14.4" customHeight="1" x14ac:dyDescent="0.3">
      <c r="A45" s="58">
        <v>46196</v>
      </c>
      <c r="B45" s="4" t="s">
        <v>56</v>
      </c>
      <c r="C45" s="61"/>
      <c r="D45" s="61"/>
      <c r="E45" s="12" t="s">
        <v>69</v>
      </c>
      <c r="F45" s="15"/>
      <c r="H45"/>
    </row>
    <row r="46" spans="1:8" ht="14.4" customHeight="1" x14ac:dyDescent="0.3">
      <c r="A46" s="58">
        <v>46196</v>
      </c>
      <c r="B46" s="4" t="s">
        <v>17</v>
      </c>
      <c r="C46" s="61"/>
      <c r="D46" s="61"/>
      <c r="E46" s="12" t="s">
        <v>49</v>
      </c>
      <c r="F46" s="15"/>
      <c r="H46"/>
    </row>
    <row r="47" spans="1:8" ht="14.4" customHeight="1" x14ac:dyDescent="0.3">
      <c r="A47" s="58">
        <v>46196</v>
      </c>
      <c r="B47" s="4" t="s">
        <v>9</v>
      </c>
      <c r="C47" s="61"/>
      <c r="D47" s="61"/>
      <c r="E47" s="12" t="s">
        <v>48</v>
      </c>
      <c r="F47" s="15"/>
      <c r="H47"/>
    </row>
    <row r="48" spans="1:8" ht="14.4" customHeight="1" x14ac:dyDescent="0.3">
      <c r="A48" s="58">
        <v>46197</v>
      </c>
      <c r="B48" s="4" t="s">
        <v>57</v>
      </c>
      <c r="C48" s="61"/>
      <c r="D48" s="61"/>
      <c r="E48" s="12" t="s">
        <v>12</v>
      </c>
      <c r="F48" s="15"/>
      <c r="H48"/>
    </row>
    <row r="49" spans="1:8" ht="14.4" customHeight="1" x14ac:dyDescent="0.3">
      <c r="A49" s="58">
        <v>46197</v>
      </c>
      <c r="B49" s="4" t="s">
        <v>58</v>
      </c>
      <c r="C49" s="61"/>
      <c r="D49" s="61"/>
      <c r="E49" s="12" t="s">
        <v>68</v>
      </c>
      <c r="F49" s="15"/>
      <c r="H49"/>
    </row>
    <row r="50" spans="1:8" ht="14.4" customHeight="1" x14ac:dyDescent="0.3">
      <c r="A50" s="58">
        <v>46197</v>
      </c>
      <c r="B50" s="4" t="s">
        <v>16</v>
      </c>
      <c r="C50" s="61"/>
      <c r="D50" s="61"/>
      <c r="E50" s="12" t="s">
        <v>36</v>
      </c>
      <c r="F50" s="15"/>
      <c r="H50"/>
    </row>
    <row r="51" spans="1:8" ht="14.4" customHeight="1" x14ac:dyDescent="0.3">
      <c r="A51" s="58">
        <v>46197</v>
      </c>
      <c r="B51" s="4" t="s">
        <v>59</v>
      </c>
      <c r="C51" s="61"/>
      <c r="D51" s="61"/>
      <c r="E51" s="12" t="s">
        <v>38</v>
      </c>
      <c r="F51" s="15"/>
      <c r="H51"/>
    </row>
    <row r="52" spans="1:8" ht="14.4" customHeight="1" x14ac:dyDescent="0.3">
      <c r="A52" s="58">
        <v>46198</v>
      </c>
      <c r="B52" s="4" t="s">
        <v>31</v>
      </c>
      <c r="C52" s="61"/>
      <c r="D52" s="61"/>
      <c r="E52" s="12" t="s">
        <v>39</v>
      </c>
      <c r="F52" s="15"/>
      <c r="H52"/>
    </row>
    <row r="53" spans="1:8" ht="14.4" customHeight="1" x14ac:dyDescent="0.3">
      <c r="A53" s="58">
        <v>46198</v>
      </c>
      <c r="B53" s="4" t="s">
        <v>60</v>
      </c>
      <c r="C53" s="61"/>
      <c r="D53" s="61"/>
      <c r="E53" s="12" t="s">
        <v>40</v>
      </c>
      <c r="F53" s="15"/>
      <c r="H53"/>
    </row>
    <row r="54" spans="1:8" ht="14.4" customHeight="1" x14ac:dyDescent="0.3">
      <c r="A54" s="58">
        <v>46198</v>
      </c>
      <c r="B54" s="4" t="s">
        <v>33</v>
      </c>
      <c r="C54" s="61"/>
      <c r="D54" s="61"/>
      <c r="E54" s="12" t="s">
        <v>34</v>
      </c>
      <c r="F54" s="15"/>
      <c r="H54"/>
    </row>
    <row r="55" spans="1:8" ht="14.4" customHeight="1" x14ac:dyDescent="0.3">
      <c r="A55" s="58">
        <v>46198</v>
      </c>
      <c r="B55" s="4" t="s">
        <v>61</v>
      </c>
      <c r="C55" s="61"/>
      <c r="D55" s="61"/>
      <c r="E55" s="12" t="s">
        <v>35</v>
      </c>
      <c r="F55" s="15"/>
      <c r="H55"/>
    </row>
    <row r="56" spans="1:8" ht="14.4" customHeight="1" x14ac:dyDescent="0.3">
      <c r="A56" s="58">
        <v>46198</v>
      </c>
      <c r="B56" s="4" t="s">
        <v>62</v>
      </c>
      <c r="C56" s="61"/>
      <c r="D56" s="61"/>
      <c r="E56" s="12" t="s">
        <v>42</v>
      </c>
      <c r="F56" s="15"/>
      <c r="H56"/>
    </row>
    <row r="57" spans="1:8" ht="14.4" customHeight="1" x14ac:dyDescent="0.3">
      <c r="A57" s="58">
        <v>46198</v>
      </c>
      <c r="B57" s="4" t="s">
        <v>51</v>
      </c>
      <c r="C57" s="61"/>
      <c r="D57" s="61"/>
      <c r="E57" s="12" t="s">
        <v>13</v>
      </c>
      <c r="F57" s="15"/>
      <c r="H57"/>
    </row>
    <row r="58" spans="1:8" ht="14.4" customHeight="1" x14ac:dyDescent="0.3">
      <c r="A58" s="58">
        <v>46199</v>
      </c>
      <c r="B58" s="4" t="s">
        <v>63</v>
      </c>
      <c r="C58" s="61"/>
      <c r="D58" s="61"/>
      <c r="E58" s="12" t="s">
        <v>43</v>
      </c>
      <c r="F58" s="15"/>
      <c r="H58"/>
    </row>
    <row r="59" spans="1:8" ht="14.4" customHeight="1" x14ac:dyDescent="0.3">
      <c r="A59" s="58">
        <v>46199</v>
      </c>
      <c r="B59" s="4" t="s">
        <v>52</v>
      </c>
      <c r="C59" s="61"/>
      <c r="D59" s="61"/>
      <c r="E59" s="12" t="s">
        <v>10</v>
      </c>
      <c r="F59" s="15"/>
      <c r="H59"/>
    </row>
    <row r="60" spans="1:8" ht="14.4" customHeight="1" x14ac:dyDescent="0.3">
      <c r="A60" s="58">
        <v>46199</v>
      </c>
      <c r="B60" s="4" t="s">
        <v>50</v>
      </c>
      <c r="C60" s="61"/>
      <c r="D60" s="61"/>
      <c r="E60" s="12" t="s">
        <v>37</v>
      </c>
      <c r="F60" s="15"/>
      <c r="H60"/>
    </row>
    <row r="61" spans="1:8" ht="14.4" customHeight="1" x14ac:dyDescent="0.3">
      <c r="A61" s="58">
        <v>46199</v>
      </c>
      <c r="B61" s="4" t="s">
        <v>64</v>
      </c>
      <c r="C61" s="61"/>
      <c r="D61" s="61"/>
      <c r="E61" s="12" t="s">
        <v>41</v>
      </c>
      <c r="F61" s="15"/>
      <c r="H61"/>
    </row>
    <row r="62" spans="1:8" ht="14.4" customHeight="1" x14ac:dyDescent="0.3">
      <c r="A62" s="58">
        <v>46199</v>
      </c>
      <c r="B62" s="4" t="s">
        <v>55</v>
      </c>
      <c r="C62" s="61"/>
      <c r="D62" s="61"/>
      <c r="E62" s="12" t="s">
        <v>11</v>
      </c>
      <c r="F62" s="15"/>
      <c r="H62"/>
    </row>
    <row r="63" spans="1:8" ht="14.4" customHeight="1" x14ac:dyDescent="0.3">
      <c r="A63" s="58">
        <v>46199</v>
      </c>
      <c r="B63" s="4" t="s">
        <v>65</v>
      </c>
      <c r="C63" s="61"/>
      <c r="D63" s="61"/>
      <c r="E63" s="12" t="s">
        <v>46</v>
      </c>
      <c r="F63" s="15"/>
      <c r="H63"/>
    </row>
    <row r="64" spans="1:8" ht="14.4" customHeight="1" x14ac:dyDescent="0.3">
      <c r="A64" s="58">
        <v>46200</v>
      </c>
      <c r="B64" s="4" t="s">
        <v>66</v>
      </c>
      <c r="C64" s="61"/>
      <c r="D64" s="61"/>
      <c r="E64" s="12" t="s">
        <v>44</v>
      </c>
      <c r="F64" s="15"/>
      <c r="H64"/>
    </row>
    <row r="65" spans="1:8" ht="14.4" customHeight="1" x14ac:dyDescent="0.3">
      <c r="A65" s="58">
        <v>46200</v>
      </c>
      <c r="B65" s="4" t="s">
        <v>53</v>
      </c>
      <c r="C65" s="61"/>
      <c r="D65" s="61"/>
      <c r="E65" s="12" t="s">
        <v>14</v>
      </c>
      <c r="F65" s="15"/>
      <c r="H65"/>
    </row>
    <row r="66" spans="1:8" ht="14.4" customHeight="1" x14ac:dyDescent="0.3">
      <c r="A66" s="58">
        <v>46200</v>
      </c>
      <c r="B66" s="4" t="s">
        <v>67</v>
      </c>
      <c r="C66" s="61"/>
      <c r="D66" s="61"/>
      <c r="E66" s="12" t="s">
        <v>45</v>
      </c>
      <c r="F66" s="15"/>
      <c r="H66"/>
    </row>
    <row r="67" spans="1:8" ht="14.4" customHeight="1" x14ac:dyDescent="0.3">
      <c r="A67" s="58">
        <v>46200</v>
      </c>
      <c r="B67" s="4" t="s">
        <v>54</v>
      </c>
      <c r="C67" s="61"/>
      <c r="D67" s="61"/>
      <c r="E67" s="12" t="s">
        <v>15</v>
      </c>
      <c r="F67" s="15"/>
      <c r="H67"/>
    </row>
    <row r="68" spans="1:8" ht="14.4" customHeight="1" x14ac:dyDescent="0.3">
      <c r="A68" s="58">
        <v>46200</v>
      </c>
      <c r="B68" s="4" t="s">
        <v>57</v>
      </c>
      <c r="C68" s="61"/>
      <c r="D68" s="61"/>
      <c r="E68" s="12" t="s">
        <v>9</v>
      </c>
      <c r="F68" s="15"/>
      <c r="H68"/>
    </row>
    <row r="69" spans="1:8" ht="14.4" customHeight="1" x14ac:dyDescent="0.3">
      <c r="A69" s="58">
        <v>46200</v>
      </c>
      <c r="B69" s="4" t="s">
        <v>12</v>
      </c>
      <c r="C69" s="61"/>
      <c r="D69" s="61"/>
      <c r="E69" s="12" t="s">
        <v>48</v>
      </c>
      <c r="F69" s="15"/>
      <c r="H69"/>
    </row>
    <row r="70" spans="1:8" ht="14.4" customHeight="1" x14ac:dyDescent="0.3">
      <c r="A70" s="58">
        <v>46201</v>
      </c>
      <c r="B70" s="4" t="s">
        <v>58</v>
      </c>
      <c r="C70" s="61"/>
      <c r="D70" s="61"/>
      <c r="E70" s="12" t="s">
        <v>17</v>
      </c>
      <c r="F70" s="15"/>
      <c r="H70"/>
    </row>
    <row r="71" spans="1:8" ht="14.4" customHeight="1" x14ac:dyDescent="0.3">
      <c r="A71" s="58">
        <v>46201</v>
      </c>
      <c r="B71" s="4" t="s">
        <v>68</v>
      </c>
      <c r="C71" s="61"/>
      <c r="D71" s="61"/>
      <c r="E71" s="12" t="s">
        <v>49</v>
      </c>
      <c r="F71" s="15"/>
      <c r="H71"/>
    </row>
    <row r="72" spans="1:8" ht="14.4" customHeight="1" x14ac:dyDescent="0.3">
      <c r="A72" s="58">
        <v>46201</v>
      </c>
      <c r="B72" s="4" t="s">
        <v>69</v>
      </c>
      <c r="C72" s="61"/>
      <c r="D72" s="61"/>
      <c r="E72" s="12" t="s">
        <v>32</v>
      </c>
      <c r="F72" s="15"/>
      <c r="H72"/>
    </row>
    <row r="73" spans="1:8" ht="15" thickBot="1" x14ac:dyDescent="0.35">
      <c r="A73" s="58">
        <v>46201</v>
      </c>
      <c r="B73" s="57" t="s">
        <v>56</v>
      </c>
      <c r="C73" s="62"/>
      <c r="D73" s="62"/>
      <c r="E73" s="30" t="s">
        <v>47</v>
      </c>
      <c r="F73" s="16"/>
    </row>
  </sheetData>
  <mergeCells count="1">
    <mergeCell ref="C1:D1"/>
  </mergeCells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883ff2-4dde-4413-b9f6-87afdb367970" xsi:nil="true"/>
    <lcf76f155ced4ddcb4097134ff3c332f xmlns="98764eca-9322-402b-a42b-05fdcdfae904">
      <Terms xmlns="http://schemas.microsoft.com/office/infopath/2007/PartnerControls"/>
    </lcf76f155ced4ddcb4097134ff3c332f>
    <SharedWithUsers xmlns="14883ff2-4dde-4413-b9f6-87afdb367970">
      <UserInfo>
        <DisplayName>David Leonard</DisplayName>
        <AccountId>78</AccountId>
        <AccountType/>
      </UserInfo>
    </SharedWithUsers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A7B4C67D86504685866757C2C40FEC" ma:contentTypeVersion="17" ma:contentTypeDescription="Create a new document." ma:contentTypeScope="" ma:versionID="4a8eb04ac1a5be276a8003f7e05c2893">
  <xsd:schema xmlns:xsd="http://www.w3.org/2001/XMLSchema" xmlns:xs="http://www.w3.org/2001/XMLSchema" xmlns:p="http://schemas.microsoft.com/office/2006/metadata/properties" xmlns:ns2="98764eca-9322-402b-a42b-05fdcdfae904" xmlns:ns3="14883ff2-4dde-4413-b9f6-87afdb367970" targetNamespace="http://schemas.microsoft.com/office/2006/metadata/properties" ma:root="true" ma:fieldsID="fb2c182618d7fa6376c86f7f27ac9eca" ns2:_="" ns3:_="">
    <xsd:import namespace="98764eca-9322-402b-a42b-05fdcdfae904"/>
    <xsd:import namespace="14883ff2-4dde-4413-b9f6-87afdb3679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764eca-9322-402b-a42b-05fdcdfae9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6a40e95-25ce-4b79-9868-e6b61682e7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83ff2-4dde-4413-b9f6-87afdb36797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92637f1-1a82-490a-907f-2db66bac1bc3}" ma:internalName="TaxCatchAll" ma:showField="CatchAllData" ma:web="14883ff2-4dde-4413-b9f6-87afdb3679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AC2B88-CBD5-4D37-9F0F-F71B1877C5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B65FE0-51CD-40A8-A38D-B8423728899C}">
  <ds:schemaRefs>
    <ds:schemaRef ds:uri="http://schemas.microsoft.com/office/2006/metadata/properties"/>
    <ds:schemaRef ds:uri="http://schemas.microsoft.com/office/infopath/2007/PartnerControls"/>
    <ds:schemaRef ds:uri="14883ff2-4dde-4413-b9f6-87afdb367970"/>
    <ds:schemaRef ds:uri="98764eca-9322-402b-a42b-05fdcdfae904"/>
  </ds:schemaRefs>
</ds:datastoreItem>
</file>

<file path=customXml/itemProps3.xml><?xml version="1.0" encoding="utf-8"?>
<ds:datastoreItem xmlns:ds="http://schemas.openxmlformats.org/officeDocument/2006/customXml" ds:itemID="{349CBE4E-29CC-4D7F-89E1-96648B58859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BB60B29-8A39-49D2-A779-C401B8D7E1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764eca-9322-402b-a42b-05fdcdfae904"/>
    <ds:schemaRef ds:uri="14883ff2-4dde-4413-b9f6-87afdb3679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Leaderboard</vt:lpstr>
      <vt:lpstr>RESULTS</vt:lpstr>
      <vt:lpstr>Scores &amp; Fixtures</vt:lpstr>
      <vt:lpstr>Template</vt:lpstr>
      <vt:lpstr>tabMain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Stevie Martinez-Chesney</cp:lastModifiedBy>
  <cp:revision/>
  <dcterms:created xsi:type="dcterms:W3CDTF">2018-06-06T20:27:40Z</dcterms:created>
  <dcterms:modified xsi:type="dcterms:W3CDTF">2026-05-25T11:48:48Z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0x010100CBA7B4C67D86504685866757C2C40FEC</vt:lpwstr>
  </property>
  <property fmtid="{D5CDD505-2E9C-101B-9397-08002B2CF9AE}" pid="3" name="MediaServiceImageTags">
    <vt:lpwstr/>
  </property>
  <property fmtid="{D5CDD505-2E9C-101B-9397-08002B2CF9AE}" pid="4" name="MSIP_Label_43f08ec5-d6d9-4227-8387-ccbfcb3632c4_Enabled">
    <vt:lpwstr>true</vt:lpwstr>
  </property>
  <property fmtid="{D5CDD505-2E9C-101B-9397-08002B2CF9AE}" pid="5" name="MSIP_Label_43f08ec5-d6d9-4227-8387-ccbfcb3632c4_SetDate">
    <vt:lpwstr>2022-11-29T13:32:46Z</vt:lpwstr>
  </property>
  <property fmtid="{D5CDD505-2E9C-101B-9397-08002B2CF9AE}" pid="6" name="MSIP_Label_43f08ec5-d6d9-4227-8387-ccbfcb3632c4_Method">
    <vt:lpwstr>Standard</vt:lpwstr>
  </property>
  <property fmtid="{D5CDD505-2E9C-101B-9397-08002B2CF9AE}" pid="7" name="MSIP_Label_43f08ec5-d6d9-4227-8387-ccbfcb3632c4_Name">
    <vt:lpwstr>Sweco Restricted</vt:lpwstr>
  </property>
  <property fmtid="{D5CDD505-2E9C-101B-9397-08002B2CF9AE}" pid="8" name="MSIP_Label_43f08ec5-d6d9-4227-8387-ccbfcb3632c4_SiteId">
    <vt:lpwstr>b7872ef0-9a00-4c18-8a4a-c7d25c778a9e</vt:lpwstr>
  </property>
  <property fmtid="{D5CDD505-2E9C-101B-9397-08002B2CF9AE}" pid="9" name="MSIP_Label_43f08ec5-d6d9-4227-8387-ccbfcb3632c4_ActionId">
    <vt:lpwstr>af2b2f40-a900-4817-823b-bcf66276d165</vt:lpwstr>
  </property>
  <property fmtid="{D5CDD505-2E9C-101B-9397-08002B2CF9AE}" pid="10" name="MSIP_Label_43f08ec5-d6d9-4227-8387-ccbfcb3632c4_ContentBits">
    <vt:lpwstr>0</vt:lpwstr>
  </property>
</Properties>
</file>